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760" yWindow="32760" windowWidth="20496" windowHeight="7752"/>
  </bookViews>
  <sheets>
    <sheet name="3wh sale " sheetId="4" r:id="rId1"/>
    <sheet name="Monthly" sheetId="45" r:id="rId2"/>
    <sheet name="Sheet3" sheetId="5" r:id="rId3"/>
    <sheet name="Sheet4" sheetId="11" r:id="rId4"/>
    <sheet name="Sheet8" sheetId="34" r:id="rId5"/>
    <sheet name="Sheet2" sheetId="32" r:id="rId6"/>
  </sheets>
  <definedNames>
    <definedName name="_xlnm._FilterDatabase" localSheetId="5" hidden="1">Sheet2!$A$1:$BG$1812</definedName>
    <definedName name="_xlnm._FilterDatabase" localSheetId="3" hidden="1">Sheet4!$A$4:$B$70</definedName>
    <definedName name="_xlnm.Print_Area" localSheetId="1">Monthly!$A$1:$Q$54</definedName>
  </definedNames>
  <calcPr calcId="124519"/>
  <pivotCaches>
    <pivotCache cacheId="0" r:id="rId7"/>
  </pivotCaches>
</workbook>
</file>

<file path=xl/calcChain.xml><?xml version="1.0" encoding="utf-8"?>
<calcChain xmlns="http://schemas.openxmlformats.org/spreadsheetml/2006/main">
  <c r="G6" i="4"/>
  <c r="G7"/>
  <c r="G8"/>
  <c r="G9"/>
  <c r="G10"/>
  <c r="G11"/>
  <c r="G12"/>
  <c r="G13"/>
  <c r="G14"/>
  <c r="G15"/>
  <c r="G16"/>
  <c r="G17"/>
  <c r="G18"/>
  <c r="G19"/>
  <c r="G20"/>
  <c r="G21"/>
  <c r="G5"/>
  <c r="K6"/>
  <c r="L6"/>
  <c r="K7"/>
  <c r="L7"/>
  <c r="K8"/>
  <c r="L8"/>
  <c r="K9"/>
  <c r="L9"/>
  <c r="K10"/>
  <c r="L10"/>
  <c r="K11"/>
  <c r="L11"/>
  <c r="K12"/>
  <c r="L12"/>
  <c r="K13"/>
  <c r="L13"/>
  <c r="K14"/>
  <c r="L14"/>
  <c r="K15"/>
  <c r="L15"/>
  <c r="K16"/>
  <c r="L16"/>
  <c r="K17"/>
  <c r="L17"/>
  <c r="K19"/>
  <c r="L19"/>
  <c r="K20"/>
  <c r="L20"/>
  <c r="K21"/>
  <c r="L21"/>
  <c r="L5"/>
  <c r="K5"/>
  <c r="M6"/>
  <c r="M7"/>
  <c r="M8"/>
  <c r="M9"/>
  <c r="M10"/>
  <c r="M11"/>
  <c r="M12"/>
  <c r="M13"/>
  <c r="M14"/>
  <c r="M15"/>
  <c r="M16"/>
  <c r="M17"/>
  <c r="M19"/>
  <c r="M20"/>
  <c r="M21"/>
  <c r="M5"/>
  <c r="Y1318" i="32"/>
  <c r="Y1319"/>
  <c r="Y1320"/>
  <c r="Y1321"/>
  <c r="Y1322"/>
  <c r="Y1324"/>
  <c r="Y1325"/>
  <c r="Y1326"/>
  <c r="Y1327"/>
  <c r="Y1328"/>
  <c r="Y1329"/>
  <c r="Y1330"/>
  <c r="Y1331"/>
  <c r="Y1332"/>
  <c r="Y1333"/>
  <c r="Y1334"/>
  <c r="Y1335"/>
  <c r="Y1336"/>
  <c r="Y1337"/>
  <c r="Y1338"/>
  <c r="Y1339"/>
  <c r="Y1340"/>
  <c r="Y1341"/>
  <c r="Y1342"/>
  <c r="Y1343"/>
  <c r="Y1344"/>
  <c r="Y1345"/>
  <c r="Y1346"/>
  <c r="Y1347"/>
  <c r="Y1348"/>
  <c r="Y1349"/>
  <c r="Y1350"/>
  <c r="Y1351"/>
  <c r="Y1352"/>
  <c r="Y1353"/>
  <c r="Y1354"/>
  <c r="Y1355"/>
  <c r="Y1356"/>
  <c r="Y1357"/>
  <c r="Y1358"/>
  <c r="Y1359"/>
  <c r="Y1360"/>
  <c r="Y1361"/>
  <c r="Y1362"/>
  <c r="Y1363"/>
  <c r="Y1364"/>
  <c r="Y1365"/>
  <c r="Y1366"/>
  <c r="Y1367"/>
  <c r="Y1368"/>
  <c r="Y1369"/>
  <c r="Y1370"/>
  <c r="Y1371"/>
  <c r="Y1372"/>
  <c r="Y1373"/>
  <c r="Y1374"/>
  <c r="Y1375"/>
  <c r="Y1376"/>
  <c r="Y1377"/>
  <c r="Y1378"/>
  <c r="Y1379"/>
  <c r="Y1380"/>
  <c r="Y1381"/>
  <c r="Y1382"/>
  <c r="Y1384"/>
  <c r="Y1385"/>
  <c r="Y1386"/>
  <c r="Y1387"/>
  <c r="Y1388"/>
  <c r="Y1389"/>
  <c r="Y1390"/>
  <c r="Y1391"/>
  <c r="Y1392"/>
  <c r="Y1393"/>
  <c r="Y1394"/>
  <c r="Y1395"/>
  <c r="Y1396"/>
  <c r="Y1397"/>
  <c r="Y1398"/>
  <c r="Y1399"/>
  <c r="Y1400"/>
  <c r="Y1401"/>
  <c r="Y1402"/>
  <c r="Y1403"/>
  <c r="Y1404"/>
  <c r="Y1405"/>
  <c r="Y1406"/>
  <c r="Y1407"/>
  <c r="Y1408"/>
  <c r="Y1409"/>
  <c r="Y1410"/>
  <c r="Y1411"/>
  <c r="Y1412"/>
  <c r="Y1413"/>
  <c r="Y1414"/>
  <c r="Y1415"/>
  <c r="Y1416"/>
  <c r="Y1417"/>
  <c r="Y1418"/>
  <c r="Y1419"/>
  <c r="Y1420"/>
  <c r="Y1421"/>
  <c r="Y1422"/>
  <c r="Y1423"/>
  <c r="Y1424"/>
  <c r="Y1425"/>
  <c r="Y1426"/>
  <c r="Y1427"/>
  <c r="Y1428"/>
  <c r="Y1429"/>
  <c r="Y1430"/>
  <c r="Y1431"/>
  <c r="Y1432"/>
  <c r="Y1433"/>
  <c r="Y1434"/>
  <c r="Y1435"/>
  <c r="Y1436"/>
  <c r="Y1437"/>
  <c r="Y1438"/>
  <c r="Y1439"/>
  <c r="Y1440"/>
  <c r="Y1441"/>
  <c r="Y1442"/>
  <c r="Y1443"/>
  <c r="Y1444"/>
  <c r="Y1445"/>
  <c r="Y1446"/>
  <c r="Y1447"/>
  <c r="Y1448"/>
  <c r="Y1450"/>
  <c r="Y1451"/>
  <c r="Y1452"/>
  <c r="Y1453"/>
  <c r="Y1454"/>
  <c r="Y1455"/>
  <c r="Y1456"/>
  <c r="Y1457"/>
  <c r="Y1458"/>
  <c r="Y1459"/>
  <c r="Y1460"/>
  <c r="Y1461"/>
  <c r="Y1462"/>
  <c r="Y1463"/>
  <c r="Y1464"/>
  <c r="Y1465"/>
  <c r="Y1466"/>
  <c r="Y1467"/>
  <c r="Y1468"/>
  <c r="Y1469"/>
  <c r="Y1470"/>
  <c r="Y1471"/>
  <c r="Y1472"/>
  <c r="Y1473"/>
  <c r="Y1474"/>
  <c r="Y1475"/>
  <c r="Y1476"/>
  <c r="Y1477"/>
  <c r="Y1478"/>
  <c r="Y1479"/>
  <c r="Y1480"/>
  <c r="Y1481"/>
  <c r="Y1482"/>
  <c r="Y1483"/>
  <c r="Y1484"/>
  <c r="Y1485"/>
  <c r="Y1486"/>
  <c r="Y1487"/>
  <c r="Y1488"/>
  <c r="Y1489"/>
  <c r="Y1490"/>
  <c r="Y1491"/>
  <c r="Y1492"/>
  <c r="Y1493"/>
  <c r="Y1494"/>
  <c r="Y1495"/>
  <c r="Y1496"/>
  <c r="Y1497"/>
  <c r="Y1498"/>
  <c r="Y1499"/>
  <c r="Y1500"/>
  <c r="Y1501"/>
  <c r="Y1502"/>
  <c r="Y1503"/>
  <c r="Y1504"/>
  <c r="Y1505"/>
  <c r="Y1506"/>
  <c r="Y1507"/>
  <c r="Y1508"/>
  <c r="Y1509"/>
  <c r="Y1510"/>
  <c r="Y1511"/>
  <c r="Y1512"/>
  <c r="Y1513"/>
  <c r="Y1514"/>
  <c r="Y1515"/>
  <c r="Y1516"/>
  <c r="Y1517"/>
  <c r="Y1518"/>
  <c r="Y1519"/>
  <c r="Y1520"/>
  <c r="Y1521"/>
  <c r="Y1522"/>
  <c r="Y1523"/>
  <c r="Y1524"/>
  <c r="Y1525"/>
  <c r="Y1526"/>
  <c r="Y1527"/>
  <c r="Y1528"/>
  <c r="Y1529"/>
  <c r="Y1530"/>
  <c r="Y1531"/>
  <c r="Y1532"/>
  <c r="Y1533"/>
  <c r="Y1534"/>
  <c r="Y1535"/>
  <c r="Y1536"/>
  <c r="Y1537"/>
  <c r="Y1538"/>
  <c r="Y1539"/>
  <c r="Y1540"/>
  <c r="Y1541"/>
  <c r="Y1542"/>
  <c r="Y1543"/>
  <c r="Y1544"/>
  <c r="Y1545"/>
  <c r="Y1546"/>
  <c r="Y1547"/>
  <c r="Y1548"/>
  <c r="Y1549"/>
  <c r="Y1550"/>
  <c r="Y1551"/>
  <c r="Y1552"/>
  <c r="Y1553"/>
  <c r="Y1554"/>
  <c r="Y1555"/>
  <c r="Y1556"/>
  <c r="Y1557"/>
  <c r="Y1558"/>
  <c r="Y1559"/>
  <c r="Y1560"/>
  <c r="Y1561"/>
  <c r="Y1562"/>
  <c r="Y1563"/>
  <c r="Y1564"/>
  <c r="Y1565"/>
  <c r="Y1566"/>
  <c r="Y1567"/>
  <c r="Y1568"/>
  <c r="Y1569"/>
  <c r="Y1570"/>
  <c r="Y1571"/>
  <c r="Y1572"/>
  <c r="Y1573"/>
  <c r="Y1574"/>
  <c r="Y1575"/>
  <c r="Y1576"/>
  <c r="Y1577"/>
  <c r="Y1578"/>
  <c r="Y1579"/>
  <c r="Y1580"/>
  <c r="Y1581"/>
  <c r="Y1582"/>
  <c r="Y1583"/>
  <c r="Y1584"/>
  <c r="Y1585"/>
  <c r="Y1586"/>
  <c r="Y1587"/>
  <c r="Y1588"/>
  <c r="Y1589"/>
  <c r="Y1590"/>
  <c r="Y1591"/>
  <c r="Y1592"/>
  <c r="Y1593"/>
  <c r="Y1594"/>
  <c r="Y1595"/>
  <c r="Y1596"/>
  <c r="Y1597"/>
  <c r="Y1598"/>
  <c r="Y1599"/>
  <c r="Y1600"/>
  <c r="Y1601"/>
  <c r="Y1602"/>
  <c r="Y1603"/>
  <c r="Y1604"/>
  <c r="Y1605"/>
  <c r="Y1606"/>
  <c r="Y1607"/>
  <c r="Y1608"/>
  <c r="Y1609"/>
  <c r="Y1610"/>
  <c r="Y1611"/>
  <c r="Y1612"/>
  <c r="Y1613"/>
  <c r="Y1614"/>
  <c r="Y1615"/>
  <c r="Y1616"/>
  <c r="Y1617"/>
  <c r="Y1618"/>
  <c r="Y1619"/>
  <c r="Y1620"/>
  <c r="Y1621"/>
  <c r="Y1622"/>
  <c r="Y1623"/>
  <c r="Y1624"/>
  <c r="Y1625"/>
  <c r="Y1626"/>
  <c r="Y1627"/>
  <c r="Y1628"/>
  <c r="Y1629"/>
  <c r="Y1630"/>
  <c r="Y1631"/>
  <c r="Y1632"/>
  <c r="Y1633"/>
  <c r="Y1634"/>
  <c r="Y1635"/>
  <c r="Y1636"/>
  <c r="Y1637"/>
  <c r="Y1638"/>
  <c r="Y1639"/>
  <c r="Y1640"/>
  <c r="Y1641"/>
  <c r="Y1642"/>
  <c r="Y1643"/>
  <c r="Y1644"/>
  <c r="Y1645"/>
  <c r="Y1646"/>
  <c r="Y1647"/>
  <c r="Y1648"/>
  <c r="Y1649"/>
  <c r="Y1650"/>
  <c r="Y1651"/>
  <c r="Y1652"/>
  <c r="Y1653"/>
  <c r="Y1654"/>
  <c r="Y1655"/>
  <c r="Y1656"/>
  <c r="Y1657"/>
  <c r="Y1658"/>
  <c r="Y1659"/>
  <c r="Y1660"/>
  <c r="Y1661"/>
  <c r="Y1662"/>
  <c r="Y1663"/>
  <c r="Y1664"/>
  <c r="Y1665"/>
  <c r="Y1666"/>
  <c r="Y1667"/>
  <c r="Y1668"/>
  <c r="Y1669"/>
  <c r="Y1670"/>
  <c r="Y1671"/>
  <c r="Y1672"/>
  <c r="Y1673"/>
  <c r="Y1674"/>
  <c r="Y1675"/>
  <c r="Y1676"/>
  <c r="Y1677"/>
  <c r="Y1678"/>
  <c r="Y1679"/>
  <c r="Y1680"/>
  <c r="Y1681"/>
  <c r="Y1682"/>
  <c r="Y1683"/>
  <c r="Y1684"/>
  <c r="Y1685"/>
  <c r="Y1686"/>
  <c r="Y1687"/>
  <c r="Y1688"/>
  <c r="Y1689"/>
  <c r="Y1690"/>
  <c r="Y1691"/>
  <c r="Y1692"/>
  <c r="Y1693"/>
  <c r="Y1694"/>
  <c r="Y1695"/>
  <c r="Y1696"/>
  <c r="Y1697"/>
  <c r="Y1698"/>
  <c r="Y1699"/>
  <c r="Y1700"/>
  <c r="Y1701"/>
  <c r="Y1702"/>
  <c r="Y1703"/>
  <c r="Y1704"/>
  <c r="Y1705"/>
  <c r="Y1706"/>
  <c r="Y1707"/>
  <c r="Y1708"/>
  <c r="Y1709"/>
  <c r="Y1710"/>
  <c r="Y1711"/>
  <c r="Y1712"/>
  <c r="Y1713"/>
  <c r="Y1714"/>
  <c r="Y1715"/>
  <c r="Y1716"/>
  <c r="Y1717"/>
  <c r="Y1718"/>
  <c r="Y1719"/>
  <c r="Y1720"/>
  <c r="Y1721"/>
  <c r="Y1722"/>
  <c r="Y1723"/>
  <c r="Y1724"/>
  <c r="Y1725"/>
  <c r="Y1726"/>
  <c r="Y1727"/>
  <c r="Y1728"/>
  <c r="Y1730"/>
  <c r="Y1731"/>
  <c r="Y1732"/>
  <c r="Y1733"/>
  <c r="Y1734"/>
  <c r="Y1735"/>
  <c r="Y1736"/>
  <c r="Y1737"/>
  <c r="Y1738"/>
  <c r="Y1739"/>
  <c r="Y1740"/>
  <c r="Y1741"/>
  <c r="Y1742"/>
  <c r="Y1743"/>
  <c r="Y1744"/>
  <c r="Y1745"/>
  <c r="Y1746"/>
  <c r="Y1747"/>
  <c r="Y1748"/>
  <c r="Y1749"/>
  <c r="Y1750"/>
  <c r="Y1751"/>
  <c r="Y1752"/>
  <c r="Y1753"/>
  <c r="Y1754"/>
  <c r="Y1755"/>
  <c r="Y1756"/>
  <c r="Y1757"/>
  <c r="Y1758"/>
  <c r="Y1759"/>
  <c r="Y1760"/>
  <c r="Y1761"/>
  <c r="Y1762"/>
  <c r="Y1763"/>
  <c r="Y1764"/>
  <c r="Y1765"/>
  <c r="Y1766"/>
  <c r="Y1767"/>
  <c r="Y1768"/>
  <c r="Y1769"/>
  <c r="Y1770"/>
  <c r="Y1771"/>
  <c r="Y1772"/>
  <c r="Y1773"/>
  <c r="Y1774"/>
  <c r="Y1775"/>
  <c r="Y1776"/>
  <c r="Y1777"/>
  <c r="Y1778"/>
  <c r="Y1779"/>
  <c r="Y1780"/>
  <c r="Y1781"/>
  <c r="Y1782"/>
  <c r="Y1783"/>
  <c r="Y1784"/>
  <c r="Y1785"/>
  <c r="Y1786"/>
  <c r="Y1787"/>
  <c r="Y1788"/>
  <c r="Y1789"/>
  <c r="Y1790"/>
  <c r="Y1791"/>
  <c r="Y1792"/>
  <c r="Y1793"/>
  <c r="Y1794"/>
  <c r="Y1795"/>
  <c r="Y1796"/>
  <c r="Y1797"/>
  <c r="Y1798"/>
  <c r="Y1799"/>
  <c r="Y1800"/>
  <c r="Y1801"/>
  <c r="Y1802"/>
  <c r="Y1803"/>
  <c r="Y1804"/>
  <c r="Y1805"/>
  <c r="Y1806"/>
  <c r="Y1807"/>
  <c r="Y1808"/>
  <c r="Y1809"/>
  <c r="Y1810"/>
  <c r="Y1811"/>
  <c r="Y1812"/>
  <c r="Y1317"/>
  <c r="K4" i="4"/>
  <c r="L4"/>
  <c r="M4"/>
  <c r="N6"/>
  <c r="O6"/>
  <c r="N8"/>
  <c r="O8"/>
  <c r="N9"/>
  <c r="O9"/>
  <c r="N10"/>
  <c r="O10"/>
  <c r="N11"/>
  <c r="O11"/>
  <c r="N12"/>
  <c r="O12"/>
  <c r="N13"/>
  <c r="O13"/>
  <c r="N14"/>
  <c r="O14"/>
  <c r="N15"/>
  <c r="O15"/>
  <c r="N16"/>
  <c r="O16"/>
  <c r="N17"/>
  <c r="O17"/>
  <c r="N19"/>
  <c r="N20"/>
  <c r="N21"/>
  <c r="O21"/>
  <c r="O5"/>
  <c r="N5"/>
  <c r="Y1135" i="32"/>
  <c r="Y1137"/>
  <c r="Y1138"/>
  <c r="Y1139"/>
  <c r="Y1140"/>
  <c r="Y1141"/>
  <c r="Y1142"/>
  <c r="Y1143"/>
  <c r="Y1144"/>
  <c r="Y1145"/>
  <c r="Y1146"/>
  <c r="Y1147"/>
  <c r="Y1148"/>
  <c r="Y1149"/>
  <c r="Y1150"/>
  <c r="Y1151"/>
  <c r="Y1152"/>
  <c r="Y1153"/>
  <c r="Y1154"/>
  <c r="Y1155"/>
  <c r="Y1156"/>
  <c r="Y1157"/>
  <c r="Y1158"/>
  <c r="Y1159"/>
  <c r="Y1160"/>
  <c r="Y1161"/>
  <c r="Y1162"/>
  <c r="Y1163"/>
  <c r="Y1164"/>
  <c r="Y1165"/>
  <c r="Y1166"/>
  <c r="Y1167"/>
  <c r="Y1168"/>
  <c r="Y1169"/>
  <c r="Y1170"/>
  <c r="Y1171"/>
  <c r="Y1172"/>
  <c r="Y1173"/>
  <c r="Y1174"/>
  <c r="Y1175"/>
  <c r="Y1176"/>
  <c r="Y1177"/>
  <c r="Y1178"/>
  <c r="Y1179"/>
  <c r="Y1180"/>
  <c r="Y1181"/>
  <c r="Y1182"/>
  <c r="Y1183"/>
  <c r="Y1184"/>
  <c r="Y1185"/>
  <c r="Y1186"/>
  <c r="Y1187"/>
  <c r="Y1188"/>
  <c r="Y1189"/>
  <c r="Y1190"/>
  <c r="Y1191"/>
  <c r="Y1192"/>
  <c r="Y1193"/>
  <c r="Y1194"/>
  <c r="Y1195"/>
  <c r="Y1196"/>
  <c r="Y1197"/>
  <c r="Y1198"/>
  <c r="Y1199"/>
  <c r="Y1200"/>
  <c r="Y1201"/>
  <c r="Y1202"/>
  <c r="Y1203"/>
  <c r="Y1204"/>
  <c r="Y1205"/>
  <c r="Y1206"/>
  <c r="Y1207"/>
  <c r="Y1208"/>
  <c r="Y1209"/>
  <c r="Y1210"/>
  <c r="Y1211"/>
  <c r="Y1212"/>
  <c r="Y1213"/>
  <c r="Y1214"/>
  <c r="Y1215"/>
  <c r="Y1216"/>
  <c r="Y1217"/>
  <c r="Y1218"/>
  <c r="Y1219"/>
  <c r="Y1220"/>
  <c r="Y1221"/>
  <c r="Y1222"/>
  <c r="Y1223"/>
  <c r="Y1224"/>
  <c r="Y1225"/>
  <c r="Y1226"/>
  <c r="Y1227"/>
  <c r="Y1228"/>
  <c r="Y1229"/>
  <c r="Y1230"/>
  <c r="Y1231"/>
  <c r="Y1232"/>
  <c r="Y1233"/>
  <c r="Y1234"/>
  <c r="Y1235"/>
  <c r="Y1236"/>
  <c r="Y1237"/>
  <c r="Y1238"/>
  <c r="Y1239"/>
  <c r="Y1240"/>
  <c r="Y1241"/>
  <c r="Y1242"/>
  <c r="Y1243"/>
  <c r="Y1244"/>
  <c r="Y1245"/>
  <c r="Y1246"/>
  <c r="Y1247"/>
  <c r="Y1248"/>
  <c r="Y1249"/>
  <c r="Y1250"/>
  <c r="Y1251"/>
  <c r="Y1252"/>
  <c r="Y1253"/>
  <c r="Y1254"/>
  <c r="Y1255"/>
  <c r="Y1256"/>
  <c r="Y1257"/>
  <c r="Y1258"/>
  <c r="Y1259"/>
  <c r="Y1260"/>
  <c r="Y1262"/>
  <c r="Y1263"/>
  <c r="Y1264"/>
  <c r="Y1265"/>
  <c r="Y1266"/>
  <c r="Y1267"/>
  <c r="Y1268"/>
  <c r="Y1269"/>
  <c r="Y1270"/>
  <c r="Y1271"/>
  <c r="Y1272"/>
  <c r="Y1273"/>
  <c r="Y1274"/>
  <c r="Y1275"/>
  <c r="Y1276"/>
  <c r="Y1277"/>
  <c r="Y1278"/>
  <c r="Y1279"/>
  <c r="Y1280"/>
  <c r="Y1281"/>
  <c r="Y1282"/>
  <c r="Y1283"/>
  <c r="Y1284"/>
  <c r="Y1285"/>
  <c r="Y1286"/>
  <c r="Y1287"/>
  <c r="Y1288"/>
  <c r="Y1289"/>
  <c r="Y1290"/>
  <c r="Y1291"/>
  <c r="Y1292"/>
  <c r="Y1293"/>
  <c r="Y1294"/>
  <c r="Y1295"/>
  <c r="Y1296"/>
  <c r="Y1297"/>
  <c r="Y1298"/>
  <c r="Y1299"/>
  <c r="Y1300"/>
  <c r="Y1301"/>
  <c r="Y1302"/>
  <c r="Y1303"/>
  <c r="Y1304"/>
  <c r="Y1305"/>
  <c r="Y1306"/>
  <c r="Y1307"/>
  <c r="Y1308"/>
  <c r="Y1309"/>
  <c r="Y1310"/>
  <c r="Y1311"/>
  <c r="Y1312"/>
  <c r="Y1313"/>
  <c r="Y1314"/>
  <c r="Y1315"/>
  <c r="Y1134"/>
  <c r="N4" i="4"/>
  <c r="O4"/>
  <c r="P6"/>
  <c r="P8"/>
  <c r="P9"/>
  <c r="P10"/>
  <c r="P11"/>
  <c r="P12"/>
  <c r="P13"/>
  <c r="P14"/>
  <c r="P15"/>
  <c r="P16"/>
  <c r="P17"/>
  <c r="P19"/>
  <c r="P20"/>
  <c r="P21"/>
  <c r="P5"/>
  <c r="Y968" i="32"/>
  <c r="Y969"/>
  <c r="Y970"/>
  <c r="Y971"/>
  <c r="Y972"/>
  <c r="Y973"/>
  <c r="Y974"/>
  <c r="Y975"/>
  <c r="Y976"/>
  <c r="Y977"/>
  <c r="Y978"/>
  <c r="Y979"/>
  <c r="Y980"/>
  <c r="Y981"/>
  <c r="Y982"/>
  <c r="Y983"/>
  <c r="Y984"/>
  <c r="Y985"/>
  <c r="Y986"/>
  <c r="Y987"/>
  <c r="Y988"/>
  <c r="Y989"/>
  <c r="Y990"/>
  <c r="Y991"/>
  <c r="Y992"/>
  <c r="Y993"/>
  <c r="Y994"/>
  <c r="Y995"/>
  <c r="Y996"/>
  <c r="Y997"/>
  <c r="Y998"/>
  <c r="Y999"/>
  <c r="Y1000"/>
  <c r="Y1001"/>
  <c r="Y1002"/>
  <c r="Y1003"/>
  <c r="Y1004"/>
  <c r="Y1005"/>
  <c r="Y1006"/>
  <c r="Y1007"/>
  <c r="Y1008"/>
  <c r="Y1009"/>
  <c r="Y1010"/>
  <c r="Y1011"/>
  <c r="Y1012"/>
  <c r="Y1013"/>
  <c r="Y1014"/>
  <c r="Y1015"/>
  <c r="Y1016"/>
  <c r="Y1017"/>
  <c r="Y1018"/>
  <c r="Y1019"/>
  <c r="Y1020"/>
  <c r="Y1021"/>
  <c r="Y1022"/>
  <c r="Y1023"/>
  <c r="Y1024"/>
  <c r="Y1025"/>
  <c r="Y1026"/>
  <c r="Y1027"/>
  <c r="Y1028"/>
  <c r="Y1029"/>
  <c r="Y1030"/>
  <c r="Y1031"/>
  <c r="Y1032"/>
  <c r="Y1033"/>
  <c r="Y1034"/>
  <c r="Y1035"/>
  <c r="Y1036"/>
  <c r="Y1037"/>
  <c r="Y1038"/>
  <c r="Y1039"/>
  <c r="Y1040"/>
  <c r="Y1042"/>
  <c r="Y1043"/>
  <c r="Y1044"/>
  <c r="Y1045"/>
  <c r="Y1046"/>
  <c r="Y1047"/>
  <c r="Y1048"/>
  <c r="Y1049"/>
  <c r="Y1050"/>
  <c r="Y1051"/>
  <c r="Y1052"/>
  <c r="Y1053"/>
  <c r="Y1054"/>
  <c r="Y1055"/>
  <c r="Y1056"/>
  <c r="Y1057"/>
  <c r="Y1058"/>
  <c r="Y1059"/>
  <c r="Y1060"/>
  <c r="Y1061"/>
  <c r="Y1062"/>
  <c r="Y1063"/>
  <c r="Y1064"/>
  <c r="Y1065"/>
  <c r="Y1066"/>
  <c r="Y1067"/>
  <c r="Y1068"/>
  <c r="Y1069"/>
  <c r="Y1070"/>
  <c r="Y1071"/>
  <c r="Y1072"/>
  <c r="Y1073"/>
  <c r="Y1074"/>
  <c r="Y1075"/>
  <c r="Y1076"/>
  <c r="Y1077"/>
  <c r="Y1078"/>
  <c r="Y1079"/>
  <c r="Y1080"/>
  <c r="Y1081"/>
  <c r="Y1082"/>
  <c r="Y1083"/>
  <c r="Y1084"/>
  <c r="Y1085"/>
  <c r="Y1086"/>
  <c r="Y1087"/>
  <c r="Y1088"/>
  <c r="Y1089"/>
  <c r="Y1090"/>
  <c r="Y1091"/>
  <c r="Y1092"/>
  <c r="Y1093"/>
  <c r="Y1094"/>
  <c r="Y1095"/>
  <c r="Y1096"/>
  <c r="Y1097"/>
  <c r="Y1098"/>
  <c r="Y1099"/>
  <c r="Y1100"/>
  <c r="Y1101"/>
  <c r="Y1102"/>
  <c r="Y1103"/>
  <c r="Y1104"/>
  <c r="Y1105"/>
  <c r="Y1106"/>
  <c r="Y1107"/>
  <c r="Y1108"/>
  <c r="Y1109"/>
  <c r="Y1110"/>
  <c r="Y1111"/>
  <c r="Y1112"/>
  <c r="Y1113"/>
  <c r="Y1114"/>
  <c r="Y1115"/>
  <c r="Y1116"/>
  <c r="Y1117"/>
  <c r="Y1118"/>
  <c r="Y1119"/>
  <c r="Y1120"/>
  <c r="Y1121"/>
  <c r="Y1122"/>
  <c r="Y1123"/>
  <c r="Y1124"/>
  <c r="Y1125"/>
  <c r="Y1126"/>
  <c r="Y1127"/>
  <c r="Y1128"/>
  <c r="Y1129"/>
  <c r="Y1130"/>
  <c r="Y1131"/>
  <c r="Y1132"/>
  <c r="Y1133"/>
  <c r="Y967"/>
  <c r="P4" i="4"/>
  <c r="Q6"/>
  <c r="Q8"/>
  <c r="Q9"/>
  <c r="Q10"/>
  <c r="Q11"/>
  <c r="Q12"/>
  <c r="Q13"/>
  <c r="Q14"/>
  <c r="Q15"/>
  <c r="Q16"/>
  <c r="Q17"/>
  <c r="Q19"/>
  <c r="Q20"/>
  <c r="Q21"/>
  <c r="Q5"/>
  <c r="Q4"/>
  <c r="Y802" i="32"/>
  <c r="Y803"/>
  <c r="Y804"/>
  <c r="Y805"/>
  <c r="Y806"/>
  <c r="Y807"/>
  <c r="Y808"/>
  <c r="Y809"/>
  <c r="Y810"/>
  <c r="Y811"/>
  <c r="Y812"/>
  <c r="Y813"/>
  <c r="Y814"/>
  <c r="Y815"/>
  <c r="Y816"/>
  <c r="Y817"/>
  <c r="Y818"/>
  <c r="Y819"/>
  <c r="Y820"/>
  <c r="Y821"/>
  <c r="Y822"/>
  <c r="Y823"/>
  <c r="Y824"/>
  <c r="Y825"/>
  <c r="Y826"/>
  <c r="Y827"/>
  <c r="Y828"/>
  <c r="Y829"/>
  <c r="Y830"/>
  <c r="Y831"/>
  <c r="Y832"/>
  <c r="Y833"/>
  <c r="Y834"/>
  <c r="Y835"/>
  <c r="Y836"/>
  <c r="Y837"/>
  <c r="Y838"/>
  <c r="Y839"/>
  <c r="Y840"/>
  <c r="Y841"/>
  <c r="Y842"/>
  <c r="Y843"/>
  <c r="Y844"/>
  <c r="Y845"/>
  <c r="Y846"/>
  <c r="Y847"/>
  <c r="Y848"/>
  <c r="Y849"/>
  <c r="Y850"/>
  <c r="Y851"/>
  <c r="Y852"/>
  <c r="Y853"/>
  <c r="Y854"/>
  <c r="Y855"/>
  <c r="Y856"/>
  <c r="Y857"/>
  <c r="Y858"/>
  <c r="Y859"/>
  <c r="Y860"/>
  <c r="Y861"/>
  <c r="Y862"/>
  <c r="Y863"/>
  <c r="Y864"/>
  <c r="Y865"/>
  <c r="Y866"/>
  <c r="Y867"/>
  <c r="Y868"/>
  <c r="Y869"/>
  <c r="Y870"/>
  <c r="Y871"/>
  <c r="Y872"/>
  <c r="Y873"/>
  <c r="Y874"/>
  <c r="Y875"/>
  <c r="Y876"/>
  <c r="Y877"/>
  <c r="Y878"/>
  <c r="Y879"/>
  <c r="Y880"/>
  <c r="Y881"/>
  <c r="Y882"/>
  <c r="Y883"/>
  <c r="Y884"/>
  <c r="Y885"/>
  <c r="Y886"/>
  <c r="Y887"/>
  <c r="Y888"/>
  <c r="Y889"/>
  <c r="Y890"/>
  <c r="Y891"/>
  <c r="Y892"/>
  <c r="Y893"/>
  <c r="Y894"/>
  <c r="Y895"/>
  <c r="Y896"/>
  <c r="Y897"/>
  <c r="Y898"/>
  <c r="Y899"/>
  <c r="Y900"/>
  <c r="Y901"/>
  <c r="Y902"/>
  <c r="Y903"/>
  <c r="Y904"/>
  <c r="Y905"/>
  <c r="Y906"/>
  <c r="Y907"/>
  <c r="Y908"/>
  <c r="Y909"/>
  <c r="Y910"/>
  <c r="Y911"/>
  <c r="Y912"/>
  <c r="Y913"/>
  <c r="Y914"/>
  <c r="Y915"/>
  <c r="Y916"/>
  <c r="Y917"/>
  <c r="Y918"/>
  <c r="Y919"/>
  <c r="Y920"/>
  <c r="Y921"/>
  <c r="Y922"/>
  <c r="Y923"/>
  <c r="Y924"/>
  <c r="Y925"/>
  <c r="Y926"/>
  <c r="Y927"/>
  <c r="Y928"/>
  <c r="Y929"/>
  <c r="Y930"/>
  <c r="Y931"/>
  <c r="Y932"/>
  <c r="Y933"/>
  <c r="Y934"/>
  <c r="Y935"/>
  <c r="Y936"/>
  <c r="Y937"/>
  <c r="Y938"/>
  <c r="Y939"/>
  <c r="Y940"/>
  <c r="Y941"/>
  <c r="Y942"/>
  <c r="Y943"/>
  <c r="Y944"/>
  <c r="Y945"/>
  <c r="Y946"/>
  <c r="Y947"/>
  <c r="Y948"/>
  <c r="Y949"/>
  <c r="Y950"/>
  <c r="Y951"/>
  <c r="Y952"/>
  <c r="Y953"/>
  <c r="Y954"/>
  <c r="Y955"/>
  <c r="Y956"/>
  <c r="Y957"/>
  <c r="Y958"/>
  <c r="Y959"/>
  <c r="Y960"/>
  <c r="Y961"/>
  <c r="Y962"/>
  <c r="Y963"/>
  <c r="Y964"/>
  <c r="Y965"/>
  <c r="Y966"/>
  <c r="Y801"/>
  <c r="R6" i="4"/>
  <c r="R8"/>
  <c r="R9"/>
  <c r="R10"/>
  <c r="R11"/>
  <c r="R12"/>
  <c r="R13"/>
  <c r="R14"/>
  <c r="R15"/>
  <c r="R16"/>
  <c r="R17"/>
  <c r="R19"/>
  <c r="R20"/>
  <c r="R21"/>
  <c r="R5"/>
  <c r="Y637" i="32"/>
  <c r="Y638"/>
  <c r="Y639"/>
  <c r="Y640"/>
  <c r="Y641"/>
  <c r="Y642"/>
  <c r="Y643"/>
  <c r="Y644"/>
  <c r="Y645"/>
  <c r="Y646"/>
  <c r="Y647"/>
  <c r="Y648"/>
  <c r="Y649"/>
  <c r="Y650"/>
  <c r="Y651"/>
  <c r="Y652"/>
  <c r="Y653"/>
  <c r="Y654"/>
  <c r="Y655"/>
  <c r="Y656"/>
  <c r="Y657"/>
  <c r="Y659"/>
  <c r="Y660"/>
  <c r="Y661"/>
  <c r="Y662"/>
  <c r="Y663"/>
  <c r="Y664"/>
  <c r="Y665"/>
  <c r="Y666"/>
  <c r="Y667"/>
  <c r="Y668"/>
  <c r="Y669"/>
  <c r="Y670"/>
  <c r="Y671"/>
  <c r="Y672"/>
  <c r="Y673"/>
  <c r="Y674"/>
  <c r="Y675"/>
  <c r="Y676"/>
  <c r="Y677"/>
  <c r="Y678"/>
  <c r="Y679"/>
  <c r="Y680"/>
  <c r="Y681"/>
  <c r="Y682"/>
  <c r="Y683"/>
  <c r="Y684"/>
  <c r="Y685"/>
  <c r="Y686"/>
  <c r="Y687"/>
  <c r="Y688"/>
  <c r="Y689"/>
  <c r="Y690"/>
  <c r="Y691"/>
  <c r="Y692"/>
  <c r="Y693"/>
  <c r="Y694"/>
  <c r="Y695"/>
  <c r="Y696"/>
  <c r="Y697"/>
  <c r="Y698"/>
  <c r="Y699"/>
  <c r="Y700"/>
  <c r="Y701"/>
  <c r="Y702"/>
  <c r="Y703"/>
  <c r="Y704"/>
  <c r="Y705"/>
  <c r="Y706"/>
  <c r="Y707"/>
  <c r="Y708"/>
  <c r="Y709"/>
  <c r="Y711"/>
  <c r="Y712"/>
  <c r="Y713"/>
  <c r="Y714"/>
  <c r="Y715"/>
  <c r="Y716"/>
  <c r="Y718"/>
  <c r="Y719"/>
  <c r="Y720"/>
  <c r="Y722"/>
  <c r="Y723"/>
  <c r="Y724"/>
  <c r="Y725"/>
  <c r="Y726"/>
  <c r="Y727"/>
  <c r="Y728"/>
  <c r="Y729"/>
  <c r="Y730"/>
  <c r="Y731"/>
  <c r="Y732"/>
  <c r="Y733"/>
  <c r="Y734"/>
  <c r="Y735"/>
  <c r="Y736"/>
  <c r="Y737"/>
  <c r="Y738"/>
  <c r="Y739"/>
  <c r="Y740"/>
  <c r="Y741"/>
  <c r="Y742"/>
  <c r="Y743"/>
  <c r="Y744"/>
  <c r="Y745"/>
  <c r="Y746"/>
  <c r="Y747"/>
  <c r="Y748"/>
  <c r="Y749"/>
  <c r="Y750"/>
  <c r="Y751"/>
  <c r="Y752"/>
  <c r="Y754"/>
  <c r="Y755"/>
  <c r="Y756"/>
  <c r="Y757"/>
  <c r="Y758"/>
  <c r="Y759"/>
  <c r="Y760"/>
  <c r="Y761"/>
  <c r="Y762"/>
  <c r="Y763"/>
  <c r="Y764"/>
  <c r="Y765"/>
  <c r="Y766"/>
  <c r="Y767"/>
  <c r="Y768"/>
  <c r="Y769"/>
  <c r="Y770"/>
  <c r="Y771"/>
  <c r="Y772"/>
  <c r="Y773"/>
  <c r="Y774"/>
  <c r="Y775"/>
  <c r="Y776"/>
  <c r="Y777"/>
  <c r="Y778"/>
  <c r="Y779"/>
  <c r="Y781"/>
  <c r="Y782"/>
  <c r="Y783"/>
  <c r="Y784"/>
  <c r="Y785"/>
  <c r="Y786"/>
  <c r="Y787"/>
  <c r="Y788"/>
  <c r="Y789"/>
  <c r="Y790"/>
  <c r="Y791"/>
  <c r="Y792"/>
  <c r="Y793"/>
  <c r="Y794"/>
  <c r="Y795"/>
  <c r="Y796"/>
  <c r="Y797"/>
  <c r="Y798"/>
  <c r="Y799"/>
  <c r="Y800"/>
  <c r="Y636"/>
  <c r="R4" i="4"/>
  <c r="S6"/>
  <c r="T6"/>
  <c r="U6"/>
  <c r="V6"/>
  <c r="W6"/>
  <c r="S8"/>
  <c r="T8"/>
  <c r="U8"/>
  <c r="V8"/>
  <c r="W8"/>
  <c r="S9"/>
  <c r="T9"/>
  <c r="U9"/>
  <c r="V9"/>
  <c r="W9"/>
  <c r="S10"/>
  <c r="T10"/>
  <c r="U10"/>
  <c r="V10"/>
  <c r="W10"/>
  <c r="S11"/>
  <c r="T11"/>
  <c r="U11"/>
  <c r="V11"/>
  <c r="W11"/>
  <c r="S12"/>
  <c r="T12"/>
  <c r="U12"/>
  <c r="V12"/>
  <c r="W12"/>
  <c r="S13"/>
  <c r="T13"/>
  <c r="U13"/>
  <c r="V13"/>
  <c r="W13"/>
  <c r="S14"/>
  <c r="T14"/>
  <c r="U14"/>
  <c r="V14"/>
  <c r="W14"/>
  <c r="S15"/>
  <c r="T15"/>
  <c r="U15"/>
  <c r="V15"/>
  <c r="W15"/>
  <c r="S16"/>
  <c r="T16"/>
  <c r="U16"/>
  <c r="V16"/>
  <c r="W16"/>
  <c r="S17"/>
  <c r="T17"/>
  <c r="U17"/>
  <c r="V17"/>
  <c r="W17"/>
  <c r="S19"/>
  <c r="T19"/>
  <c r="U19"/>
  <c r="V19"/>
  <c r="W19"/>
  <c r="S20"/>
  <c r="T20"/>
  <c r="U20"/>
  <c r="V20"/>
  <c r="W20"/>
  <c r="S21"/>
  <c r="T21"/>
  <c r="U21"/>
  <c r="V21"/>
  <c r="W21"/>
  <c r="W5"/>
  <c r="V5"/>
  <c r="U5"/>
  <c r="T5"/>
  <c r="S5"/>
  <c r="Y3" i="32" l="1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37"/>
  <c r="Y138"/>
  <c r="Y139"/>
  <c r="Y140"/>
  <c r="Y141"/>
  <c r="Y142"/>
  <c r="Y144"/>
  <c r="Y145"/>
  <c r="Y146"/>
  <c r="Y147"/>
  <c r="Y148"/>
  <c r="Y149"/>
  <c r="Y150"/>
  <c r="Y151"/>
  <c r="Y152"/>
  <c r="Y153"/>
  <c r="Y154"/>
  <c r="Y155"/>
  <c r="Y156"/>
  <c r="Y157"/>
  <c r="Y158"/>
  <c r="Y159"/>
  <c r="Y160"/>
  <c r="Y161"/>
  <c r="Y162"/>
  <c r="Y163"/>
  <c r="Y164"/>
  <c r="Y165"/>
  <c r="Y166"/>
  <c r="Y167"/>
  <c r="Y168"/>
  <c r="Y169"/>
  <c r="Y170"/>
  <c r="Y171"/>
  <c r="Y172"/>
  <c r="Y173"/>
  <c r="Y174"/>
  <c r="Y175"/>
  <c r="Y176"/>
  <c r="Y177"/>
  <c r="Y178"/>
  <c r="Y179"/>
  <c r="Y180"/>
  <c r="Y181"/>
  <c r="Y182"/>
  <c r="Y183"/>
  <c r="Y184"/>
  <c r="Y185"/>
  <c r="Y186"/>
  <c r="Y187"/>
  <c r="Y188"/>
  <c r="Y189"/>
  <c r="Y190"/>
  <c r="Y191"/>
  <c r="Y192"/>
  <c r="Y193"/>
  <c r="Y194"/>
  <c r="Y195"/>
  <c r="Y196"/>
  <c r="Y197"/>
  <c r="Y198"/>
  <c r="Y199"/>
  <c r="Y200"/>
  <c r="Y201"/>
  <c r="Y202"/>
  <c r="Y203"/>
  <c r="Y204"/>
  <c r="Y205"/>
  <c r="Y206"/>
  <c r="Y207"/>
  <c r="Y208"/>
  <c r="Y209"/>
  <c r="Y210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Y236"/>
  <c r="Y237"/>
  <c r="Y238"/>
  <c r="Y239"/>
  <c r="Y240"/>
  <c r="Y241"/>
  <c r="Y242"/>
  <c r="Y243"/>
  <c r="Y244"/>
  <c r="Y245"/>
  <c r="Y246"/>
  <c r="Y247"/>
  <c r="Y248"/>
  <c r="Y249"/>
  <c r="Y250"/>
  <c r="Y251"/>
  <c r="Y252"/>
  <c r="Y253"/>
  <c r="Y254"/>
  <c r="Y255"/>
  <c r="Y256"/>
  <c r="Y257"/>
  <c r="Y258"/>
  <c r="Y259"/>
  <c r="Y260"/>
  <c r="Y261"/>
  <c r="Y262"/>
  <c r="Y263"/>
  <c r="Y264"/>
  <c r="Y265"/>
  <c r="Y266"/>
  <c r="Y267"/>
  <c r="Y268"/>
  <c r="Y269"/>
  <c r="Y270"/>
  <c r="Y271"/>
  <c r="Y272"/>
  <c r="Y273"/>
  <c r="Y274"/>
  <c r="Y275"/>
  <c r="Y276"/>
  <c r="Y277"/>
  <c r="Y278"/>
  <c r="Y279"/>
  <c r="Y280"/>
  <c r="Y281"/>
  <c r="Y282"/>
  <c r="Y283"/>
  <c r="Y284"/>
  <c r="Y285"/>
  <c r="Y286"/>
  <c r="Y287"/>
  <c r="Y288"/>
  <c r="Y289"/>
  <c r="Y290"/>
  <c r="Y291"/>
  <c r="Y292"/>
  <c r="Y293"/>
  <c r="Y294"/>
  <c r="Y295"/>
  <c r="Y296"/>
  <c r="Y297"/>
  <c r="Y298"/>
  <c r="Y299"/>
  <c r="Y300"/>
  <c r="Y301"/>
  <c r="Y302"/>
  <c r="Y303"/>
  <c r="Y304"/>
  <c r="Y305"/>
  <c r="Y306"/>
  <c r="Y307"/>
  <c r="Y308"/>
  <c r="Y309"/>
  <c r="Y310"/>
  <c r="Y311"/>
  <c r="Y312"/>
  <c r="Y313"/>
  <c r="Y314"/>
  <c r="Y315"/>
  <c r="Y316"/>
  <c r="Y317"/>
  <c r="Y318"/>
  <c r="Y319"/>
  <c r="Y320"/>
  <c r="Y321"/>
  <c r="Y322"/>
  <c r="Y323"/>
  <c r="Y324"/>
  <c r="Y325"/>
  <c r="Y326"/>
  <c r="Y327"/>
  <c r="Y328"/>
  <c r="Y329"/>
  <c r="Y330"/>
  <c r="Y331"/>
  <c r="Y332"/>
  <c r="Y333"/>
  <c r="Y334"/>
  <c r="Y335"/>
  <c r="Y336"/>
  <c r="Y337"/>
  <c r="Y338"/>
  <c r="Y339"/>
  <c r="Y340"/>
  <c r="Y341"/>
  <c r="Y342"/>
  <c r="Y343"/>
  <c r="Y344"/>
  <c r="Y345"/>
  <c r="Y346"/>
  <c r="Y347"/>
  <c r="Y348"/>
  <c r="Y349"/>
  <c r="Y350"/>
  <c r="Y351"/>
  <c r="Y352"/>
  <c r="Y353"/>
  <c r="Y354"/>
  <c r="Y355"/>
  <c r="Y356"/>
  <c r="Y357"/>
  <c r="Y358"/>
  <c r="Y359"/>
  <c r="Y360"/>
  <c r="Y361"/>
  <c r="Y362"/>
  <c r="Y363"/>
  <c r="Y364"/>
  <c r="Y365"/>
  <c r="Y366"/>
  <c r="Y367"/>
  <c r="Y368"/>
  <c r="Y369"/>
  <c r="Y370"/>
  <c r="Y371"/>
  <c r="Y372"/>
  <c r="Y373"/>
  <c r="Y374"/>
  <c r="Y375"/>
  <c r="Y376"/>
  <c r="Y377"/>
  <c r="Y378"/>
  <c r="Y379"/>
  <c r="Y380"/>
  <c r="Y381"/>
  <c r="Y382"/>
  <c r="Y383"/>
  <c r="Y384"/>
  <c r="Y385"/>
  <c r="Y386"/>
  <c r="Y387"/>
  <c r="Y388"/>
  <c r="Y389"/>
  <c r="Y390"/>
  <c r="Y391"/>
  <c r="Y392"/>
  <c r="Y393"/>
  <c r="Y394"/>
  <c r="Y395"/>
  <c r="Y396"/>
  <c r="Y397"/>
  <c r="Y398"/>
  <c r="Y399"/>
  <c r="Y400"/>
  <c r="Y401"/>
  <c r="Y402"/>
  <c r="Y403"/>
  <c r="Y404"/>
  <c r="Y405"/>
  <c r="Y406"/>
  <c r="Y407"/>
  <c r="Y408"/>
  <c r="Y409"/>
  <c r="Y410"/>
  <c r="Y411"/>
  <c r="Y412"/>
  <c r="Y413"/>
  <c r="Y414"/>
  <c r="Y415"/>
  <c r="Y416"/>
  <c r="Y417"/>
  <c r="Y418"/>
  <c r="Y419"/>
  <c r="Y420"/>
  <c r="Y421"/>
  <c r="Y422"/>
  <c r="Y423"/>
  <c r="Y424"/>
  <c r="Y425"/>
  <c r="Y426"/>
  <c r="Y427"/>
  <c r="Y428"/>
  <c r="Y429"/>
  <c r="Y430"/>
  <c r="Y431"/>
  <c r="Y432"/>
  <c r="Y433"/>
  <c r="Y434"/>
  <c r="Y435"/>
  <c r="Y436"/>
  <c r="Y437"/>
  <c r="Y438"/>
  <c r="Y439"/>
  <c r="Y440"/>
  <c r="Y441"/>
  <c r="Y442"/>
  <c r="Y443"/>
  <c r="Y444"/>
  <c r="Y445"/>
  <c r="Y446"/>
  <c r="Y447"/>
  <c r="Y448"/>
  <c r="Y449"/>
  <c r="Y450"/>
  <c r="Y451"/>
  <c r="Y452"/>
  <c r="Y453"/>
  <c r="Y454"/>
  <c r="Y455"/>
  <c r="Y456"/>
  <c r="Y457"/>
  <c r="Y458"/>
  <c r="Y459"/>
  <c r="Y460"/>
  <c r="Y461"/>
  <c r="Y462"/>
  <c r="Y463"/>
  <c r="Y464"/>
  <c r="Y465"/>
  <c r="Y466"/>
  <c r="Y467"/>
  <c r="Y468"/>
  <c r="Y469"/>
  <c r="Y470"/>
  <c r="Y471"/>
  <c r="Y472"/>
  <c r="Y473"/>
  <c r="Y474"/>
  <c r="Y475"/>
  <c r="Y476"/>
  <c r="Y477"/>
  <c r="Y478"/>
  <c r="Y479"/>
  <c r="Y480"/>
  <c r="Y481"/>
  <c r="Y482"/>
  <c r="Y483"/>
  <c r="Y484"/>
  <c r="Y485"/>
  <c r="Y486"/>
  <c r="Y487"/>
  <c r="Y489"/>
  <c r="Y490"/>
  <c r="Y491"/>
  <c r="Y492"/>
  <c r="Y493"/>
  <c r="Y494"/>
  <c r="Y495"/>
  <c r="Y496"/>
  <c r="Y497"/>
  <c r="Y498"/>
  <c r="Y499"/>
  <c r="Y500"/>
  <c r="Y501"/>
  <c r="Y502"/>
  <c r="Y503"/>
  <c r="Y504"/>
  <c r="Y505"/>
  <c r="Y506"/>
  <c r="Y507"/>
  <c r="Y508"/>
  <c r="Y509"/>
  <c r="Y510"/>
  <c r="Y511"/>
  <c r="Y512"/>
  <c r="Y513"/>
  <c r="Y514"/>
  <c r="Y515"/>
  <c r="Y516"/>
  <c r="Y517"/>
  <c r="Y518"/>
  <c r="Y519"/>
  <c r="Y520"/>
  <c r="Y521"/>
  <c r="Y522"/>
  <c r="Y523"/>
  <c r="Y524"/>
  <c r="Y525"/>
  <c r="Y526"/>
  <c r="Y527"/>
  <c r="Y528"/>
  <c r="Y529"/>
  <c r="Y530"/>
  <c r="Y531"/>
  <c r="Y532"/>
  <c r="Y533"/>
  <c r="Y534"/>
  <c r="Y535"/>
  <c r="Y537"/>
  <c r="Y538"/>
  <c r="Y539"/>
  <c r="Y540"/>
  <c r="Y541"/>
  <c r="Y542"/>
  <c r="Y543"/>
  <c r="Y544"/>
  <c r="Y545"/>
  <c r="Y546"/>
  <c r="Y547"/>
  <c r="Y548"/>
  <c r="Y549"/>
  <c r="Y550"/>
  <c r="Y551"/>
  <c r="Y552"/>
  <c r="Y553"/>
  <c r="Y554"/>
  <c r="Y555"/>
  <c r="Y556"/>
  <c r="Y557"/>
  <c r="Y558"/>
  <c r="Y559"/>
  <c r="Y560"/>
  <c r="Y561"/>
  <c r="Y562"/>
  <c r="Y563"/>
  <c r="Y564"/>
  <c r="Y565"/>
  <c r="Y567"/>
  <c r="Y568"/>
  <c r="Y569"/>
  <c r="Y570"/>
  <c r="Y571"/>
  <c r="Y572"/>
  <c r="Y573"/>
  <c r="Y574"/>
  <c r="Y575"/>
  <c r="Y576"/>
  <c r="Y577"/>
  <c r="Y578"/>
  <c r="Y579"/>
  <c r="Y580"/>
  <c r="Y581"/>
  <c r="Y582"/>
  <c r="Y583"/>
  <c r="Y584"/>
  <c r="Y585"/>
  <c r="Y586"/>
  <c r="Y587"/>
  <c r="Y588"/>
  <c r="Y589"/>
  <c r="Y590"/>
  <c r="Y591"/>
  <c r="Y592"/>
  <c r="Y593"/>
  <c r="Y594"/>
  <c r="Y595"/>
  <c r="Y596"/>
  <c r="Y597"/>
  <c r="Y598"/>
  <c r="Y599"/>
  <c r="Y600"/>
  <c r="Y601"/>
  <c r="Y602"/>
  <c r="Y603"/>
  <c r="Y604"/>
  <c r="Y605"/>
  <c r="Y606"/>
  <c r="Y607"/>
  <c r="Y608"/>
  <c r="Y609"/>
  <c r="Y610"/>
  <c r="Y611"/>
  <c r="Y612"/>
  <c r="Y613"/>
  <c r="Y614"/>
  <c r="Y615"/>
  <c r="Y616"/>
  <c r="Y617"/>
  <c r="Y618"/>
  <c r="Y619"/>
  <c r="Y620"/>
  <c r="Y621"/>
  <c r="Y622"/>
  <c r="Y623"/>
  <c r="Y624"/>
  <c r="Y625"/>
  <c r="Y626"/>
  <c r="Y627"/>
  <c r="Y628"/>
  <c r="Y629"/>
  <c r="Y630"/>
  <c r="Y631"/>
  <c r="Y632"/>
  <c r="Y633"/>
  <c r="Y634"/>
  <c r="Y635"/>
  <c r="Y2"/>
  <c r="V4" i="4"/>
  <c r="D21"/>
  <c r="E21" s="1"/>
  <c r="D19"/>
  <c r="E19" s="1"/>
  <c r="D17"/>
  <c r="E17" s="1"/>
  <c r="D15"/>
  <c r="E15" s="1"/>
  <c r="D14"/>
  <c r="E14" s="1"/>
  <c r="D13"/>
  <c r="E13" s="1"/>
  <c r="D12"/>
  <c r="E12" s="1"/>
  <c r="D11"/>
  <c r="E11" s="1"/>
  <c r="D10"/>
  <c r="E10" s="1"/>
  <c r="D9"/>
  <c r="E9" s="1"/>
  <c r="D8"/>
  <c r="E8" s="1"/>
  <c r="D7"/>
  <c r="E7" s="1"/>
  <c r="D6"/>
  <c r="E6" s="1"/>
  <c r="E20"/>
  <c r="D5"/>
  <c r="E5" s="1"/>
  <c r="AD69" i="45"/>
  <c r="AE69" s="1"/>
  <c r="AE68"/>
  <c r="AD68"/>
  <c r="AD70" s="1"/>
  <c r="AE70" s="1"/>
  <c r="AE62"/>
  <c r="AE59"/>
  <c r="J54"/>
  <c r="N53"/>
  <c r="P47"/>
  <c r="O47"/>
  <c r="F47"/>
  <c r="G47" s="1"/>
  <c r="AE44"/>
  <c r="D44"/>
  <c r="D45" s="1"/>
  <c r="P43"/>
  <c r="K43"/>
  <c r="J43"/>
  <c r="I43"/>
  <c r="H43"/>
  <c r="F43"/>
  <c r="N43" s="1"/>
  <c r="P42"/>
  <c r="N42"/>
  <c r="Q42" s="1"/>
  <c r="K42"/>
  <c r="J42"/>
  <c r="I42"/>
  <c r="H42"/>
  <c r="F42"/>
  <c r="P41"/>
  <c r="O41"/>
  <c r="N41"/>
  <c r="Q41" s="1"/>
  <c r="K41"/>
  <c r="J41"/>
  <c r="I41"/>
  <c r="H41"/>
  <c r="F41"/>
  <c r="P40"/>
  <c r="O40"/>
  <c r="N40"/>
  <c r="K40"/>
  <c r="J40"/>
  <c r="I40"/>
  <c r="H40"/>
  <c r="F40"/>
  <c r="P39"/>
  <c r="O39"/>
  <c r="N39"/>
  <c r="Q39" s="1"/>
  <c r="K39"/>
  <c r="J39"/>
  <c r="I39"/>
  <c r="H39"/>
  <c r="F39"/>
  <c r="P38"/>
  <c r="O38"/>
  <c r="N38"/>
  <c r="M38" s="1"/>
  <c r="K38"/>
  <c r="J38"/>
  <c r="I38"/>
  <c r="H38"/>
  <c r="L38" s="1"/>
  <c r="Q38" s="1"/>
  <c r="F38"/>
  <c r="O37"/>
  <c r="N37"/>
  <c r="Q37" s="1"/>
  <c r="K37"/>
  <c r="J37"/>
  <c r="I37"/>
  <c r="H37"/>
  <c r="F37"/>
  <c r="N36"/>
  <c r="P36" s="1"/>
  <c r="M36"/>
  <c r="K36"/>
  <c r="J36"/>
  <c r="I36"/>
  <c r="H36"/>
  <c r="F36"/>
  <c r="K35"/>
  <c r="J35"/>
  <c r="I35"/>
  <c r="H35"/>
  <c r="F35"/>
  <c r="N35" s="1"/>
  <c r="O34"/>
  <c r="K34"/>
  <c r="J34"/>
  <c r="I34"/>
  <c r="H34"/>
  <c r="F34"/>
  <c r="N34" s="1"/>
  <c r="K33"/>
  <c r="J33"/>
  <c r="I33"/>
  <c r="H33"/>
  <c r="F33"/>
  <c r="N33" s="1"/>
  <c r="O32"/>
  <c r="N32"/>
  <c r="Q32" s="1"/>
  <c r="K32"/>
  <c r="J32"/>
  <c r="I32"/>
  <c r="H32"/>
  <c r="F32"/>
  <c r="K31"/>
  <c r="J31"/>
  <c r="I31"/>
  <c r="H31"/>
  <c r="F31"/>
  <c r="N31" s="1"/>
  <c r="K30"/>
  <c r="J30"/>
  <c r="I30"/>
  <c r="H30"/>
  <c r="F30"/>
  <c r="N30" s="1"/>
  <c r="N29"/>
  <c r="P29" s="1"/>
  <c r="M29"/>
  <c r="K29"/>
  <c r="J29"/>
  <c r="I29"/>
  <c r="H29"/>
  <c r="F29"/>
  <c r="O28"/>
  <c r="K28"/>
  <c r="J28"/>
  <c r="I28"/>
  <c r="H28"/>
  <c r="F28"/>
  <c r="N28" s="1"/>
  <c r="Q27"/>
  <c r="O27"/>
  <c r="N27"/>
  <c r="P27" s="1"/>
  <c r="M27"/>
  <c r="K27"/>
  <c r="J27"/>
  <c r="I27"/>
  <c r="H27"/>
  <c r="F27"/>
  <c r="O26"/>
  <c r="N26"/>
  <c r="Q26" s="1"/>
  <c r="K26"/>
  <c r="J26"/>
  <c r="I26"/>
  <c r="H26"/>
  <c r="F26"/>
  <c r="K25"/>
  <c r="J25"/>
  <c r="I25"/>
  <c r="H25"/>
  <c r="F25"/>
  <c r="N25" s="1"/>
  <c r="K24"/>
  <c r="J24"/>
  <c r="I24"/>
  <c r="H24"/>
  <c r="F24"/>
  <c r="N24" s="1"/>
  <c r="O23"/>
  <c r="N23"/>
  <c r="Q23" s="1"/>
  <c r="M23"/>
  <c r="K23"/>
  <c r="J23"/>
  <c r="I23"/>
  <c r="H23"/>
  <c r="F23"/>
  <c r="N22"/>
  <c r="P22" s="1"/>
  <c r="K22"/>
  <c r="J22"/>
  <c r="I22"/>
  <c r="H22"/>
  <c r="F22"/>
  <c r="K21"/>
  <c r="J21"/>
  <c r="I21"/>
  <c r="H21"/>
  <c r="F21"/>
  <c r="N21" s="1"/>
  <c r="P20"/>
  <c r="N20"/>
  <c r="M20"/>
  <c r="K20"/>
  <c r="J20"/>
  <c r="I20"/>
  <c r="H20"/>
  <c r="F20"/>
  <c r="O19"/>
  <c r="F19"/>
  <c r="G19" s="1"/>
  <c r="P18"/>
  <c r="F18"/>
  <c r="G18" s="1"/>
  <c r="P17"/>
  <c r="O17"/>
  <c r="F17"/>
  <c r="G17" s="1"/>
  <c r="P16"/>
  <c r="F16"/>
  <c r="G16" s="1"/>
  <c r="P15"/>
  <c r="E15"/>
  <c r="E44" s="1"/>
  <c r="E45" s="1"/>
  <c r="D14"/>
  <c r="P13"/>
  <c r="O13"/>
  <c r="L13"/>
  <c r="F13"/>
  <c r="G13" s="1"/>
  <c r="P12"/>
  <c r="I12"/>
  <c r="G12"/>
  <c r="J12" s="1"/>
  <c r="F12"/>
  <c r="L12" s="1"/>
  <c r="Q12" s="1"/>
  <c r="U11"/>
  <c r="P11"/>
  <c r="P14" s="1"/>
  <c r="F11"/>
  <c r="G11" s="1"/>
  <c r="E11"/>
  <c r="E14" s="1"/>
  <c r="P10"/>
  <c r="O10"/>
  <c r="I10"/>
  <c r="G10"/>
  <c r="J10" s="1"/>
  <c r="F10"/>
  <c r="L10" s="1"/>
  <c r="Q10" s="1"/>
  <c r="P9"/>
  <c r="F9"/>
  <c r="G9" s="1"/>
  <c r="P8"/>
  <c r="O8"/>
  <c r="L8"/>
  <c r="Q8" s="1"/>
  <c r="F8"/>
  <c r="G8" s="1"/>
  <c r="P7"/>
  <c r="O7"/>
  <c r="L7"/>
  <c r="Q7" s="1"/>
  <c r="F7"/>
  <c r="G7" s="1"/>
  <c r="G6"/>
  <c r="F6"/>
  <c r="L6" s="1"/>
  <c r="H18" i="4" l="1"/>
  <c r="F5"/>
  <c r="U4"/>
  <c r="T4" s="1"/>
  <c r="S4" s="1"/>
  <c r="I7" i="45"/>
  <c r="J7"/>
  <c r="H7"/>
  <c r="K7"/>
  <c r="K11"/>
  <c r="H11"/>
  <c r="I11"/>
  <c r="J11"/>
  <c r="I13"/>
  <c r="J13"/>
  <c r="H13"/>
  <c r="K13"/>
  <c r="K18"/>
  <c r="H18"/>
  <c r="J18"/>
  <c r="I18"/>
  <c r="M21"/>
  <c r="P21"/>
  <c r="Q21"/>
  <c r="T12" s="1"/>
  <c r="Q25"/>
  <c r="AD55" s="1"/>
  <c r="AE55" s="1"/>
  <c r="M25"/>
  <c r="P25"/>
  <c r="Q34"/>
  <c r="M34"/>
  <c r="P34"/>
  <c r="Q43"/>
  <c r="M43"/>
  <c r="D51"/>
  <c r="D52" s="1"/>
  <c r="G14"/>
  <c r="I8"/>
  <c r="J8"/>
  <c r="H8"/>
  <c r="K8"/>
  <c r="O6"/>
  <c r="O14" s="1"/>
  <c r="Q6"/>
  <c r="J16"/>
  <c r="K16"/>
  <c r="I16"/>
  <c r="H16"/>
  <c r="M24"/>
  <c r="Q24"/>
  <c r="P24"/>
  <c r="Q31"/>
  <c r="M31"/>
  <c r="P31"/>
  <c r="Q33"/>
  <c r="T16" s="1"/>
  <c r="V16" s="1"/>
  <c r="M33"/>
  <c r="P33"/>
  <c r="K9"/>
  <c r="H9"/>
  <c r="J9"/>
  <c r="I9"/>
  <c r="J17"/>
  <c r="K17"/>
  <c r="H17"/>
  <c r="I17"/>
  <c r="P28"/>
  <c r="Q28"/>
  <c r="T13" s="1"/>
  <c r="M28"/>
  <c r="J19"/>
  <c r="K19"/>
  <c r="H19"/>
  <c r="I19"/>
  <c r="M30"/>
  <c r="P30"/>
  <c r="Q30"/>
  <c r="M35"/>
  <c r="Q35"/>
  <c r="P35"/>
  <c r="N44"/>
  <c r="N45" s="1"/>
  <c r="T17"/>
  <c r="AD51" s="1"/>
  <c r="AE51" s="1"/>
  <c r="F45"/>
  <c r="F14"/>
  <c r="J6"/>
  <c r="J14" s="1"/>
  <c r="H10"/>
  <c r="O11"/>
  <c r="H12"/>
  <c r="Q13"/>
  <c r="L16"/>
  <c r="L17"/>
  <c r="Q17" s="1"/>
  <c r="L19"/>
  <c r="Q20"/>
  <c r="T14" s="1"/>
  <c r="M22"/>
  <c r="M44" s="1"/>
  <c r="M45" s="1"/>
  <c r="M26"/>
  <c r="Q29"/>
  <c r="T15" s="1"/>
  <c r="M32"/>
  <c r="Q36"/>
  <c r="M37"/>
  <c r="M39"/>
  <c r="M40"/>
  <c r="Q40"/>
  <c r="M41"/>
  <c r="M42"/>
  <c r="N47"/>
  <c r="Q47" s="1"/>
  <c r="C51" s="1"/>
  <c r="C52" s="1"/>
  <c r="K6"/>
  <c r="I6"/>
  <c r="L9"/>
  <c r="Q9" s="1"/>
  <c r="T7" s="1"/>
  <c r="K10"/>
  <c r="L11"/>
  <c r="Q11" s="1"/>
  <c r="K12"/>
  <c r="L18"/>
  <c r="Q18" s="1"/>
  <c r="Q22"/>
  <c r="H6"/>
  <c r="F15"/>
  <c r="F18" i="4"/>
  <c r="D18"/>
  <c r="E18" s="1"/>
  <c r="AA7" i="45" l="1"/>
  <c r="X7" s="1"/>
  <c r="V7"/>
  <c r="Z7" s="1"/>
  <c r="W7" s="1"/>
  <c r="AD32" s="1"/>
  <c r="AD40"/>
  <c r="V15"/>
  <c r="P19"/>
  <c r="P44" s="1"/>
  <c r="P45" s="1"/>
  <c r="Q19"/>
  <c r="T21"/>
  <c r="AD48"/>
  <c r="AE48" s="1"/>
  <c r="V12"/>
  <c r="AD36"/>
  <c r="AE36" s="1"/>
  <c r="AD65"/>
  <c r="V14"/>
  <c r="AD39"/>
  <c r="AE39" s="1"/>
  <c r="Q16"/>
  <c r="O16"/>
  <c r="V13"/>
  <c r="AD50"/>
  <c r="AE50" s="1"/>
  <c r="AD37"/>
  <c r="F44"/>
  <c r="G15"/>
  <c r="L15"/>
  <c r="Q14"/>
  <c r="F51"/>
  <c r="F52" s="1"/>
  <c r="G51"/>
  <c r="G52" s="1"/>
  <c r="T8"/>
  <c r="L14"/>
  <c r="H14"/>
  <c r="K14"/>
  <c r="I14"/>
  <c r="T10"/>
  <c r="G22" i="4"/>
  <c r="J15" i="45" l="1"/>
  <c r="J44" s="1"/>
  <c r="J45" s="1"/>
  <c r="K15"/>
  <c r="K44" s="1"/>
  <c r="K45" s="1"/>
  <c r="G44"/>
  <c r="G45" s="1"/>
  <c r="H15"/>
  <c r="H44" s="1"/>
  <c r="H45" s="1"/>
  <c r="I15"/>
  <c r="I44" s="1"/>
  <c r="I45" s="1"/>
  <c r="Q15"/>
  <c r="O15"/>
  <c r="O44" s="1"/>
  <c r="O45" s="1"/>
  <c r="L44"/>
  <c r="L45" s="1"/>
  <c r="E51"/>
  <c r="E52" s="1"/>
  <c r="AE32"/>
  <c r="V8"/>
  <c r="X8" s="1"/>
  <c r="AA8"/>
  <c r="AD38"/>
  <c r="AE37"/>
  <c r="T9"/>
  <c r="AD53"/>
  <c r="AD43"/>
  <c r="AA10"/>
  <c r="V10"/>
  <c r="X10" s="1"/>
  <c r="AD49"/>
  <c r="AE49" s="1"/>
  <c r="AD67"/>
  <c r="AE65"/>
  <c r="AE67" s="1"/>
  <c r="AD66"/>
  <c r="AE66" s="1"/>
  <c r="AE40"/>
  <c r="AE41" s="1"/>
  <c r="AD41"/>
  <c r="AE38"/>
  <c r="AD57"/>
  <c r="AE57" s="1"/>
  <c r="AE58" s="1"/>
  <c r="AD56" l="1"/>
  <c r="AD54"/>
  <c r="AE54" s="1"/>
  <c r="AE53"/>
  <c r="AE43"/>
  <c r="Q44"/>
  <c r="Q45" s="1"/>
  <c r="Q48" s="1"/>
  <c r="T6"/>
  <c r="V9"/>
  <c r="W9" s="1"/>
  <c r="AD33" s="1"/>
  <c r="Z9"/>
  <c r="D16" i="4"/>
  <c r="E16" s="1"/>
  <c r="AE33" i="45" l="1"/>
  <c r="AA6"/>
  <c r="V6"/>
  <c r="T11"/>
  <c r="AD47"/>
  <c r="AE47" s="1"/>
  <c r="AD60"/>
  <c r="Z6"/>
  <c r="AE56"/>
  <c r="E22" i="4"/>
  <c r="AD63" i="45" l="1"/>
  <c r="AD46"/>
  <c r="AD42"/>
  <c r="V11"/>
  <c r="Z12" s="1"/>
  <c r="AA12" s="1"/>
  <c r="AE60"/>
  <c r="AE61" s="1"/>
  <c r="AD61"/>
  <c r="AA11"/>
  <c r="X6"/>
  <c r="X11" s="1"/>
  <c r="W6"/>
  <c r="Z11"/>
  <c r="H8" i="4"/>
  <c r="H21"/>
  <c r="W11" i="45" l="1"/>
  <c r="AD34"/>
  <c r="AE63"/>
  <c r="AE64" s="1"/>
  <c r="AD64"/>
  <c r="AE46"/>
  <c r="AE52" s="1"/>
  <c r="AD52"/>
  <c r="AE42"/>
  <c r="AE45" s="1"/>
  <c r="AD45"/>
  <c r="AE34" l="1"/>
  <c r="AE35" s="1"/>
  <c r="AD35"/>
  <c r="H16" i="4"/>
  <c r="H10"/>
  <c r="H9" l="1"/>
  <c r="H6"/>
  <c r="H19" l="1"/>
  <c r="J20"/>
  <c r="J19" l="1"/>
  <c r="J7"/>
  <c r="J17"/>
  <c r="J15"/>
  <c r="H14"/>
  <c r="J21"/>
  <c r="H11"/>
  <c r="F6"/>
  <c r="F7"/>
  <c r="F16"/>
  <c r="J16" l="1"/>
  <c r="J10"/>
  <c r="J14"/>
  <c r="J12"/>
  <c r="F15"/>
  <c r="I15" s="1"/>
  <c r="E65459"/>
  <c r="J13" l="1"/>
  <c r="J8"/>
  <c r="D22"/>
  <c r="J5"/>
  <c r="J6"/>
  <c r="J9"/>
  <c r="J11"/>
  <c r="I16"/>
  <c r="H7"/>
  <c r="I6"/>
  <c r="F20"/>
  <c r="I20" s="1"/>
  <c r="F14"/>
  <c r="I14" s="1"/>
  <c r="F11"/>
  <c r="H17"/>
  <c r="F10"/>
  <c r="I10" s="1"/>
  <c r="I5" l="1"/>
  <c r="I11"/>
  <c r="J22"/>
  <c r="I7"/>
  <c r="F17"/>
  <c r="I17" s="1"/>
  <c r="F19"/>
  <c r="H13"/>
  <c r="F13"/>
  <c r="F12"/>
  <c r="I12" s="1"/>
  <c r="F9"/>
  <c r="I9" s="1"/>
  <c r="F21"/>
  <c r="I21" s="1"/>
  <c r="F8"/>
  <c r="I8" s="1"/>
  <c r="I19" l="1"/>
  <c r="I22" s="1"/>
</calcChain>
</file>

<file path=xl/sharedStrings.xml><?xml version="1.0" encoding="utf-8"?>
<sst xmlns="http://schemas.openxmlformats.org/spreadsheetml/2006/main" count="29984" uniqueCount="386">
  <si>
    <t>Total</t>
  </si>
  <si>
    <t>Grand Total</t>
  </si>
  <si>
    <t>BS IV</t>
  </si>
  <si>
    <t>BS VI</t>
  </si>
  <si>
    <t>RE 4S PETROL</t>
  </si>
  <si>
    <t>RE LPG 2S ES</t>
  </si>
  <si>
    <t>RE PET 2S NES/ES EXP</t>
  </si>
  <si>
    <t>BAJAJ MAXIMA C DIESEL Longer tray OBD2B</t>
  </si>
  <si>
    <t>BAJAJ MAXIMA X WIDE DIESEL OBD2B</t>
  </si>
  <si>
    <t>re styling</t>
  </si>
  <si>
    <t>Veh. Type</t>
  </si>
  <si>
    <t>Re Petrol</t>
  </si>
  <si>
    <t>Re CNG</t>
  </si>
  <si>
    <t>PG MF 2s</t>
  </si>
  <si>
    <t>Re Disel</t>
  </si>
  <si>
    <t>Re max UG</t>
  </si>
  <si>
    <t>Max Wider</t>
  </si>
  <si>
    <t>gc Cabin</t>
  </si>
  <si>
    <t>Working Days</t>
  </si>
  <si>
    <t>Line</t>
  </si>
  <si>
    <t>Material</t>
  </si>
  <si>
    <t>Description</t>
  </si>
  <si>
    <t>Production plan</t>
  </si>
  <si>
    <t>Per day</t>
  </si>
  <si>
    <t>RE Styling</t>
  </si>
  <si>
    <t>52BA0852 ASSLY BODY COMPACT DIESEL</t>
  </si>
  <si>
    <t>AA231532 BODY ASSLY PETROL</t>
  </si>
  <si>
    <t>Re MAX UG NEW</t>
  </si>
  <si>
    <t>52AZ0184 BODY ASSLY MAX Z WTH REGU. HOOD</t>
  </si>
  <si>
    <t xml:space="preserve">MAXIMA HD Wider </t>
  </si>
  <si>
    <t>AT211332 BODY ASSLY MAXIMA HD</t>
  </si>
  <si>
    <t>DASH BOARD</t>
  </si>
  <si>
    <t>AZ111331_06 SUPPORT ASSLY DASHBOARD EV</t>
  </si>
  <si>
    <t>AT111120 ASSLY SUPPORT PLASTIC DASHBOARD</t>
  </si>
  <si>
    <t>MUDGUARD</t>
  </si>
  <si>
    <t>REAR MUDGUARD ASSEMBLY</t>
  </si>
  <si>
    <t>AA161183 MUDGUARD ASSLY FRONT W/O HOLE</t>
  </si>
  <si>
    <t>BB161099 MUDGUARD FRONT REFL</t>
  </si>
  <si>
    <t>AH181418_03 MUDGUARD ASSLY FRONT EV</t>
  </si>
  <si>
    <t>ENG BKT</t>
  </si>
  <si>
    <t>ASSLY FOR ISOLATOR BLOCK LH</t>
  </si>
  <si>
    <t>PART FOR ENG FOUNDATION BKT RH</t>
  </si>
  <si>
    <t>BH113408 BKT ENG MTG REAR RH</t>
  </si>
  <si>
    <t>CRADEL</t>
  </si>
  <si>
    <t>AL161775 HYDROFORM CRADEL BSIV</t>
  </si>
  <si>
    <t>STARTING HANDEL</t>
  </si>
  <si>
    <t>AZ621019 ASSEMBLY STARTING HANDLE FL</t>
  </si>
  <si>
    <t>AA102281_ASSLY HANDLE STARTING</t>
  </si>
  <si>
    <t>SUPPORT TOP</t>
  </si>
  <si>
    <t>AF232042 TUBE ASSLY SUPPORT BACKREST</t>
  </si>
  <si>
    <t>AF231720 TUBE ASSLY SUPPORT BACKREST</t>
  </si>
  <si>
    <t>REAR COVER</t>
  </si>
  <si>
    <t>BB231370-COVER REAR RH FL</t>
  </si>
  <si>
    <t>BB231369-COVER REAR LH FL</t>
  </si>
  <si>
    <t>Side Door</t>
  </si>
  <si>
    <t>AF231688  DOOR ASSLY LH</t>
  </si>
  <si>
    <t>AF231689 DOOR ASSLY RH</t>
  </si>
  <si>
    <t>Material Desc</t>
  </si>
  <si>
    <t>52BB0638 BODY ASSLY MAXIMA X WIDE</t>
  </si>
  <si>
    <t>MAXIMA HD</t>
  </si>
  <si>
    <t>RE STYLING</t>
  </si>
  <si>
    <t>MAX UG NEW</t>
  </si>
  <si>
    <t>FRONT MUDGAURD</t>
  </si>
  <si>
    <t>AZ111331_06 SUPPORT ASSLY DASHBOARD</t>
  </si>
  <si>
    <t>AA161289_ ASSEMBLY MUDGUARD FRONT</t>
  </si>
  <si>
    <t>FRONT MUDGAURD EV</t>
  </si>
  <si>
    <t>STARTING HANDLE</t>
  </si>
  <si>
    <t>REAR MUDGAURD</t>
  </si>
  <si>
    <t>LOGISTICS</t>
  </si>
  <si>
    <t>PLATE CHECK FRONT MUD MOUNTING</t>
  </si>
  <si>
    <t>52AH0692 BODY ASSLY MAXIMA Z EV</t>
  </si>
  <si>
    <t>Re Side Door</t>
  </si>
  <si>
    <t>52BA0833  RE DOOR ASSLY LH GREEN</t>
  </si>
  <si>
    <t>52BA0832  RE DOOR ASSLY RH GREEN</t>
  </si>
  <si>
    <t>Days</t>
  </si>
  <si>
    <t>3WH Daily Sale Monitoring</t>
  </si>
  <si>
    <t xml:space="preserve"> Type</t>
  </si>
  <si>
    <t>Daily Plan</t>
  </si>
  <si>
    <t>Avg Par Day Sales Qty</t>
  </si>
  <si>
    <t>Total Sale Qty</t>
  </si>
  <si>
    <t>Bal Excess Short</t>
  </si>
  <si>
    <t>Daily Ach %</t>
  </si>
  <si>
    <t>Month Ach %</t>
  </si>
  <si>
    <t>Re Body Part</t>
  </si>
  <si>
    <t>HD</t>
  </si>
  <si>
    <t>MAX UG</t>
  </si>
  <si>
    <t>Billling Date</t>
  </si>
  <si>
    <t>RE 4S CNG Bi-fuel OBD 2B</t>
  </si>
  <si>
    <t>RE 4S LPG MF OBD 2B</t>
  </si>
  <si>
    <t>RE 4S LPG Bi-fuel OBD 2B</t>
  </si>
  <si>
    <t>RE 4S PETROL OBD 2B</t>
  </si>
  <si>
    <t>RE DIESEL OBD 2B</t>
  </si>
  <si>
    <t>BAJAJ MAXIMA Z CNG Bi-fuel OBD 2B</t>
  </si>
  <si>
    <t>BAJAJ MAXIMA Z LPG MF OBD 2B</t>
  </si>
  <si>
    <t>BAJAJ MAXIMA Z LPG Bi-fuel OBD 2B</t>
  </si>
  <si>
    <t>BAJAJ MAXIMA Z DIESEL OBD 2B</t>
  </si>
  <si>
    <t>BAJAJ MAXIMA X WIDE LPG Bi-fuel OBD 2B</t>
  </si>
  <si>
    <t>BAJAJ MAXIMA C CNG Bi-fuel Longer tray OBD 2B</t>
  </si>
  <si>
    <t>AH111571 MUDGUARD ASSEMBLY FORNT EV</t>
  </si>
  <si>
    <t>BAJAJ MAXIMA C DIESEL shorter tray OBD 2B</t>
  </si>
  <si>
    <t>FRONT MUDGARD GOGO</t>
  </si>
  <si>
    <t>MAX UG NEW EV</t>
  </si>
  <si>
    <t>Plant</t>
  </si>
  <si>
    <t>Profit Centre</t>
  </si>
  <si>
    <t>Dist.Channel</t>
  </si>
  <si>
    <t>Division</t>
  </si>
  <si>
    <t>Division text</t>
  </si>
  <si>
    <t>Billing Type</t>
  </si>
  <si>
    <t>Billing Type Desc</t>
  </si>
  <si>
    <t>Billing Doc</t>
  </si>
  <si>
    <t>Accounting Doc</t>
  </si>
  <si>
    <t>Status</t>
  </si>
  <si>
    <t>Excise Invoice No</t>
  </si>
  <si>
    <t>Sales Order No</t>
  </si>
  <si>
    <t>Sales Doc.Type</t>
  </si>
  <si>
    <t>Sales Type Text</t>
  </si>
  <si>
    <t>Cust-PO-No</t>
  </si>
  <si>
    <t>Cust-PO-Date</t>
  </si>
  <si>
    <t>Customer</t>
  </si>
  <si>
    <t>Customer Name</t>
  </si>
  <si>
    <t>ShipToParty</t>
  </si>
  <si>
    <t>STP-Name</t>
  </si>
  <si>
    <t>Customer TIN No</t>
  </si>
  <si>
    <t>Chapter ID</t>
  </si>
  <si>
    <t>UoM</t>
  </si>
  <si>
    <t>Sale Rate</t>
  </si>
  <si>
    <t>Currency</t>
  </si>
  <si>
    <t>Amort.Cost</t>
  </si>
  <si>
    <t>Assessable Value</t>
  </si>
  <si>
    <t xml:space="preserve">  BED</t>
  </si>
  <si>
    <t xml:space="preserve">  ECS</t>
  </si>
  <si>
    <t xml:space="preserve"> HECS</t>
  </si>
  <si>
    <t xml:space="preserve">  AED</t>
  </si>
  <si>
    <t>VAT %</t>
  </si>
  <si>
    <t xml:space="preserve">  VAT</t>
  </si>
  <si>
    <t xml:space="preserve">  CST</t>
  </si>
  <si>
    <t xml:space="preserve">  TCS</t>
  </si>
  <si>
    <t>Srchg on TCS</t>
  </si>
  <si>
    <t>ECess on TCS</t>
  </si>
  <si>
    <t>SHCess on TCS</t>
  </si>
  <si>
    <t>TlCost Rate</t>
  </si>
  <si>
    <t>ToolCost Value</t>
  </si>
  <si>
    <t>G/L Acoount</t>
  </si>
  <si>
    <t>G/L Acoount Desc</t>
  </si>
  <si>
    <t>Gross-Wt</t>
  </si>
  <si>
    <t xml:space="preserve"> Net-Wt</t>
  </si>
  <si>
    <t>Scrap-Wt</t>
  </si>
  <si>
    <t>Old-Material</t>
  </si>
  <si>
    <t>Mat-Group</t>
  </si>
  <si>
    <t>Mat-Group-Name</t>
  </si>
  <si>
    <t>RCIA No</t>
  </si>
  <si>
    <t>RCIA Date</t>
  </si>
  <si>
    <t>Three Wheelers</t>
  </si>
  <si>
    <t>F2</t>
  </si>
  <si>
    <t>COMMERCIAL INVOICE</t>
  </si>
  <si>
    <t>ZSCH</t>
  </si>
  <si>
    <t>Normal Sales</t>
  </si>
  <si>
    <t>23.07.2024</t>
  </si>
  <si>
    <t>LUMINAZ SAFETY GLASS PVT. LTD.</t>
  </si>
  <si>
    <t>EA</t>
  </si>
  <si>
    <t>INR</t>
  </si>
  <si>
    <t>SALE FINISHED GOODS</t>
  </si>
  <si>
    <t>FG Attached Vendor Components 3 WH</t>
  </si>
  <si>
    <t>PENDING</t>
  </si>
  <si>
    <t>Pending</t>
  </si>
  <si>
    <t>19.03.2020</t>
  </si>
  <si>
    <t>BAJAJ AUTO LIMITED (WALUJ)</t>
  </si>
  <si>
    <t>27340676530V</t>
  </si>
  <si>
    <t>52BB0638</t>
  </si>
  <si>
    <t>FG Body</t>
  </si>
  <si>
    <t>23.07.2020</t>
  </si>
  <si>
    <t>AA231532</t>
  </si>
  <si>
    <t>03.03.2023</t>
  </si>
  <si>
    <t>AZ111331</t>
  </si>
  <si>
    <t>FG Loose 3WH</t>
  </si>
  <si>
    <t>18.12.2017</t>
  </si>
  <si>
    <t>52AZ0184</t>
  </si>
  <si>
    <t>01.07.2017</t>
  </si>
  <si>
    <t>12.04.2024</t>
  </si>
  <si>
    <t>AF232042</t>
  </si>
  <si>
    <t>18.02.2020</t>
  </si>
  <si>
    <t>AA102281</t>
  </si>
  <si>
    <t>07.01.2020</t>
  </si>
  <si>
    <t>AF231720</t>
  </si>
  <si>
    <t>AL161775</t>
  </si>
  <si>
    <t>10.09.2024</t>
  </si>
  <si>
    <t>52BA0832</t>
  </si>
  <si>
    <t>52BA0833</t>
  </si>
  <si>
    <t>06.05.2019</t>
  </si>
  <si>
    <t>AA161289</t>
  </si>
  <si>
    <t>31.08.2021</t>
  </si>
  <si>
    <t>AB161182</t>
  </si>
  <si>
    <t>28.11.2024</t>
  </si>
  <si>
    <t>52AH0692</t>
  </si>
  <si>
    <t>52BA0209</t>
  </si>
  <si>
    <t>52BA0101</t>
  </si>
  <si>
    <t>10.02.2025</t>
  </si>
  <si>
    <t>AH111571 MUDGUARD ASSEMBLY FORNT</t>
  </si>
  <si>
    <t>AH111571</t>
  </si>
  <si>
    <t>09.09.2024</t>
  </si>
  <si>
    <t>EV GOGO</t>
  </si>
  <si>
    <t>Re max UG EV GOGO</t>
  </si>
  <si>
    <t>BAJAJ MAXIMA X WIDE CNG Bi-fuel OBD 2B</t>
  </si>
  <si>
    <t>BAJAJ MAXIMA C CNG Bi-fuel shorter tray OBD 2B</t>
  </si>
  <si>
    <t>RIKI P4005 (Base)</t>
  </si>
  <si>
    <t>RIKI P4006 (Premium)</t>
  </si>
  <si>
    <t>FG body</t>
  </si>
  <si>
    <t>Yesh 50%</t>
  </si>
  <si>
    <t>52BA0852</t>
  </si>
  <si>
    <t>AH181432 MUDGUARD</t>
  </si>
  <si>
    <t>52BK0023 BODY ASSLY MAXIMA HD EV</t>
  </si>
  <si>
    <t>Laxmi 50%</t>
  </si>
  <si>
    <t xml:space="preserve">BAJAJ MAXIMA C DIESEL </t>
  </si>
  <si>
    <t>BAJAJ MAXIMA C LPG</t>
  </si>
  <si>
    <t>BAJAJ MAXIMA C PET</t>
  </si>
  <si>
    <t>BAJAJ MAXIMA Z PET</t>
  </si>
  <si>
    <t xml:space="preserve">BAJAJ MAXIMA Z LPG Bi-fuel </t>
  </si>
  <si>
    <t>Max Wider EV</t>
  </si>
  <si>
    <t>Dom</t>
  </si>
  <si>
    <t>Export</t>
  </si>
  <si>
    <t>Billing Qty</t>
  </si>
  <si>
    <t>Basic Value</t>
  </si>
  <si>
    <t xml:space="preserve">  Sub Total</t>
  </si>
  <si>
    <t>Total Value</t>
  </si>
  <si>
    <t>Sum of Billing Qty</t>
  </si>
  <si>
    <t>03.09.2020</t>
  </si>
  <si>
    <t>52AU0123 BODY ASSLY 4S PETROL</t>
  </si>
  <si>
    <t>52AU0123</t>
  </si>
  <si>
    <t>52BB0109 - COVER REAR RH FL YELLOW</t>
  </si>
  <si>
    <t>52BB0109</t>
  </si>
  <si>
    <t>52BB0108 - COVER REAR LH FL YELLOW</t>
  </si>
  <si>
    <t>52BB0108</t>
  </si>
  <si>
    <t>BB231369</t>
  </si>
  <si>
    <t>BB231370</t>
  </si>
  <si>
    <t>52BB0126 REAR COVER ASSLY GREEN RH</t>
  </si>
  <si>
    <t>52BB0126</t>
  </si>
  <si>
    <t>52BB0125 REAR COVER ASSLY GREEN LH</t>
  </si>
  <si>
    <t>52BB0125</t>
  </si>
  <si>
    <t>BB161099</t>
  </si>
  <si>
    <t>08.08.2019</t>
  </si>
  <si>
    <t>24.03.2025</t>
  </si>
  <si>
    <t>52AU0352 BODY ASSLY RE AIR COOLED PETROL</t>
  </si>
  <si>
    <t>52AU0352</t>
  </si>
  <si>
    <t>11.03.2025</t>
  </si>
  <si>
    <t>52AF1050 BODY ASSLY RE AIR COOLED BI-FUE</t>
  </si>
  <si>
    <t>52AF1050</t>
  </si>
  <si>
    <t>52BA0834  RE DOOR ASSLY RH YELLOW</t>
  </si>
  <si>
    <t>52BA0834</t>
  </si>
  <si>
    <t>52BA0835  RE DOOR ASSLY LH YELLOW</t>
  </si>
  <si>
    <t>52BA0835</t>
  </si>
  <si>
    <t>AH115161 SUPPORT ASSLY DASHBOARD</t>
  </si>
  <si>
    <t>AH115161</t>
  </si>
  <si>
    <t>23.01.2026</t>
  </si>
  <si>
    <t>RE</t>
  </si>
  <si>
    <t>Month</t>
  </si>
  <si>
    <t>Prod In 3WH plant</t>
  </si>
  <si>
    <t>Prod in 4WH plant</t>
  </si>
  <si>
    <t>Total Production plan</t>
  </si>
  <si>
    <t>Sr.No.</t>
  </si>
  <si>
    <t>Model</t>
  </si>
  <si>
    <t xml:space="preserve">Line </t>
  </si>
  <si>
    <t>Prod Plan</t>
  </si>
  <si>
    <t>Week 3---
6 Days</t>
  </si>
  <si>
    <t>Week 4---
6 Days</t>
  </si>
  <si>
    <r>
      <t xml:space="preserve">Monthly Req.
</t>
    </r>
    <r>
      <rPr>
        <b/>
        <sz val="10"/>
        <color indexed="36"/>
        <rFont val="Arial"/>
        <family val="2"/>
      </rPr>
      <t>In 3WH plant</t>
    </r>
  </si>
  <si>
    <t>Maxima &amp; Cargo in 4WH Line (prod Plan)</t>
  </si>
  <si>
    <t>Monthly Req.
In 4WH plant</t>
  </si>
  <si>
    <t>D</t>
  </si>
  <si>
    <t xml:space="preserve">RE 4S CNG Bi-fuel </t>
  </si>
  <si>
    <t>RE 4S LPG Bi-fuel</t>
  </si>
  <si>
    <t>Total D Line</t>
  </si>
  <si>
    <t>E</t>
  </si>
  <si>
    <t>RE EV 9.2 Kwh WEGO (Wider scudo)</t>
  </si>
  <si>
    <t xml:space="preserve">WEGO P7009 </t>
  </si>
  <si>
    <t>BAJAJA MAXIMA Z EV WEGO P7012 (Wider scudo)</t>
  </si>
  <si>
    <t xml:space="preserve">BAJAJ MAXIMA X WIDE WEGO P9018 </t>
  </si>
  <si>
    <t>Total E Line</t>
  </si>
  <si>
    <t>Qute Petrol</t>
  </si>
  <si>
    <t>Engine Line setting</t>
  </si>
  <si>
    <t>Vehicle Line Setting</t>
  </si>
  <si>
    <t>Qute</t>
  </si>
  <si>
    <t>2S</t>
  </si>
  <si>
    <t>4S</t>
  </si>
  <si>
    <t>Dsl</t>
  </si>
  <si>
    <t>EV</t>
  </si>
  <si>
    <t xml:space="preserve">2S </t>
  </si>
  <si>
    <t>TOTAL</t>
  </si>
  <si>
    <t xml:space="preserve">4S </t>
  </si>
  <si>
    <t>Maxima</t>
  </si>
  <si>
    <t>PER DAY</t>
  </si>
  <si>
    <t>DSL</t>
  </si>
  <si>
    <t>EV Plant</t>
  </si>
  <si>
    <t>Working days</t>
  </si>
  <si>
    <t xml:space="preserve"> Production Requirement</t>
  </si>
  <si>
    <t>Week 2---
6 Days</t>
  </si>
  <si>
    <t>E RIKI</t>
  </si>
  <si>
    <t>RE EV 12.2 Kwh WEGO (Wider scudo)</t>
  </si>
  <si>
    <t>BAJAJ MAXIMA C EV 9.2 Kwh LT WEGO</t>
  </si>
  <si>
    <t>BAJAJ MAXIMA C EV 12.2 Kwh WEGO</t>
  </si>
  <si>
    <t xml:space="preserve">RIKI C4005 </t>
  </si>
  <si>
    <t>AZ621019</t>
  </si>
  <si>
    <t>08.03.2021</t>
  </si>
  <si>
    <t>52AY0087-BODY ASSLY EXPORT FOLDABLE SEAT</t>
  </si>
  <si>
    <t>52AY0087</t>
  </si>
  <si>
    <t>ZSPR</t>
  </si>
  <si>
    <t>Spare Sales</t>
  </si>
  <si>
    <t>24231620 ASSY BACKREST SUPPORT TOP FL</t>
  </si>
  <si>
    <t>BH113407 REAR ENG MTG BKT FL</t>
  </si>
  <si>
    <t>BH113407</t>
  </si>
  <si>
    <t>GREASE CUP NUT</t>
  </si>
  <si>
    <t>AB171022</t>
  </si>
  <si>
    <t>22.10.2020</t>
  </si>
  <si>
    <t>10.07.2024</t>
  </si>
  <si>
    <t>03.07.2023</t>
  </si>
  <si>
    <t>AA161289- ASSEMBLY MUDGUARD FRONT</t>
  </si>
  <si>
    <t>24.05.2024</t>
  </si>
  <si>
    <t>52BK0102 PANEL ASLY BODY RH OCEAN BLUEAF</t>
  </si>
  <si>
    <t>52BK0102</t>
  </si>
  <si>
    <t>52BK0108 PANEL ASLY BODY LH OCEAN BLUEAF</t>
  </si>
  <si>
    <t>52BK0108</t>
  </si>
  <si>
    <t>27.04.2026</t>
  </si>
  <si>
    <t>AZ244025 DOOR INNER ENGINE ACC CVR UG</t>
  </si>
  <si>
    <t>SALE RAW MATERIAL</t>
  </si>
  <si>
    <t>RM Comp. Press</t>
  </si>
  <si>
    <t>INNER DOOR</t>
  </si>
  <si>
    <t>3 Wh Production Plan - May - 26</t>
  </si>
  <si>
    <t xml:space="preserve">Week 1---
8 Days
</t>
  </si>
  <si>
    <t>Net Vehicles production to be plan in May - 26</t>
  </si>
  <si>
    <t>(2 to 9)</t>
  </si>
  <si>
    <t>(11 to 16)</t>
  </si>
  <si>
    <t>(18 to 23)</t>
  </si>
  <si>
    <t>(25 to 30)</t>
  </si>
  <si>
    <t>3wh Production plan May 2026</t>
  </si>
  <si>
    <t>04.05.2026</t>
  </si>
  <si>
    <t>05.05.2026</t>
  </si>
  <si>
    <t>06.05.2026</t>
  </si>
  <si>
    <t>02.05.2026</t>
  </si>
  <si>
    <t>03.05.2026</t>
  </si>
  <si>
    <t>01.05.2026</t>
  </si>
  <si>
    <t>DOOR INNER</t>
  </si>
  <si>
    <t>Input Mat-RM</t>
  </si>
  <si>
    <t>ZINP</t>
  </si>
  <si>
    <t>Input Clearnce Sales</t>
  </si>
  <si>
    <t>21.03.2025</t>
  </si>
  <si>
    <t>AA161413-BRACKET TANK FUEL FRONT</t>
  </si>
  <si>
    <t>27.11.2025</t>
  </si>
  <si>
    <t>AH181453 MUDGUARD ASSEMBLY FRONT</t>
  </si>
  <si>
    <t>AH181453</t>
  </si>
  <si>
    <t>07.05.2026</t>
  </si>
  <si>
    <t>11.07.2025</t>
  </si>
  <si>
    <t>52BK0023</t>
  </si>
  <si>
    <t>52BA0857  RE DOOR ASSLY LH BLACK</t>
  </si>
  <si>
    <t>52BA0857</t>
  </si>
  <si>
    <t>52BA0856  RE DOOR ASSLY RH BLACK</t>
  </si>
  <si>
    <t>52BA0856</t>
  </si>
  <si>
    <t>08.05.2026</t>
  </si>
  <si>
    <t>02.02.2026</t>
  </si>
  <si>
    <t>52AF0707   RE BODY ASSLY 4S CNG NIGERIA</t>
  </si>
  <si>
    <t>52AF0707</t>
  </si>
  <si>
    <t>25.11.2025</t>
  </si>
  <si>
    <t>52AM0472 RE BODY ASSLY AFGANISTAN</t>
  </si>
  <si>
    <t>52AM0472</t>
  </si>
  <si>
    <t>09.05.2026</t>
  </si>
  <si>
    <t>SALES RETURNS</t>
  </si>
  <si>
    <t>ZRET</t>
  </si>
  <si>
    <t>Sales Returns</t>
  </si>
  <si>
    <t>10.05.2026</t>
  </si>
  <si>
    <t>13.05.2026</t>
  </si>
  <si>
    <t>12.05.2026</t>
  </si>
  <si>
    <t>AA231598 - MUDGAURD ASSEMBLY REAR RH</t>
  </si>
  <si>
    <t>SALE SEMI FINISHED</t>
  </si>
  <si>
    <t>SF Assembly</t>
  </si>
  <si>
    <t>AA231597 - MUDGAURD ASSEMBLY REAR LH</t>
  </si>
  <si>
    <t>11.10.2023</t>
  </si>
  <si>
    <t>AH181418_03 MUDGUARD ASSLY FRONT</t>
  </si>
  <si>
    <t>AH181418</t>
  </si>
  <si>
    <t>S1</t>
  </si>
  <si>
    <t>Cancel. Invoice (S1)</t>
  </si>
  <si>
    <t>12.12.2019</t>
  </si>
  <si>
    <t>27.07.2017</t>
  </si>
  <si>
    <t>24231713 ASSLY KNOB FOR REAR DOOR</t>
  </si>
  <si>
    <t>11.05.2026</t>
  </si>
  <si>
    <t>ENGINE BRACKET FRONT</t>
  </si>
  <si>
    <t>BA102158</t>
  </si>
  <si>
    <t>ENGINE BRACKET REAR</t>
  </si>
  <si>
    <t>BA102159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</si>
</sst>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36"/>
      <name val="Arial"/>
      <family val="2"/>
    </font>
    <font>
      <sz val="10"/>
      <color theme="1"/>
      <name val="Arial"/>
      <family val="2"/>
    </font>
    <font>
      <sz val="10"/>
      <color indexed="12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247">
    <xf numFmtId="0" fontId="0" fillId="0" borderId="0" xfId="0"/>
    <xf numFmtId="0" fontId="0" fillId="0" borderId="1" xfId="0" applyBorder="1"/>
    <xf numFmtId="1" fontId="0" fillId="6" borderId="1" xfId="0" applyNumberFormat="1" applyFill="1" applyBorder="1" applyAlignment="1">
      <alignment horizontal="center"/>
    </xf>
    <xf numFmtId="0" fontId="11" fillId="0" borderId="1" xfId="3" applyBorder="1"/>
    <xf numFmtId="0" fontId="11" fillId="0" borderId="1" xfId="3" applyBorder="1" applyAlignment="1">
      <alignment vertical="center"/>
    </xf>
    <xf numFmtId="0" fontId="12" fillId="3" borderId="1" xfId="3" applyFont="1" applyFill="1" applyBorder="1" applyAlignment="1">
      <alignment horizontal="right"/>
    </xf>
    <xf numFmtId="17" fontId="12" fillId="2" borderId="1" xfId="3" applyNumberFormat="1" applyFont="1" applyFill="1" applyBorder="1" applyAlignment="1">
      <alignment horizontal="center" wrapText="1"/>
    </xf>
    <xf numFmtId="0" fontId="12" fillId="2" borderId="1" xfId="3" applyFont="1" applyFill="1" applyBorder="1" applyAlignment="1">
      <alignment horizontal="left" vertical="center" wrapText="1"/>
    </xf>
    <xf numFmtId="0" fontId="11" fillId="11" borderId="1" xfId="3" applyFill="1" applyBorder="1" applyAlignment="1">
      <alignment horizontal="left"/>
    </xf>
    <xf numFmtId="164" fontId="11" fillId="11" borderId="1" xfId="2" applyNumberFormat="1" applyFont="1" applyFill="1" applyBorder="1" applyAlignment="1">
      <alignment horizontal="right"/>
    </xf>
    <xf numFmtId="164" fontId="11" fillId="11" borderId="1" xfId="1" applyNumberFormat="1" applyFont="1" applyFill="1" applyBorder="1" applyAlignment="1">
      <alignment horizontal="right"/>
    </xf>
    <xf numFmtId="9" fontId="11" fillId="11" borderId="1" xfId="7" applyFont="1" applyFill="1" applyBorder="1" applyAlignment="1">
      <alignment horizontal="right"/>
    </xf>
    <xf numFmtId="0" fontId="11" fillId="2" borderId="1" xfId="3" applyFont="1" applyFill="1" applyBorder="1" applyAlignment="1">
      <alignment horizontal="left"/>
    </xf>
    <xf numFmtId="164" fontId="11" fillId="2" borderId="1" xfId="2" applyNumberFormat="1" applyFont="1" applyFill="1" applyBorder="1" applyAlignment="1">
      <alignment horizontal="right"/>
    </xf>
    <xf numFmtId="9" fontId="11" fillId="2" borderId="1" xfId="7" applyFont="1" applyFill="1" applyBorder="1" applyAlignment="1">
      <alignment horizontal="right"/>
    </xf>
    <xf numFmtId="0" fontId="11" fillId="2" borderId="1" xfId="3" applyFill="1" applyBorder="1" applyAlignment="1">
      <alignment horizontal="left"/>
    </xf>
    <xf numFmtId="0" fontId="16" fillId="2" borderId="1" xfId="3" applyFont="1" applyFill="1" applyBorder="1" applyAlignment="1">
      <alignment horizontal="left"/>
    </xf>
    <xf numFmtId="0" fontId="11" fillId="0" borderId="0" xfId="3"/>
    <xf numFmtId="164" fontId="11" fillId="0" borderId="0" xfId="3" applyNumberFormat="1"/>
    <xf numFmtId="164" fontId="11" fillId="12" borderId="1" xfId="1" applyNumberFormat="1" applyFont="1" applyFill="1" applyBorder="1"/>
    <xf numFmtId="164" fontId="11" fillId="12" borderId="0" xfId="1" applyNumberFormat="1" applyFont="1" applyFill="1" applyBorder="1"/>
    <xf numFmtId="0" fontId="0" fillId="0" borderId="1" xfId="0" applyBorder="1" applyAlignment="1"/>
    <xf numFmtId="0" fontId="6" fillId="14" borderId="1" xfId="3" applyFont="1" applyFill="1" applyBorder="1" applyAlignment="1">
      <alignment horizontal="left"/>
    </xf>
    <xf numFmtId="0" fontId="0" fillId="0" borderId="0" xfId="0" pivotButton="1"/>
    <xf numFmtId="4" fontId="0" fillId="0" borderId="0" xfId="0" applyNumberFormat="1"/>
    <xf numFmtId="0" fontId="5" fillId="11" borderId="1" xfId="3" applyFont="1" applyFill="1" applyBorder="1" applyAlignment="1">
      <alignment horizontal="left"/>
    </xf>
    <xf numFmtId="0" fontId="7" fillId="0" borderId="4" xfId="8" applyBorder="1"/>
    <xf numFmtId="0" fontId="7" fillId="0" borderId="5" xfId="8" applyBorder="1" applyAlignment="1">
      <alignment horizontal="left"/>
    </xf>
    <xf numFmtId="0" fontId="7" fillId="0" borderId="5" xfId="8" applyBorder="1"/>
    <xf numFmtId="0" fontId="7" fillId="4" borderId="6" xfId="8" applyFill="1" applyBorder="1"/>
    <xf numFmtId="0" fontId="7" fillId="4" borderId="1" xfId="8" applyFill="1" applyBorder="1" applyAlignment="1">
      <alignment horizontal="left"/>
    </xf>
    <xf numFmtId="0" fontId="7" fillId="4" borderId="1" xfId="8" applyFill="1" applyBorder="1"/>
    <xf numFmtId="0" fontId="7" fillId="4" borderId="7" xfId="8" applyFill="1" applyBorder="1"/>
    <xf numFmtId="0" fontId="8" fillId="0" borderId="6" xfId="8" applyFont="1" applyBorder="1"/>
    <xf numFmtId="0" fontId="8" fillId="0" borderId="1" xfId="8" applyFont="1" applyFill="1" applyBorder="1" applyAlignment="1">
      <alignment horizontal="left"/>
    </xf>
    <xf numFmtId="0" fontId="8" fillId="0" borderId="1" xfId="8" applyFont="1" applyFill="1" applyBorder="1" applyAlignment="1">
      <alignment horizontal="center"/>
    </xf>
    <xf numFmtId="0" fontId="8" fillId="0" borderId="1" xfId="8" applyFont="1" applyBorder="1"/>
    <xf numFmtId="9" fontId="12" fillId="0" borderId="1" xfId="9" applyFont="1" applyBorder="1"/>
    <xf numFmtId="9" fontId="12" fillId="0" borderId="7" xfId="9" applyFont="1" applyBorder="1"/>
    <xf numFmtId="0" fontId="7" fillId="0" borderId="6" xfId="8" applyBorder="1"/>
    <xf numFmtId="3" fontId="7" fillId="5" borderId="1" xfId="8" applyNumberFormat="1" applyFill="1" applyBorder="1" applyAlignment="1">
      <alignment horizontal="center"/>
    </xf>
    <xf numFmtId="1" fontId="7" fillId="0" borderId="1" xfId="8" applyNumberFormat="1" applyFill="1" applyBorder="1" applyAlignment="1">
      <alignment horizontal="center"/>
    </xf>
    <xf numFmtId="1" fontId="7" fillId="0" borderId="1" xfId="8" applyNumberFormat="1" applyBorder="1"/>
    <xf numFmtId="164" fontId="7" fillId="0" borderId="1" xfId="8" applyNumberFormat="1" applyBorder="1"/>
    <xf numFmtId="1" fontId="7" fillId="4" borderId="1" xfId="8" applyNumberFormat="1" applyFill="1" applyBorder="1" applyAlignment="1">
      <alignment horizontal="center"/>
    </xf>
    <xf numFmtId="0" fontId="7" fillId="0" borderId="8" xfId="11" applyBorder="1"/>
    <xf numFmtId="1" fontId="7" fillId="6" borderId="0" xfId="11" applyNumberFormat="1" applyFill="1" applyBorder="1" applyAlignment="1">
      <alignment horizontal="center"/>
    </xf>
    <xf numFmtId="1" fontId="7" fillId="0" borderId="0" xfId="11" applyNumberFormat="1" applyFill="1" applyBorder="1" applyAlignment="1">
      <alignment horizontal="center"/>
    </xf>
    <xf numFmtId="0" fontId="7" fillId="0" borderId="0" xfId="11" applyBorder="1"/>
    <xf numFmtId="1" fontId="7" fillId="0" borderId="9" xfId="11" applyNumberFormat="1" applyBorder="1"/>
    <xf numFmtId="1" fontId="7" fillId="7" borderId="1" xfId="8" applyNumberFormat="1" applyFill="1" applyBorder="1" applyAlignment="1">
      <alignment horizontal="center"/>
    </xf>
    <xf numFmtId="1" fontId="7" fillId="6" borderId="1" xfId="8" applyNumberFormat="1" applyFill="1" applyBorder="1" applyAlignment="1">
      <alignment horizontal="center"/>
    </xf>
    <xf numFmtId="3" fontId="7" fillId="8" borderId="1" xfId="8" applyNumberFormat="1" applyFill="1" applyBorder="1" applyAlignment="1">
      <alignment horizontal="center"/>
    </xf>
    <xf numFmtId="3" fontId="7" fillId="0" borderId="1" xfId="8" applyNumberFormat="1" applyFill="1" applyBorder="1"/>
    <xf numFmtId="164" fontId="7" fillId="0" borderId="1" xfId="10" applyNumberFormat="1" applyFont="1" applyBorder="1"/>
    <xf numFmtId="3" fontId="7" fillId="0" borderId="1" xfId="8" applyNumberFormat="1" applyBorder="1"/>
    <xf numFmtId="1" fontId="7" fillId="9" borderId="1" xfId="8" applyNumberFormat="1" applyFill="1" applyBorder="1"/>
    <xf numFmtId="0" fontId="7" fillId="0" borderId="7" xfId="8" applyBorder="1"/>
    <xf numFmtId="0" fontId="7" fillId="0" borderId="1" xfId="8" applyBorder="1"/>
    <xf numFmtId="0" fontId="7" fillId="0" borderId="6" xfId="8" applyFont="1" applyBorder="1"/>
    <xf numFmtId="1" fontId="7" fillId="9" borderId="1" xfId="8" applyNumberFormat="1" applyFill="1" applyBorder="1" applyAlignment="1">
      <alignment horizontal="center"/>
    </xf>
    <xf numFmtId="1" fontId="7" fillId="6" borderId="1" xfId="8" applyNumberFormat="1" applyFill="1" applyBorder="1"/>
    <xf numFmtId="1" fontId="7" fillId="0" borderId="1" xfId="8" applyNumberFormat="1" applyFill="1" applyBorder="1"/>
    <xf numFmtId="1" fontId="7" fillId="10" borderId="1" xfId="8" applyNumberFormat="1" applyFill="1" applyBorder="1" applyAlignment="1">
      <alignment horizontal="center"/>
    </xf>
    <xf numFmtId="0" fontId="7" fillId="0" borderId="10" xfId="8" applyBorder="1"/>
    <xf numFmtId="0" fontId="7" fillId="0" borderId="11" xfId="8" applyBorder="1"/>
    <xf numFmtId="1" fontId="7" fillId="0" borderId="11" xfId="8" applyNumberFormat="1" applyBorder="1"/>
    <xf numFmtId="0" fontId="7" fillId="0" borderId="12" xfId="8" applyBorder="1"/>
    <xf numFmtId="0" fontId="7" fillId="0" borderId="8" xfId="8" applyBorder="1" applyAlignment="1"/>
    <xf numFmtId="0" fontId="7" fillId="0" borderId="0" xfId="8" applyBorder="1" applyAlignment="1"/>
    <xf numFmtId="0" fontId="7" fillId="0" borderId="9" xfId="8" applyBorder="1" applyAlignment="1"/>
    <xf numFmtId="1" fontId="9" fillId="0" borderId="8" xfId="8" applyNumberFormat="1" applyFont="1" applyFill="1" applyBorder="1" applyAlignment="1"/>
    <xf numFmtId="0" fontId="8" fillId="0" borderId="4" xfId="8" applyFont="1" applyBorder="1" applyAlignment="1"/>
    <xf numFmtId="0" fontId="8" fillId="0" borderId="13" xfId="8" applyFont="1" applyBorder="1" applyAlignment="1"/>
    <xf numFmtId="0" fontId="7" fillId="0" borderId="1" xfId="8" applyBorder="1" applyAlignment="1"/>
    <xf numFmtId="164" fontId="7" fillId="0" borderId="1" xfId="10" applyNumberFormat="1" applyFont="1" applyFill="1" applyBorder="1" applyAlignment="1"/>
    <xf numFmtId="164" fontId="7" fillId="0" borderId="1" xfId="10" applyNumberFormat="1" applyFont="1" applyBorder="1" applyAlignment="1"/>
    <xf numFmtId="0" fontId="7" fillId="9" borderId="1" xfId="8" applyFill="1" applyBorder="1" applyAlignment="1"/>
    <xf numFmtId="164" fontId="8" fillId="9" borderId="1" xfId="10" applyNumberFormat="1" applyFont="1" applyFill="1" applyBorder="1" applyAlignment="1"/>
    <xf numFmtId="1" fontId="7" fillId="0" borderId="1" xfId="8" applyNumberFormat="1" applyBorder="1" applyAlignment="1"/>
    <xf numFmtId="0" fontId="7" fillId="0" borderId="1" xfId="12" applyBorder="1" applyAlignment="1"/>
    <xf numFmtId="164" fontId="15" fillId="0" borderId="1" xfId="10" applyNumberFormat="1" applyFont="1" applyBorder="1" applyAlignment="1"/>
    <xf numFmtId="164" fontId="8" fillId="0" borderId="1" xfId="10" applyNumberFormat="1" applyFont="1" applyFill="1" applyBorder="1" applyAlignment="1"/>
    <xf numFmtId="1" fontId="0" fillId="5" borderId="0" xfId="0" applyNumberFormat="1" applyFill="1" applyAlignment="1">
      <alignment horizontal="center"/>
    </xf>
    <xf numFmtId="0" fontId="8" fillId="11" borderId="1" xfId="8" applyFont="1" applyFill="1" applyBorder="1" applyAlignment="1">
      <alignment horizontal="center"/>
    </xf>
    <xf numFmtId="0" fontId="7" fillId="0" borderId="0" xfId="0" applyFont="1"/>
    <xf numFmtId="2" fontId="0" fillId="0" borderId="0" xfId="0" applyNumberFormat="1"/>
    <xf numFmtId="0" fontId="0" fillId="0" borderId="0" xfId="0" applyNumberFormat="1"/>
    <xf numFmtId="0" fontId="4" fillId="11" borderId="1" xfId="3" applyFont="1" applyFill="1" applyBorder="1" applyAlignment="1">
      <alignment horizontal="left"/>
    </xf>
    <xf numFmtId="164" fontId="3" fillId="11" borderId="1" xfId="2" applyNumberFormat="1" applyFont="1" applyFill="1" applyBorder="1" applyAlignment="1">
      <alignment horizontal="right"/>
    </xf>
    <xf numFmtId="9" fontId="11" fillId="11" borderId="1" xfId="7" applyFont="1" applyFill="1" applyBorder="1" applyAlignment="1">
      <alignment horizontal="center"/>
    </xf>
    <xf numFmtId="9" fontId="11" fillId="2" borderId="1" xfId="7" applyFont="1" applyFill="1" applyBorder="1" applyAlignment="1">
      <alignment horizontal="center"/>
    </xf>
    <xf numFmtId="0" fontId="0" fillId="14" borderId="1" xfId="0" applyFill="1" applyBorder="1"/>
    <xf numFmtId="9" fontId="11" fillId="11" borderId="1" xfId="7" applyFont="1" applyFill="1" applyBorder="1" applyAlignment="1">
      <alignment horizontal="center" vertical="center" wrapText="1"/>
    </xf>
    <xf numFmtId="164" fontId="8" fillId="9" borderId="11" xfId="10" applyNumberFormat="1" applyFont="1" applyFill="1" applyBorder="1" applyAlignment="1"/>
    <xf numFmtId="164" fontId="8" fillId="9" borderId="7" xfId="10" applyNumberFormat="1" applyFont="1" applyFill="1" applyBorder="1" applyAlignment="1"/>
    <xf numFmtId="0" fontId="0" fillId="9" borderId="6" xfId="0" applyFill="1" applyBorder="1" applyAlignment="1">
      <alignment horizontal="center"/>
    </xf>
    <xf numFmtId="1" fontId="0" fillId="0" borderId="0" xfId="0" applyNumberFormat="1"/>
    <xf numFmtId="0" fontId="8" fillId="11" borderId="7" xfId="8" applyFont="1" applyFill="1" applyBorder="1" applyAlignment="1">
      <alignment horizontal="center"/>
    </xf>
    <xf numFmtId="0" fontId="8" fillId="11" borderId="6" xfId="8" applyFont="1" applyFill="1" applyBorder="1" applyAlignment="1">
      <alignment horizontal="center"/>
    </xf>
    <xf numFmtId="1" fontId="7" fillId="0" borderId="1" xfId="8" applyNumberFormat="1" applyBorder="1" applyAlignment="1">
      <alignment horizontal="center"/>
    </xf>
    <xf numFmtId="0" fontId="8" fillId="9" borderId="6" xfId="8" applyFont="1" applyFill="1" applyBorder="1" applyAlignment="1">
      <alignment horizontal="center"/>
    </xf>
    <xf numFmtId="0" fontId="8" fillId="9" borderId="1" xfId="8" applyFont="1" applyFill="1" applyBorder="1" applyAlignment="1"/>
    <xf numFmtId="0" fontId="8" fillId="9" borderId="6" xfId="0" applyFont="1" applyFill="1" applyBorder="1" applyAlignment="1">
      <alignment horizontal="center"/>
    </xf>
    <xf numFmtId="0" fontId="8" fillId="9" borderId="10" xfId="0" applyFont="1" applyFill="1" applyBorder="1"/>
    <xf numFmtId="0" fontId="8" fillId="9" borderId="11" xfId="0" applyFont="1" applyFill="1" applyBorder="1"/>
    <xf numFmtId="9" fontId="0" fillId="0" borderId="0" xfId="14" applyFont="1"/>
    <xf numFmtId="0" fontId="11" fillId="0" borderId="2" xfId="3" applyBorder="1"/>
    <xf numFmtId="0" fontId="11" fillId="0" borderId="2" xfId="3" applyBorder="1" applyAlignment="1">
      <alignment horizontal="right"/>
    </xf>
    <xf numFmtId="0" fontId="12" fillId="2" borderId="1" xfId="3" applyFont="1" applyFill="1" applyBorder="1" applyAlignment="1">
      <alignment horizontal="right"/>
    </xf>
    <xf numFmtId="164" fontId="12" fillId="2" borderId="1" xfId="1" applyNumberFormat="1" applyFont="1" applyFill="1" applyBorder="1" applyAlignment="1">
      <alignment horizontal="right"/>
    </xf>
    <xf numFmtId="9" fontId="12" fillId="2" borderId="1" xfId="7" applyFont="1" applyFill="1" applyBorder="1" applyAlignment="1">
      <alignment horizontal="right"/>
    </xf>
    <xf numFmtId="9" fontId="12" fillId="2" borderId="1" xfId="7" applyFont="1" applyFill="1" applyBorder="1" applyAlignment="1">
      <alignment horizontal="center"/>
    </xf>
    <xf numFmtId="43" fontId="7" fillId="0" borderId="9" xfId="10" applyFont="1" applyBorder="1"/>
    <xf numFmtId="164" fontId="7" fillId="0" borderId="1" xfId="10" applyNumberFormat="1" applyFont="1" applyFill="1" applyBorder="1" applyAlignment="1">
      <alignment horizontal="right"/>
    </xf>
    <xf numFmtId="164" fontId="8" fillId="9" borderId="1" xfId="10" applyNumberFormat="1" applyFont="1" applyFill="1" applyBorder="1" applyAlignment="1">
      <alignment horizontal="right"/>
    </xf>
    <xf numFmtId="15" fontId="0" fillId="0" borderId="1" xfId="0" applyNumberFormat="1" applyBorder="1" applyAlignment="1">
      <alignment vertical="center"/>
    </xf>
    <xf numFmtId="0" fontId="11" fillId="0" borderId="0" xfId="3" applyBorder="1"/>
    <xf numFmtId="0" fontId="11" fillId="0" borderId="0" xfId="3" applyBorder="1" applyAlignment="1">
      <alignment horizontal="right"/>
    </xf>
    <xf numFmtId="9" fontId="12" fillId="0" borderId="1" xfId="7" applyFont="1" applyFill="1" applyBorder="1" applyAlignment="1">
      <alignment horizontal="center"/>
    </xf>
    <xf numFmtId="1" fontId="11" fillId="0" borderId="1" xfId="7" applyNumberFormat="1" applyFont="1" applyFill="1" applyBorder="1" applyAlignment="1">
      <alignment horizontal="center"/>
    </xf>
    <xf numFmtId="165" fontId="0" fillId="0" borderId="0" xfId="0" applyNumberFormat="1"/>
    <xf numFmtId="0" fontId="8" fillId="0" borderId="19" xfId="0" applyFont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0" borderId="19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8" fillId="0" borderId="1" xfId="0" applyFont="1" applyBorder="1"/>
    <xf numFmtId="0" fontId="8" fillId="0" borderId="3" xfId="0" applyFont="1" applyBorder="1" applyAlignment="1">
      <alignment horizontal="center"/>
    </xf>
    <xf numFmtId="0" fontId="9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8" fillId="0" borderId="2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8" fillId="16" borderId="1" xfId="0" applyFont="1" applyFill="1" applyBorder="1"/>
    <xf numFmtId="0" fontId="14" fillId="16" borderId="1" xfId="0" applyFont="1" applyFill="1" applyBorder="1" applyAlignment="1">
      <alignment horizontal="center"/>
    </xf>
    <xf numFmtId="1" fontId="14" fillId="16" borderId="1" xfId="0" applyNumberFormat="1" applyFont="1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1" fontId="21" fillId="16" borderId="1" xfId="0" applyNumberFormat="1" applyFon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0" fontId="22" fillId="0" borderId="1" xfId="0" applyFont="1" applyFill="1" applyBorder="1"/>
    <xf numFmtId="1" fontId="9" fillId="0" borderId="1" xfId="0" applyNumberFormat="1" applyFont="1" applyFill="1" applyBorder="1" applyAlignment="1">
      <alignment horizontal="center"/>
    </xf>
    <xf numFmtId="0" fontId="7" fillId="17" borderId="1" xfId="0" applyFont="1" applyFill="1" applyBorder="1"/>
    <xf numFmtId="0" fontId="14" fillId="17" borderId="1" xfId="0" applyFont="1" applyFill="1" applyBorder="1" applyAlignment="1">
      <alignment horizontal="center"/>
    </xf>
    <xf numFmtId="1" fontId="14" fillId="17" borderId="1" xfId="0" applyNumberFormat="1" applyFont="1" applyFill="1" applyBorder="1" applyAlignment="1">
      <alignment horizontal="center"/>
    </xf>
    <xf numFmtId="1" fontId="7" fillId="17" borderId="1" xfId="0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1" fontId="2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ill="1" applyBorder="1"/>
    <xf numFmtId="1" fontId="9" fillId="2" borderId="1" xfId="0" applyNumberFormat="1" applyFont="1" applyFill="1" applyBorder="1" applyAlignment="1">
      <alignment horizontal="center"/>
    </xf>
    <xf numFmtId="1" fontId="9" fillId="15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22" fillId="0" borderId="2" xfId="0" applyFont="1" applyFill="1" applyBorder="1" applyAlignment="1">
      <alignment horizontal="center"/>
    </xf>
    <xf numFmtId="0" fontId="9" fillId="0" borderId="26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0" fontId="23" fillId="17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/>
    </xf>
    <xf numFmtId="0" fontId="0" fillId="0" borderId="1" xfId="0" applyFont="1" applyFill="1" applyBorder="1"/>
    <xf numFmtId="0" fontId="7" fillId="0" borderId="1" xfId="0" applyFont="1" applyBorder="1" applyAlignment="1">
      <alignment horizontal="center"/>
    </xf>
    <xf numFmtId="1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" fontId="0" fillId="0" borderId="1" xfId="0" applyNumberFormat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1" fontId="21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4" fontId="11" fillId="0" borderId="1" xfId="17" applyNumberFormat="1" applyFont="1" applyFill="1" applyBorder="1" applyAlignment="1">
      <alignment horizontal="center"/>
    </xf>
    <xf numFmtId="43" fontId="0" fillId="0" borderId="0" xfId="0" applyNumberFormat="1"/>
    <xf numFmtId="3" fontId="7" fillId="11" borderId="11" xfId="8" applyNumberFormat="1" applyFill="1" applyBorder="1" applyAlignment="1">
      <alignment horizontal="center"/>
    </xf>
    <xf numFmtId="0" fontId="11" fillId="0" borderId="1" xfId="7" applyNumberFormat="1" applyFont="1" applyFill="1" applyBorder="1" applyAlignment="1">
      <alignment horizontal="center"/>
    </xf>
    <xf numFmtId="9" fontId="11" fillId="2" borderId="1" xfId="7" applyFont="1" applyFill="1" applyBorder="1" applyAlignment="1">
      <alignment horizontal="left"/>
    </xf>
    <xf numFmtId="0" fontId="13" fillId="0" borderId="6" xfId="8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17" borderId="19" xfId="0" applyFont="1" applyFill="1" applyBorder="1" applyAlignment="1">
      <alignment horizontal="center" vertical="center"/>
    </xf>
    <xf numFmtId="164" fontId="2" fillId="0" borderId="7" xfId="10" applyNumberFormat="1" applyFont="1" applyBorder="1"/>
    <xf numFmtId="0" fontId="26" fillId="0" borderId="0" xfId="0" applyFont="1"/>
    <xf numFmtId="1" fontId="26" fillId="0" borderId="0" xfId="0" applyNumberFormat="1" applyFont="1"/>
    <xf numFmtId="0" fontId="2" fillId="0" borderId="6" xfId="8" applyFont="1" applyBorder="1"/>
    <xf numFmtId="164" fontId="2" fillId="0" borderId="1" xfId="10" applyNumberFormat="1" applyFont="1" applyBorder="1" applyAlignment="1"/>
    <xf numFmtId="164" fontId="2" fillId="0" borderId="7" xfId="10" applyNumberFormat="1" applyFont="1" applyBorder="1" applyAlignment="1"/>
    <xf numFmtId="164" fontId="0" fillId="0" borderId="0" xfId="0" applyNumberFormat="1"/>
    <xf numFmtId="0" fontId="2" fillId="0" borderId="1" xfId="8" applyFont="1" applyBorder="1" applyAlignment="1"/>
    <xf numFmtId="0" fontId="27" fillId="0" borderId="1" xfId="0" applyFont="1" applyBorder="1"/>
    <xf numFmtId="1" fontId="27" fillId="9" borderId="1" xfId="0" applyNumberFormat="1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left"/>
    </xf>
    <xf numFmtId="0" fontId="0" fillId="11" borderId="1" xfId="0" applyFill="1" applyBorder="1"/>
    <xf numFmtId="1" fontId="7" fillId="11" borderId="1" xfId="8" applyNumberFormat="1" applyFill="1" applyBorder="1" applyAlignment="1"/>
    <xf numFmtId="164" fontId="2" fillId="11" borderId="7" xfId="10" applyNumberFormat="1" applyFont="1" applyFill="1" applyBorder="1" applyAlignment="1"/>
    <xf numFmtId="0" fontId="12" fillId="13" borderId="2" xfId="3" applyFont="1" applyFill="1" applyBorder="1" applyAlignment="1">
      <alignment horizontal="right"/>
    </xf>
    <xf numFmtId="0" fontId="11" fillId="0" borderId="1" xfId="3" applyBorder="1" applyAlignment="1">
      <alignment horizontal="center" vertical="center" textRotation="180" wrapText="1"/>
    </xf>
    <xf numFmtId="0" fontId="11" fillId="0" borderId="1" xfId="3" applyBorder="1" applyAlignment="1">
      <alignment horizontal="center" vertical="center" textRotation="180"/>
    </xf>
    <xf numFmtId="9" fontId="3" fillId="6" borderId="1" xfId="14" applyFont="1" applyFill="1" applyBorder="1" applyAlignment="1">
      <alignment horizontal="center" vertical="center"/>
    </xf>
    <xf numFmtId="0" fontId="13" fillId="11" borderId="16" xfId="8" applyFont="1" applyFill="1" applyBorder="1" applyAlignment="1">
      <alignment horizontal="center" vertical="center"/>
    </xf>
    <xf numFmtId="0" fontId="13" fillId="11" borderId="17" xfId="8" applyFont="1" applyFill="1" applyBorder="1" applyAlignment="1">
      <alignment horizontal="center" vertical="center"/>
    </xf>
    <xf numFmtId="0" fontId="13" fillId="11" borderId="18" xfId="8" applyFont="1" applyFill="1" applyBorder="1" applyAlignment="1">
      <alignment horizontal="center" vertical="center"/>
    </xf>
    <xf numFmtId="0" fontId="8" fillId="0" borderId="6" xfId="8" applyFont="1" applyFill="1" applyBorder="1" applyAlignment="1">
      <alignment horizontal="center" vertical="center"/>
    </xf>
    <xf numFmtId="1" fontId="8" fillId="0" borderId="6" xfId="8" applyNumberFormat="1" applyFont="1" applyBorder="1" applyAlignment="1">
      <alignment horizontal="center" vertical="center"/>
    </xf>
    <xf numFmtId="1" fontId="8" fillId="0" borderId="22" xfId="8" applyNumberFormat="1" applyFont="1" applyBorder="1" applyAlignment="1">
      <alignment horizontal="center" vertical="center"/>
    </xf>
    <xf numFmtId="1" fontId="8" fillId="0" borderId="21" xfId="8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1" fontId="8" fillId="16" borderId="3" xfId="0" applyNumberFormat="1" applyFont="1" applyFill="1" applyBorder="1" applyAlignment="1">
      <alignment horizontal="center"/>
    </xf>
    <xf numFmtId="1" fontId="8" fillId="16" borderId="24" xfId="0" applyNumberFormat="1" applyFont="1" applyFill="1" applyBorder="1" applyAlignment="1">
      <alignment horizontal="center"/>
    </xf>
    <xf numFmtId="1" fontId="8" fillId="16" borderId="25" xfId="0" applyNumberFormat="1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3" borderId="14" xfId="8" applyFont="1" applyFill="1" applyBorder="1" applyAlignment="1">
      <alignment horizontal="center"/>
    </xf>
    <xf numFmtId="0" fontId="8" fillId="3" borderId="15" xfId="8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 vertical="center"/>
    </xf>
    <xf numFmtId="0" fontId="8" fillId="16" borderId="2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/>
    </xf>
    <xf numFmtId="0" fontId="9" fillId="0" borderId="25" xfId="0" applyFont="1" applyFill="1" applyBorder="1" applyAlignment="1">
      <alignment horizontal="left"/>
    </xf>
    <xf numFmtId="0" fontId="8" fillId="17" borderId="1" xfId="0" applyFont="1" applyFill="1" applyBorder="1" applyAlignment="1">
      <alignment horizontal="center" vertical="center"/>
    </xf>
    <xf numFmtId="0" fontId="8" fillId="17" borderId="20" xfId="0" applyFont="1" applyFill="1" applyBorder="1" applyAlignment="1">
      <alignment horizontal="center" vertical="center"/>
    </xf>
    <xf numFmtId="0" fontId="8" fillId="17" borderId="19" xfId="0" applyFont="1" applyFill="1" applyBorder="1" applyAlignment="1">
      <alignment horizontal="center" vertical="center"/>
    </xf>
    <xf numFmtId="1" fontId="8" fillId="0" borderId="23" xfId="8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/>
    </xf>
    <xf numFmtId="0" fontId="8" fillId="0" borderId="22" xfId="8" applyFont="1" applyBorder="1" applyAlignment="1">
      <alignment horizontal="center" vertical="center"/>
    </xf>
    <xf numFmtId="0" fontId="8" fillId="0" borderId="23" xfId="8" applyFont="1" applyBorder="1" applyAlignment="1">
      <alignment horizontal="center" vertical="center"/>
    </xf>
    <xf numFmtId="0" fontId="8" fillId="0" borderId="21" xfId="8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25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3" fillId="0" borderId="6" xfId="8" applyFont="1" applyFill="1" applyBorder="1" applyAlignment="1">
      <alignment horizontal="center" vertical="center"/>
    </xf>
    <xf numFmtId="0" fontId="13" fillId="0" borderId="22" xfId="8" applyFont="1" applyFill="1" applyBorder="1" applyAlignment="1">
      <alignment horizontal="center" vertical="center"/>
    </xf>
    <xf numFmtId="0" fontId="13" fillId="0" borderId="21" xfId="8" applyFont="1" applyFill="1" applyBorder="1" applyAlignment="1">
      <alignment horizontal="center" vertical="center"/>
    </xf>
    <xf numFmtId="0" fontId="13" fillId="0" borderId="6" xfId="8" applyFont="1" applyFill="1" applyBorder="1" applyAlignment="1">
      <alignment horizontal="center"/>
    </xf>
  </cellXfs>
  <cellStyles count="18">
    <cellStyle name="Comma" xfId="17" builtinId="3"/>
    <cellStyle name="Comma 2" xfId="15"/>
    <cellStyle name="Comma 2 2" xfId="1"/>
    <cellStyle name="Comma 2 2 2 2" xfId="2"/>
    <cellStyle name="Comma 2 2 2 2 2" xfId="10"/>
    <cellStyle name="Normal" xfId="0" builtinId="0"/>
    <cellStyle name="Normal 2" xfId="3"/>
    <cellStyle name="Normal 2 2" xfId="13"/>
    <cellStyle name="Normal 2 2 2 2" xfId="4"/>
    <cellStyle name="Normal 2 2 2 2 2" xfId="11"/>
    <cellStyle name="Normal 4 2 2" xfId="5"/>
    <cellStyle name="Normal 4 2 2 2" xfId="8"/>
    <cellStyle name="Normal 9 2" xfId="6"/>
    <cellStyle name="Normal 9 2 2" xfId="12"/>
    <cellStyle name="Percent" xfId="14" builtinId="5"/>
    <cellStyle name="Percent 2" xfId="16"/>
    <cellStyle name="Percent 2 2 2" xfId="7"/>
    <cellStyle name="Percent 2 2 2 2" xfId="9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puter baazaar" refreshedDate="46156.44637395833" createdVersion="3" refreshedVersion="3" minRefreshableVersion="3" recordCount="1811">
  <cacheSource type="worksheet">
    <worksheetSource ref="A1:BG1812" sheet="Sheet2"/>
  </cacheSource>
  <cacheFields count="59">
    <cacheField name="Plant" numFmtId="0">
      <sharedItems containsSemiMixedTypes="0" containsString="0" containsNumber="1" containsInteger="1" minValue="1115" maxValue="1115"/>
    </cacheField>
    <cacheField name="Profit Centre" numFmtId="0">
      <sharedItems containsSemiMixedTypes="0" containsString="0" containsNumber="1" containsInteger="1" minValue="1115" maxValue="1115"/>
    </cacheField>
    <cacheField name="Dist.Channel" numFmtId="0">
      <sharedItems containsSemiMixedTypes="0" containsString="0" containsNumber="1" containsInteger="1" minValue="10" maxValue="10"/>
    </cacheField>
    <cacheField name="Division" numFmtId="0">
      <sharedItems containsSemiMixedTypes="0" containsString="0" containsNumber="1" containsInteger="1" minValue="2" maxValue="6"/>
    </cacheField>
    <cacheField name="Division text" numFmtId="0">
      <sharedItems/>
    </cacheField>
    <cacheField name="Billing Type" numFmtId="0">
      <sharedItems/>
    </cacheField>
    <cacheField name="Billing Type Desc" numFmtId="0">
      <sharedItems/>
    </cacheField>
    <cacheField name="Billing Doc" numFmtId="0">
      <sharedItems containsSemiMixedTypes="0" containsString="0" containsNumber="1" containsInteger="1" minValue="1526005446" maxValue="1526007590"/>
    </cacheField>
    <cacheField name="Accounting Doc" numFmtId="0">
      <sharedItems containsSemiMixedTypes="0" containsString="0" containsNumber="1" containsInteger="1" minValue="1000005679" maxValue="1000007893"/>
    </cacheField>
    <cacheField name="Status" numFmtId="0">
      <sharedItems containsNonDate="0" containsString="0" containsBlank="1"/>
    </cacheField>
    <cacheField name="Excise Invoice No" numFmtId="0">
      <sharedItems containsNonDate="0" containsString="0" containsBlank="1"/>
    </cacheField>
    <cacheField name="Billling Date" numFmtId="0">
      <sharedItems count="13">
        <s v="04.05.2026"/>
        <s v="05.05.2026"/>
        <s v="02.05.2026"/>
        <s v="01.05.2026"/>
        <s v="03.05.2026"/>
        <s v="06.05.2026"/>
        <s v="07.05.2026"/>
        <s v="08.05.2026"/>
        <s v="09.05.2026"/>
        <s v="10.05.2026"/>
        <s v="13.05.2026"/>
        <s v="12.05.2026"/>
        <s v="11.05.2026"/>
      </sharedItems>
    </cacheField>
    <cacheField name="Sales Order No" numFmtId="0">
      <sharedItems containsSemiMixedTypes="0" containsString="0" containsNumber="1" containsInteger="1" minValue="5100001096" maxValue="5900001676"/>
    </cacheField>
    <cacheField name="Sales Doc.Type" numFmtId="0">
      <sharedItems/>
    </cacheField>
    <cacheField name="Sales Type Text" numFmtId="0">
      <sharedItems/>
    </cacheField>
    <cacheField name="Cust-PO-No" numFmtId="0">
      <sharedItems containsSemiMixedTypes="0" containsString="0" containsNumber="1" containsInteger="1" minValue="4110004645" maxValue="5600014441"/>
    </cacheField>
    <cacheField name="Cust-PO-Date" numFmtId="0">
      <sharedItems/>
    </cacheField>
    <cacheField name="Customer" numFmtId="0">
      <sharedItems containsSemiMixedTypes="0" containsString="0" containsNumber="1" containsInteger="1" minValue="5000" maxValue="5356"/>
    </cacheField>
    <cacheField name="Customer Name" numFmtId="0">
      <sharedItems/>
    </cacheField>
    <cacheField name="ShipToParty" numFmtId="0">
      <sharedItems containsNonDate="0" containsString="0" containsBlank="1"/>
    </cacheField>
    <cacheField name="STP-Name" numFmtId="0">
      <sharedItems containsNonDate="0" containsString="0" containsBlank="1"/>
    </cacheField>
    <cacheField name="Customer TIN No" numFmtId="0">
      <sharedItems containsBlank="1"/>
    </cacheField>
    <cacheField name="Material" numFmtId="0">
      <sharedItems containsSemiMixedTypes="0" containsString="0" containsNumber="1" containsInteger="1" minValue="1104012289" maxValue="1502040322"/>
    </cacheField>
    <cacheField name="Material Desc" numFmtId="0">
      <sharedItems/>
    </cacheField>
    <cacheField name="Line" numFmtId="0">
      <sharedItems count="18">
        <s v="MAX UG NEW"/>
        <s v="RE STYLING"/>
        <s v="MAX UG NEW EV"/>
        <s v="FRONT MUDGAURD"/>
        <s v="Re Side Door"/>
        <s v="FRONT MUDGARD GOGO"/>
        <s v="MAXIMA HD"/>
        <s v="CRADEL"/>
        <s v="REAR COVER"/>
        <s v="DASH BOARD"/>
        <s v="SUPPORT TOP"/>
        <s v="STARTING HANDLE"/>
        <s v="REAR MUDGAURD"/>
        <s v="LOGISTICS"/>
        <s v="DOOR INNER"/>
        <s v="ENG BKT"/>
        <s v="FRONT MUDGAURD EV"/>
        <s v="INNER DOOR" u="1"/>
      </sharedItems>
    </cacheField>
    <cacheField name="Chapter ID" numFmtId="0">
      <sharedItems containsSemiMixedTypes="0" containsString="0" containsNumber="1" containsInteger="1" minValue="87082900" maxValue="87141090"/>
    </cacheField>
    <cacheField name="Billing Qty" numFmtId="0">
      <sharedItems containsSemiMixedTypes="0" containsString="0" containsNumber="1" containsInteger="1" minValue="-8" maxValue="13600"/>
    </cacheField>
    <cacheField name="UoM" numFmtId="0">
      <sharedItems/>
    </cacheField>
    <cacheField name="Sale Rate" numFmtId="0">
      <sharedItems containsSemiMixedTypes="0" containsString="0" containsNumber="1" minValue="7.72" maxValue="9566.51"/>
    </cacheField>
    <cacheField name="Currency" numFmtId="0">
      <sharedItems/>
    </cacheField>
    <cacheField name="Basic Value" numFmtId="0">
      <sharedItems containsSemiMixedTypes="0" containsString="0" containsNumber="1" minValue="-68748.08" maxValue="390010.8"/>
    </cacheField>
    <cacheField name="Amort.Cost" numFmtId="0">
      <sharedItems containsSemiMixedTypes="0" containsString="0" containsNumber="1" containsInteger="1" minValue="0" maxValue="0"/>
    </cacheField>
    <cacheField name="Assessable Value" numFmtId="0">
      <sharedItems containsSemiMixedTypes="0" containsString="0" containsNumber="1" minValue="-68748.08" maxValue="390010.8"/>
    </cacheField>
    <cacheField name="  BED" numFmtId="0">
      <sharedItems containsSemiMixedTypes="0" containsString="0" containsNumber="1" containsInteger="1" minValue="0" maxValue="0"/>
    </cacheField>
    <cacheField name="  ECS" numFmtId="0">
      <sharedItems containsSemiMixedTypes="0" containsString="0" containsNumber="1" containsInteger="1" minValue="0" maxValue="0"/>
    </cacheField>
    <cacheField name=" HECS" numFmtId="0">
      <sharedItems containsSemiMixedTypes="0" containsString="0" containsNumber="1" containsInteger="1" minValue="0" maxValue="0"/>
    </cacheField>
    <cacheField name="  AED" numFmtId="0">
      <sharedItems containsSemiMixedTypes="0" containsString="0" containsNumber="1" containsInteger="1" minValue="0" maxValue="0"/>
    </cacheField>
    <cacheField name="  Sub Total" numFmtId="0">
      <sharedItems containsSemiMixedTypes="0" containsString="0" containsNumber="1" minValue="-68748.08" maxValue="390010.8"/>
    </cacheField>
    <cacheField name="VAT %" numFmtId="0">
      <sharedItems containsSemiMixedTypes="0" containsString="0" containsNumber="1" containsInteger="1" minValue="0" maxValue="0"/>
    </cacheField>
    <cacheField name="  VAT" numFmtId="0">
      <sharedItems containsSemiMixedTypes="0" containsString="0" containsNumber="1" containsInteger="1" minValue="0" maxValue="0"/>
    </cacheField>
    <cacheField name="  CST" numFmtId="0">
      <sharedItems containsSemiMixedTypes="0" containsString="0" containsNumber="1" containsInteger="1" minValue="0" maxValue="0"/>
    </cacheField>
    <cacheField name="  AED2" numFmtId="0">
      <sharedItems containsSemiMixedTypes="0" containsString="0" containsNumber="1" containsInteger="1" minValue="0" maxValue="0"/>
    </cacheField>
    <cacheField name="  TCS" numFmtId="0">
      <sharedItems containsSemiMixedTypes="0" containsString="0" containsNumber="1" containsInteger="1" minValue="0" maxValue="0"/>
    </cacheField>
    <cacheField name="Srchg on TCS" numFmtId="0">
      <sharedItems containsSemiMixedTypes="0" containsString="0" containsNumber="1" containsInteger="1" minValue="0" maxValue="0"/>
    </cacheField>
    <cacheField name="ECess on TCS" numFmtId="0">
      <sharedItems containsSemiMixedTypes="0" containsString="0" containsNumber="1" containsInteger="1" minValue="0" maxValue="0"/>
    </cacheField>
    <cacheField name="SHCess on TCS" numFmtId="0">
      <sharedItems containsSemiMixedTypes="0" containsString="0" containsNumber="1" containsInteger="1" minValue="0" maxValue="0"/>
    </cacheField>
    <cacheField name="Total Value" numFmtId="0">
      <sharedItems containsSemiMixedTypes="0" containsString="0" containsNumber="1" minValue="-68748.08" maxValue="390010.8"/>
    </cacheField>
    <cacheField name="TlCost Rate" numFmtId="0">
      <sharedItems containsSemiMixedTypes="0" containsString="0" containsNumber="1" containsInteger="1" minValue="0" maxValue="0"/>
    </cacheField>
    <cacheField name="ToolCost Value" numFmtId="0">
      <sharedItems containsSemiMixedTypes="0" containsString="0" containsNumber="1" containsInteger="1" minValue="0" maxValue="0"/>
    </cacheField>
    <cacheField name="G/L Acoount" numFmtId="0">
      <sharedItems containsSemiMixedTypes="0" containsString="0" containsNumber="1" containsInteger="1" minValue="311000" maxValue="311003"/>
    </cacheField>
    <cacheField name="G/L Acoount Desc" numFmtId="0">
      <sharedItems/>
    </cacheField>
    <cacheField name="Gross-Wt" numFmtId="0">
      <sharedItems containsSemiMixedTypes="0" containsString="0" containsNumber="1" minValue="0" maxValue="93.34"/>
    </cacheField>
    <cacheField name=" Net-Wt" numFmtId="0">
      <sharedItems containsSemiMixedTypes="0" containsString="0" containsNumber="1" minValue="0" maxValue="75.430000000000007"/>
    </cacheField>
    <cacheField name="Scrap-Wt" numFmtId="0">
      <sharedItems containsSemiMixedTypes="0" containsString="0" containsNumber="1" minValue="-61" maxValue="53"/>
    </cacheField>
    <cacheField name="Old-Material" numFmtId="0">
      <sharedItems containsMixedTypes="1" containsNumber="1" containsInteger="1" minValue="24231620" maxValue="2000001019"/>
    </cacheField>
    <cacheField name="Mat-Group" numFmtId="0">
      <sharedItems containsSemiMixedTypes="0" containsString="0" containsNumber="1" containsInteger="1" minValue="1123" maxValue="1511"/>
    </cacheField>
    <cacheField name="Mat-Group-Name" numFmtId="0">
      <sharedItems/>
    </cacheField>
    <cacheField name="RCIA No" numFmtId="0">
      <sharedItems containsMixedTypes="1" containsNumber="1" containsInteger="1" minValue="5094045497" maxValue="5094275967"/>
    </cacheField>
    <cacheField name="RCIA Dat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1">
  <r>
    <n v="1115"/>
    <n v="1115"/>
    <n v="10"/>
    <n v="2"/>
    <s v="Three Wheelers"/>
    <s v="F2"/>
    <s v="COMMERCIAL INVOICE"/>
    <n v="1526005946"/>
    <n v="1000006208"/>
    <m/>
    <m/>
    <x v="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222"/>
    <s v="05.05.2026"/>
  </r>
  <r>
    <n v="1115"/>
    <n v="1115"/>
    <n v="10"/>
    <n v="2"/>
    <s v="Three Wheelers"/>
    <s v="F2"/>
    <s v="COMMERCIAL INVOICE"/>
    <n v="1526005945"/>
    <n v="1000006207"/>
    <m/>
    <m/>
    <x v="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6025"/>
    <s v="05.05.2026"/>
  </r>
  <r>
    <n v="1115"/>
    <n v="1115"/>
    <n v="10"/>
    <n v="2"/>
    <s v="Three Wheelers"/>
    <s v="F2"/>
    <s v="COMMERCIAL INVOICE"/>
    <n v="1526005947"/>
    <n v="1000006209"/>
    <m/>
    <m/>
    <x v="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378"/>
    <s v="05.05.2026"/>
  </r>
  <r>
    <n v="1115"/>
    <n v="1115"/>
    <n v="10"/>
    <n v="2"/>
    <s v="Three Wheelers"/>
    <s v="F2"/>
    <s v="COMMERCIAL INVOICE"/>
    <n v="1526005948"/>
    <n v="1000006210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07126"/>
    <s v="05.05.2026"/>
  </r>
  <r>
    <n v="1115"/>
    <n v="1115"/>
    <n v="10"/>
    <n v="2"/>
    <s v="Three Wheelers"/>
    <s v="F2"/>
    <s v="COMMERCIAL INVOICE"/>
    <n v="1526005944"/>
    <n v="1000006206"/>
    <m/>
    <m/>
    <x v="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376"/>
    <s v="05.05.2026"/>
  </r>
  <r>
    <n v="1115"/>
    <n v="1115"/>
    <n v="10"/>
    <n v="2"/>
    <s v="Three Wheelers"/>
    <s v="F2"/>
    <s v="COMMERCIAL INVOICE"/>
    <n v="1526005942"/>
    <n v="1000006204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4692"/>
    <s v="04.05.2026"/>
  </r>
  <r>
    <n v="1115"/>
    <n v="1115"/>
    <n v="10"/>
    <n v="2"/>
    <s v="Three Wheelers"/>
    <s v="F2"/>
    <s v="COMMERCIAL INVOICE"/>
    <n v="1526005941"/>
    <n v="1000006203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6"/>
    <s v="EA"/>
    <n v="6585.55"/>
    <s v="INR"/>
    <n v="39513.300000000003"/>
    <n v="0"/>
    <n v="39513.300000000003"/>
    <n v="0"/>
    <n v="0"/>
    <n v="0"/>
    <n v="0"/>
    <n v="39513.300000000003"/>
    <n v="0"/>
    <n v="0"/>
    <n v="0"/>
    <n v="0"/>
    <n v="0"/>
    <n v="0"/>
    <n v="0"/>
    <n v="0"/>
    <n v="39513.300000000003"/>
    <n v="0"/>
    <n v="0"/>
    <n v="311000"/>
    <s v="SALE FINISHED GOODS"/>
    <n v="49.75"/>
    <n v="49.75"/>
    <n v="0"/>
    <s v="AA231532"/>
    <n v="1509"/>
    <s v="FG Body"/>
    <n v="5094107251"/>
    <s v="05.05.2026"/>
  </r>
  <r>
    <n v="1115"/>
    <n v="1115"/>
    <n v="10"/>
    <n v="2"/>
    <s v="Three Wheelers"/>
    <s v="F2"/>
    <s v="COMMERCIAL INVOICE"/>
    <n v="1526005940"/>
    <n v="1000006202"/>
    <m/>
    <m/>
    <x v="0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960"/>
    <s v="EA"/>
    <n v="174.11"/>
    <s v="INR"/>
    <n v="167145.60000000001"/>
    <n v="0"/>
    <n v="167145.60000000001"/>
    <n v="0"/>
    <n v="0"/>
    <n v="0"/>
    <n v="0"/>
    <n v="167145.60000000001"/>
    <n v="0"/>
    <n v="0"/>
    <n v="0"/>
    <n v="0"/>
    <n v="0"/>
    <n v="0"/>
    <n v="0"/>
    <n v="0"/>
    <n v="167145.60000000001"/>
    <n v="0"/>
    <n v="0"/>
    <n v="311000"/>
    <s v="SALE FINISHED GOODS"/>
    <n v="2.573"/>
    <n v="1.4910000000000001"/>
    <n v="1.0820000000000001"/>
    <s v="AA161289"/>
    <n v="1511"/>
    <s v="FG Loose 3WH"/>
    <n v="5094107252"/>
    <s v="05.05.2026"/>
  </r>
  <r>
    <n v="1115"/>
    <n v="1115"/>
    <n v="10"/>
    <n v="2"/>
    <s v="Three Wheelers"/>
    <s v="F2"/>
    <s v="COMMERCIAL INVOICE"/>
    <n v="1526005939"/>
    <n v="1000006201"/>
    <m/>
    <m/>
    <x v="0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n v="5094113616"/>
    <s v="05.05.2026"/>
  </r>
  <r>
    <n v="1115"/>
    <n v="1115"/>
    <n v="10"/>
    <n v="2"/>
    <s v="Three Wheelers"/>
    <s v="F2"/>
    <s v="COMMERCIAL INVOICE"/>
    <n v="1526005949"/>
    <n v="1000006211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07045"/>
    <s v="05.05.2026"/>
  </r>
  <r>
    <n v="1115"/>
    <n v="1115"/>
    <n v="10"/>
    <n v="2"/>
    <s v="Three Wheelers"/>
    <s v="F2"/>
    <s v="COMMERCIAL INVOICE"/>
    <n v="1526005950"/>
    <n v="1000006212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07035"/>
    <s v="05.05.2026"/>
  </r>
  <r>
    <n v="1115"/>
    <n v="1115"/>
    <n v="10"/>
    <n v="2"/>
    <s v="Three Wheelers"/>
    <s v="F2"/>
    <s v="COMMERCIAL INVOICE"/>
    <n v="1526005951"/>
    <n v="1000006213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07203"/>
    <s v="05.05.2026"/>
  </r>
  <r>
    <n v="1115"/>
    <n v="1115"/>
    <n v="10"/>
    <n v="2"/>
    <s v="Three Wheelers"/>
    <s v="F2"/>
    <s v="COMMERCIAL INVOICE"/>
    <n v="1526005952"/>
    <n v="1000006214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7399"/>
    <s v="05.05.2026"/>
  </r>
  <r>
    <n v="1115"/>
    <n v="1115"/>
    <n v="10"/>
    <n v="2"/>
    <s v="Three Wheelers"/>
    <s v="F2"/>
    <s v="COMMERCIAL INVOICE"/>
    <n v="1526005953"/>
    <n v="1000006215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5709"/>
    <s v="04.05.2026"/>
  </r>
  <r>
    <n v="1115"/>
    <n v="1115"/>
    <n v="10"/>
    <n v="2"/>
    <s v="Three Wheelers"/>
    <s v="F2"/>
    <s v="COMMERCIAL INVOICE"/>
    <n v="1526005954"/>
    <n v="1000006216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07033"/>
    <s v="05.05.2026"/>
  </r>
  <r>
    <n v="1115"/>
    <n v="1115"/>
    <n v="10"/>
    <n v="2"/>
    <s v="Three Wheelers"/>
    <s v="F2"/>
    <s v="COMMERCIAL INVOICE"/>
    <n v="1526005955"/>
    <n v="1000006217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07005"/>
    <s v="05.05.2026"/>
  </r>
  <r>
    <n v="1115"/>
    <n v="1115"/>
    <n v="10"/>
    <n v="2"/>
    <s v="Three Wheelers"/>
    <s v="F2"/>
    <s v="COMMERCIAL INVOICE"/>
    <n v="1526005956"/>
    <n v="1000006218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07001"/>
    <s v="05.05.2026"/>
  </r>
  <r>
    <n v="1115"/>
    <n v="1115"/>
    <n v="10"/>
    <n v="2"/>
    <s v="Three Wheelers"/>
    <s v="F2"/>
    <s v="COMMERCIAL INVOICE"/>
    <n v="1526005957"/>
    <n v="1000006219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15847"/>
    <s v="05.05.2026"/>
  </r>
  <r>
    <n v="1115"/>
    <n v="1115"/>
    <n v="10"/>
    <n v="2"/>
    <s v="Three Wheelers"/>
    <s v="F2"/>
    <s v="COMMERCIAL INVOICE"/>
    <n v="1526005958"/>
    <n v="1000006220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15859"/>
    <s v="05.05.2026"/>
  </r>
  <r>
    <n v="1115"/>
    <n v="1115"/>
    <n v="10"/>
    <n v="2"/>
    <s v="Three Wheelers"/>
    <s v="F2"/>
    <s v="COMMERCIAL INVOICE"/>
    <n v="1526005938"/>
    <n v="1000006200"/>
    <m/>
    <m/>
    <x v="0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n v="5094113618"/>
    <s v="05.05.2026"/>
  </r>
  <r>
    <n v="1115"/>
    <n v="1115"/>
    <n v="10"/>
    <n v="2"/>
    <s v="Three Wheelers"/>
    <s v="F2"/>
    <s v="COMMERCIAL INVOICE"/>
    <n v="1526005936"/>
    <n v="1000006198"/>
    <m/>
    <m/>
    <x v="0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50"/>
    <s v="EA"/>
    <n v="380.93"/>
    <s v="INR"/>
    <n v="57139.5"/>
    <n v="0"/>
    <n v="57139.5"/>
    <n v="0"/>
    <n v="0"/>
    <n v="0"/>
    <n v="0"/>
    <n v="57139.5"/>
    <n v="0"/>
    <n v="0"/>
    <n v="0"/>
    <n v="0"/>
    <n v="0"/>
    <n v="0"/>
    <n v="0"/>
    <n v="0"/>
    <n v="57139.5"/>
    <n v="0"/>
    <n v="0"/>
    <n v="311000"/>
    <s v="SALE FINISHED GOODS"/>
    <n v="2.13"/>
    <n v="2.13"/>
    <n v="0"/>
    <s v="AH111571"/>
    <n v="1511"/>
    <s v="FG Loose 3WH"/>
    <n v="5094103632"/>
    <s v="04.05.2026"/>
  </r>
  <r>
    <n v="1115"/>
    <n v="1115"/>
    <n v="10"/>
    <n v="2"/>
    <s v="Three Wheelers"/>
    <s v="F2"/>
    <s v="COMMERCIAL INVOICE"/>
    <n v="1526005935"/>
    <n v="1000006197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n v="5094103638"/>
    <s v="04.05.2026"/>
  </r>
  <r>
    <n v="1115"/>
    <n v="1115"/>
    <n v="10"/>
    <n v="2"/>
    <s v="Three Wheelers"/>
    <s v="F2"/>
    <s v="COMMERCIAL INVOICE"/>
    <n v="1526005934"/>
    <n v="1000006196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3260"/>
    <s v="05.05.2026"/>
  </r>
  <r>
    <n v="1115"/>
    <n v="1115"/>
    <n v="10"/>
    <n v="2"/>
    <s v="Three Wheelers"/>
    <s v="F2"/>
    <s v="COMMERCIAL INVOICE"/>
    <n v="1526005933"/>
    <n v="1000006195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3196"/>
    <s v="05.05.2026"/>
  </r>
  <r>
    <n v="1115"/>
    <n v="1115"/>
    <n v="10"/>
    <n v="2"/>
    <s v="Three Wheelers"/>
    <s v="F2"/>
    <s v="COMMERCIAL INVOICE"/>
    <n v="1526005932"/>
    <n v="1000006194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0863"/>
    <s v="05.05.2026"/>
  </r>
  <r>
    <n v="1115"/>
    <n v="1115"/>
    <n v="10"/>
    <n v="2"/>
    <s v="Three Wheelers"/>
    <s v="F2"/>
    <s v="COMMERCIAL INVOICE"/>
    <n v="1526005931"/>
    <n v="1000006193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07034"/>
    <s v="05.05.2026"/>
  </r>
  <r>
    <n v="1115"/>
    <n v="1115"/>
    <n v="10"/>
    <n v="2"/>
    <s v="Three Wheelers"/>
    <s v="F2"/>
    <s v="COMMERCIAL INVOICE"/>
    <n v="1526005930"/>
    <n v="1000006192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18521"/>
    <s v="05.05.2026"/>
  </r>
  <r>
    <n v="1115"/>
    <n v="1115"/>
    <n v="10"/>
    <n v="2"/>
    <s v="Three Wheelers"/>
    <s v="F2"/>
    <s v="COMMERCIAL INVOICE"/>
    <n v="1526005929"/>
    <n v="1000006191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07238"/>
    <s v="05.05.2026"/>
  </r>
  <r>
    <n v="1115"/>
    <n v="1115"/>
    <n v="10"/>
    <n v="2"/>
    <s v="Three Wheelers"/>
    <s v="F2"/>
    <s v="COMMERCIAL INVOICE"/>
    <n v="1526005928"/>
    <n v="1000006190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07218"/>
    <s v="05.05.2026"/>
  </r>
  <r>
    <n v="1115"/>
    <n v="1115"/>
    <n v="10"/>
    <n v="2"/>
    <s v="Three Wheelers"/>
    <s v="F2"/>
    <s v="COMMERCIAL INVOICE"/>
    <n v="1526005927"/>
    <n v="1000006189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1159"/>
    <s v="04.05.2026"/>
  </r>
  <r>
    <n v="1115"/>
    <n v="1115"/>
    <n v="10"/>
    <n v="2"/>
    <s v="Three Wheelers"/>
    <s v="F2"/>
    <s v="COMMERCIAL INVOICE"/>
    <n v="1526005926"/>
    <n v="1000006188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5742"/>
    <s v="04.05.2026"/>
  </r>
  <r>
    <n v="1115"/>
    <n v="1115"/>
    <n v="10"/>
    <n v="2"/>
    <s v="Three Wheelers"/>
    <s v="F2"/>
    <s v="COMMERCIAL INVOICE"/>
    <n v="1526005924"/>
    <n v="1000006186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07269"/>
    <s v="05.05.2026"/>
  </r>
  <r>
    <n v="1115"/>
    <n v="1115"/>
    <n v="10"/>
    <n v="2"/>
    <s v="Three Wheelers"/>
    <s v="F2"/>
    <s v="COMMERCIAL INVOICE"/>
    <n v="1526005923"/>
    <n v="1000006185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07322"/>
    <s v="05.05.2026"/>
  </r>
  <r>
    <n v="1115"/>
    <n v="1115"/>
    <n v="10"/>
    <n v="2"/>
    <s v="Three Wheelers"/>
    <s v="F2"/>
    <s v="COMMERCIAL INVOICE"/>
    <n v="1526005922"/>
    <n v="1000006184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07278"/>
    <s v="05.05.2026"/>
  </r>
  <r>
    <n v="1115"/>
    <n v="1115"/>
    <n v="10"/>
    <n v="2"/>
    <s v="Three Wheelers"/>
    <s v="F2"/>
    <s v="COMMERCIAL INVOICE"/>
    <n v="1526005921"/>
    <n v="1000006183"/>
    <m/>
    <m/>
    <x v="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112615"/>
    <s v="05.05.2026"/>
  </r>
  <r>
    <n v="1115"/>
    <n v="1115"/>
    <n v="10"/>
    <n v="2"/>
    <s v="Three Wheelers"/>
    <s v="F2"/>
    <s v="COMMERCIAL INVOICE"/>
    <n v="1526005920"/>
    <n v="1000006182"/>
    <m/>
    <m/>
    <x v="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102331"/>
    <s v="04.05.2026"/>
  </r>
  <r>
    <n v="1115"/>
    <n v="1115"/>
    <n v="10"/>
    <n v="2"/>
    <s v="Three Wheelers"/>
    <s v="F2"/>
    <s v="COMMERCIAL INVOICE"/>
    <n v="1526005917"/>
    <n v="1000006179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4449"/>
    <s v="04.05.2026"/>
  </r>
  <r>
    <n v="1115"/>
    <n v="1115"/>
    <n v="10"/>
    <n v="2"/>
    <s v="Three Wheelers"/>
    <s v="F2"/>
    <s v="COMMERCIAL INVOICE"/>
    <n v="1526005914"/>
    <n v="1000006177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4442"/>
    <s v="04.05.2026"/>
  </r>
  <r>
    <n v="1115"/>
    <n v="1115"/>
    <n v="10"/>
    <n v="2"/>
    <s v="Three Wheelers"/>
    <s v="F2"/>
    <s v="COMMERCIAL INVOICE"/>
    <n v="1526005913"/>
    <n v="1000006176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4415"/>
    <s v="04.05.2026"/>
  </r>
  <r>
    <n v="1115"/>
    <n v="1115"/>
    <n v="10"/>
    <n v="2"/>
    <s v="Three Wheelers"/>
    <s v="F2"/>
    <s v="COMMERCIAL INVOICE"/>
    <n v="1526005959"/>
    <n v="1000006221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15870"/>
    <s v="05.05.2026"/>
  </r>
  <r>
    <n v="1115"/>
    <n v="1115"/>
    <n v="10"/>
    <n v="2"/>
    <s v="Three Wheelers"/>
    <s v="F2"/>
    <s v="COMMERCIAL INVOICE"/>
    <n v="1526005998"/>
    <n v="1000006260"/>
    <m/>
    <m/>
    <x v="1"/>
    <n v="5100001100"/>
    <s v="ZSCH"/>
    <s v="Normal Sales"/>
    <n v="4110004652"/>
    <s v="01.07.2017"/>
    <n v="5000"/>
    <s v="BAJAJ AUTO LIMITED (WALUJ)"/>
    <m/>
    <m/>
    <s v="27340676530V"/>
    <n v="1502040165"/>
    <s v="52BB0126 REAR COVER ASSLY GREEN RH"/>
    <x v="8"/>
    <n v="87082900"/>
    <n v="55"/>
    <s v="EA"/>
    <n v="165.65"/>
    <s v="INR"/>
    <n v="9110.75"/>
    <n v="0"/>
    <n v="9110.75"/>
    <n v="0"/>
    <n v="0"/>
    <n v="0"/>
    <n v="0"/>
    <n v="9110.75"/>
    <n v="0"/>
    <n v="0"/>
    <n v="0"/>
    <n v="0"/>
    <n v="0"/>
    <n v="0"/>
    <n v="0"/>
    <n v="0"/>
    <n v="9110.75"/>
    <n v="0"/>
    <n v="0"/>
    <n v="311000"/>
    <s v="SALE FINISHED GOODS"/>
    <n v="1.248"/>
    <n v="1.248"/>
    <n v="0"/>
    <s v="52BB0126"/>
    <n v="1511"/>
    <s v="FG Loose 3WH"/>
    <n v="5094115332"/>
    <s v="05.05.2026"/>
  </r>
  <r>
    <n v="1115"/>
    <n v="1115"/>
    <n v="10"/>
    <n v="2"/>
    <s v="Three Wheelers"/>
    <s v="F2"/>
    <s v="COMMERCIAL INVOICE"/>
    <n v="1526005997"/>
    <n v="1000006259"/>
    <m/>
    <m/>
    <x v="1"/>
    <n v="5100001100"/>
    <s v="ZSCH"/>
    <s v="Normal Sales"/>
    <n v="4110004652"/>
    <s v="01.07.2017"/>
    <n v="5000"/>
    <s v="BAJAJ AUTO LIMITED (WALUJ)"/>
    <m/>
    <m/>
    <s v="27340676530V"/>
    <n v="1502040164"/>
    <s v="52BB0125 REAR COVER ASSLY GREEN LH"/>
    <x v="8"/>
    <n v="87082900"/>
    <n v="55"/>
    <s v="EA"/>
    <n v="160.52000000000001"/>
    <s v="INR"/>
    <n v="8828.6"/>
    <n v="0"/>
    <n v="8828.6"/>
    <n v="0"/>
    <n v="0"/>
    <n v="0"/>
    <n v="0"/>
    <n v="8828.6"/>
    <n v="0"/>
    <n v="0"/>
    <n v="0"/>
    <n v="0"/>
    <n v="0"/>
    <n v="0"/>
    <n v="0"/>
    <n v="0"/>
    <n v="8828.6"/>
    <n v="0"/>
    <n v="0"/>
    <n v="311000"/>
    <s v="SALE FINISHED GOODS"/>
    <n v="1.1659999999999999"/>
    <n v="1.1659999999999999"/>
    <n v="0"/>
    <s v="52BB0125"/>
    <n v="1511"/>
    <s v="FG Loose 3WH"/>
    <n v="5094115334"/>
    <s v="05.05.2026"/>
  </r>
  <r>
    <n v="1115"/>
    <n v="1115"/>
    <n v="10"/>
    <n v="2"/>
    <s v="Three Wheelers"/>
    <s v="F2"/>
    <s v="COMMERCIAL INVOICE"/>
    <n v="1526005996"/>
    <n v="1000006258"/>
    <m/>
    <m/>
    <x v="1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113644"/>
    <s v="05.05.2026"/>
  </r>
  <r>
    <n v="1115"/>
    <n v="1115"/>
    <n v="10"/>
    <n v="2"/>
    <s v="Three Wheelers"/>
    <s v="F2"/>
    <s v="COMMERCIAL INVOICE"/>
    <n v="1526005995"/>
    <n v="1000006257"/>
    <m/>
    <m/>
    <x v="1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113645"/>
    <s v="05.05.2026"/>
  </r>
  <r>
    <n v="1115"/>
    <n v="1115"/>
    <n v="10"/>
    <n v="2"/>
    <s v="Three Wheelers"/>
    <s v="F2"/>
    <s v="COMMERCIAL INVOICE"/>
    <n v="1526005994"/>
    <n v="1000006256"/>
    <m/>
    <m/>
    <x v="1"/>
    <n v="5100001935"/>
    <s v="ZSCH"/>
    <s v="Normal Sales"/>
    <n v="4110059361"/>
    <s v="11.03.2025"/>
    <n v="5000"/>
    <s v="BAJAJ AUTO LIMITED (WALUJ)"/>
    <m/>
    <m/>
    <s v="27340676530V"/>
    <n v="1502020125"/>
    <s v="52AF1050 BODY ASSLY RE AIR COOLED BI-FUE"/>
    <x v="1"/>
    <n v="87082900"/>
    <n v="3"/>
    <s v="EA"/>
    <n v="6435.33"/>
    <s v="INR"/>
    <n v="19305.990000000002"/>
    <n v="0"/>
    <n v="19305.990000000002"/>
    <n v="0"/>
    <n v="0"/>
    <n v="0"/>
    <n v="0"/>
    <n v="19305.990000000002"/>
    <n v="0"/>
    <n v="0"/>
    <n v="0"/>
    <n v="0"/>
    <n v="0"/>
    <n v="0"/>
    <n v="0"/>
    <n v="0"/>
    <n v="19305.990000000002"/>
    <n v="0"/>
    <n v="0"/>
    <n v="311000"/>
    <s v="SALE FINISHED GOODS"/>
    <n v="0"/>
    <n v="0"/>
    <n v="0"/>
    <s v="52AF1050"/>
    <n v="1509"/>
    <s v="FG Body"/>
    <n v="5094116152"/>
    <s v="05.05.2026"/>
  </r>
  <r>
    <n v="1115"/>
    <n v="1115"/>
    <n v="10"/>
    <n v="2"/>
    <s v="Three Wheelers"/>
    <s v="F2"/>
    <s v="COMMERCIAL INVOICE"/>
    <n v="1526005993"/>
    <n v="1000006255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2"/>
    <s v="EA"/>
    <n v="6500.18"/>
    <s v="INR"/>
    <n v="78002.16"/>
    <n v="0"/>
    <n v="78002.16"/>
    <n v="0"/>
    <n v="0"/>
    <n v="0"/>
    <n v="0"/>
    <n v="78002.16"/>
    <n v="0"/>
    <n v="0"/>
    <n v="0"/>
    <n v="0"/>
    <n v="0"/>
    <n v="0"/>
    <n v="0"/>
    <n v="0"/>
    <n v="78002.16"/>
    <n v="0"/>
    <n v="0"/>
    <n v="311000"/>
    <s v="SALE FINISHED GOODS"/>
    <n v="0"/>
    <n v="0"/>
    <n v="0"/>
    <s v="52AU0352"/>
    <n v="1509"/>
    <s v="FG Body"/>
    <n v="5094116126"/>
    <s v="05.05.2026"/>
  </r>
  <r>
    <n v="1115"/>
    <n v="1115"/>
    <n v="10"/>
    <n v="2"/>
    <s v="Three Wheelers"/>
    <s v="F2"/>
    <s v="COMMERCIAL INVOICE"/>
    <n v="1526005992"/>
    <n v="1000006254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18526"/>
    <s v="05.05.2026"/>
  </r>
  <r>
    <n v="1115"/>
    <n v="1115"/>
    <n v="10"/>
    <n v="2"/>
    <s v="Three Wheelers"/>
    <s v="F2"/>
    <s v="COMMERCIAL INVOICE"/>
    <n v="1526005991"/>
    <n v="1000006253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18523"/>
    <s v="05.05.2026"/>
  </r>
  <r>
    <n v="1115"/>
    <n v="1115"/>
    <n v="10"/>
    <n v="2"/>
    <s v="Three Wheelers"/>
    <s v="F2"/>
    <s v="COMMERCIAL INVOICE"/>
    <n v="1526005990"/>
    <n v="1000006252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18451"/>
    <s v="05.05.2026"/>
  </r>
  <r>
    <n v="1115"/>
    <n v="1115"/>
    <n v="10"/>
    <n v="2"/>
    <s v="Three Wheelers"/>
    <s v="F2"/>
    <s v="COMMERCIAL INVOICE"/>
    <n v="1526005989"/>
    <n v="1000006251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18524"/>
    <s v="05.05.2026"/>
  </r>
  <r>
    <n v="1115"/>
    <n v="1115"/>
    <n v="10"/>
    <n v="2"/>
    <s v="Three Wheelers"/>
    <s v="F2"/>
    <s v="COMMERCIAL INVOICE"/>
    <n v="1526005988"/>
    <n v="1000006250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493"/>
    <s v="06.05.2026"/>
  </r>
  <r>
    <n v="1115"/>
    <n v="1115"/>
    <n v="10"/>
    <n v="2"/>
    <s v="Three Wheelers"/>
    <s v="F2"/>
    <s v="COMMERCIAL INVOICE"/>
    <n v="1526005987"/>
    <n v="1000006249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476"/>
    <s v="06.05.2026"/>
  </r>
  <r>
    <n v="1115"/>
    <n v="1115"/>
    <n v="10"/>
    <n v="2"/>
    <s v="Three Wheelers"/>
    <s v="F2"/>
    <s v="COMMERCIAL INVOICE"/>
    <n v="1526005986"/>
    <n v="1000006248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647"/>
    <s v="06.05.2026"/>
  </r>
  <r>
    <n v="1115"/>
    <n v="1115"/>
    <n v="10"/>
    <n v="2"/>
    <s v="Three Wheelers"/>
    <s v="F2"/>
    <s v="COMMERCIAL INVOICE"/>
    <n v="1526005985"/>
    <n v="1000006247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652"/>
    <s v="06.05.2026"/>
  </r>
  <r>
    <n v="1115"/>
    <n v="1115"/>
    <n v="10"/>
    <n v="2"/>
    <s v="Three Wheelers"/>
    <s v="F2"/>
    <s v="COMMERCIAL INVOICE"/>
    <n v="1526005984"/>
    <n v="1000006246"/>
    <m/>
    <m/>
    <x v="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27735"/>
    <s v="05.05.2026"/>
  </r>
  <r>
    <n v="1115"/>
    <n v="1115"/>
    <n v="10"/>
    <n v="2"/>
    <s v="Three Wheelers"/>
    <s v="F2"/>
    <s v="COMMERCIAL INVOICE"/>
    <n v="1526005983"/>
    <n v="1000006245"/>
    <m/>
    <m/>
    <x v="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27736"/>
    <s v="05.05.2026"/>
  </r>
  <r>
    <n v="1115"/>
    <n v="1115"/>
    <n v="10"/>
    <n v="2"/>
    <s v="Three Wheelers"/>
    <s v="F2"/>
    <s v="COMMERCIAL INVOICE"/>
    <n v="1526005982"/>
    <n v="1000006244"/>
    <m/>
    <m/>
    <x v="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15982"/>
    <s v="05.05.2026"/>
  </r>
  <r>
    <n v="1115"/>
    <n v="1115"/>
    <n v="10"/>
    <n v="2"/>
    <s v="Three Wheelers"/>
    <s v="F2"/>
    <s v="COMMERCIAL INVOICE"/>
    <n v="1526005981"/>
    <n v="1000006243"/>
    <m/>
    <m/>
    <x v="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15864"/>
    <s v="05.05.2026"/>
  </r>
  <r>
    <n v="1115"/>
    <n v="1115"/>
    <n v="10"/>
    <n v="2"/>
    <s v="Three Wheelers"/>
    <s v="F2"/>
    <s v="COMMERCIAL INVOICE"/>
    <n v="1526005980"/>
    <n v="1000006242"/>
    <m/>
    <m/>
    <x v="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27944"/>
    <s v="05.05.2026"/>
  </r>
  <r>
    <n v="1115"/>
    <n v="1115"/>
    <n v="10"/>
    <n v="2"/>
    <s v="Three Wheelers"/>
    <s v="F2"/>
    <s v="COMMERCIAL INVOICE"/>
    <n v="1526005979"/>
    <n v="1000006241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106"/>
    <s v="05.05.2026"/>
  </r>
  <r>
    <n v="1115"/>
    <n v="1115"/>
    <n v="10"/>
    <n v="2"/>
    <s v="Three Wheelers"/>
    <s v="F2"/>
    <s v="COMMERCIAL INVOICE"/>
    <n v="1526005978"/>
    <n v="1000006240"/>
    <m/>
    <m/>
    <x v="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115612"/>
    <s v="05.05.2026"/>
  </r>
  <r>
    <n v="1115"/>
    <n v="1115"/>
    <n v="10"/>
    <n v="2"/>
    <s v="Three Wheelers"/>
    <s v="F2"/>
    <s v="COMMERCIAL INVOICE"/>
    <n v="1526005977"/>
    <n v="1000006239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420"/>
    <s v="05.05.2026"/>
  </r>
  <r>
    <n v="1115"/>
    <n v="1115"/>
    <n v="10"/>
    <n v="2"/>
    <s v="Three Wheelers"/>
    <s v="F2"/>
    <s v="COMMERCIAL INVOICE"/>
    <n v="1526005976"/>
    <n v="1000006238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8571"/>
    <s v="05.05.2026"/>
  </r>
  <r>
    <n v="1115"/>
    <n v="1115"/>
    <n v="10"/>
    <n v="2"/>
    <s v="Three Wheelers"/>
    <s v="F2"/>
    <s v="COMMERCIAL INVOICE"/>
    <n v="1526005975"/>
    <n v="1000006237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12445"/>
    <s v="05.05.2026"/>
  </r>
  <r>
    <n v="1115"/>
    <n v="1115"/>
    <n v="10"/>
    <n v="2"/>
    <s v="Three Wheelers"/>
    <s v="F2"/>
    <s v="COMMERCIAL INVOICE"/>
    <n v="1526005974"/>
    <n v="1000006236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0051"/>
    <s v="06.05.2026"/>
  </r>
  <r>
    <n v="1115"/>
    <n v="1115"/>
    <n v="10"/>
    <n v="2"/>
    <s v="Three Wheelers"/>
    <s v="F2"/>
    <s v="COMMERCIAL INVOICE"/>
    <n v="1526005973"/>
    <n v="1000006235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9968"/>
    <s v="05.05.2026"/>
  </r>
  <r>
    <n v="1115"/>
    <n v="1115"/>
    <n v="10"/>
    <n v="2"/>
    <s v="Three Wheelers"/>
    <s v="F2"/>
    <s v="COMMERCIAL INVOICE"/>
    <n v="1526005972"/>
    <n v="1000006234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8359"/>
    <s v="05.05.2026"/>
  </r>
  <r>
    <n v="1115"/>
    <n v="1115"/>
    <n v="10"/>
    <n v="2"/>
    <s v="Three Wheelers"/>
    <s v="F2"/>
    <s v="COMMERCIAL INVOICE"/>
    <n v="1526005971"/>
    <n v="1000006233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330"/>
    <s v="05.05.2026"/>
  </r>
  <r>
    <n v="1115"/>
    <n v="1115"/>
    <n v="10"/>
    <n v="2"/>
    <s v="Three Wheelers"/>
    <s v="F2"/>
    <s v="COMMERCIAL INVOICE"/>
    <n v="1526005970"/>
    <n v="1000006232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8569"/>
    <s v="05.05.2026"/>
  </r>
  <r>
    <n v="1115"/>
    <n v="1115"/>
    <n v="10"/>
    <n v="2"/>
    <s v="Three Wheelers"/>
    <s v="F2"/>
    <s v="COMMERCIAL INVOICE"/>
    <n v="1526005969"/>
    <n v="1000006231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8549"/>
    <s v="05.05.2026"/>
  </r>
  <r>
    <n v="1115"/>
    <n v="1115"/>
    <n v="10"/>
    <n v="2"/>
    <s v="Three Wheelers"/>
    <s v="F2"/>
    <s v="COMMERCIAL INVOICE"/>
    <n v="1526005968"/>
    <n v="1000006230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419"/>
    <s v="05.05.2026"/>
  </r>
  <r>
    <n v="1115"/>
    <n v="1115"/>
    <n v="10"/>
    <n v="2"/>
    <s v="Three Wheelers"/>
    <s v="F2"/>
    <s v="COMMERCIAL INVOICE"/>
    <n v="1526005967"/>
    <n v="1000006229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408"/>
    <s v="05.05.2026"/>
  </r>
  <r>
    <n v="1115"/>
    <n v="1115"/>
    <n v="10"/>
    <n v="2"/>
    <s v="Three Wheelers"/>
    <s v="F2"/>
    <s v="COMMERCIAL INVOICE"/>
    <n v="1526005966"/>
    <n v="1000006228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407"/>
    <s v="05.05.2026"/>
  </r>
  <r>
    <n v="1115"/>
    <n v="1115"/>
    <n v="10"/>
    <n v="2"/>
    <s v="Three Wheelers"/>
    <s v="F2"/>
    <s v="COMMERCIAL INVOICE"/>
    <n v="1526005965"/>
    <n v="1000006227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07406"/>
    <s v="05.05.2026"/>
  </r>
  <r>
    <n v="1115"/>
    <n v="1115"/>
    <n v="10"/>
    <n v="2"/>
    <s v="Three Wheelers"/>
    <s v="F2"/>
    <s v="COMMERCIAL INVOICE"/>
    <n v="1526005964"/>
    <n v="1000006226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7262"/>
    <s v="05.05.2026"/>
  </r>
  <r>
    <n v="1115"/>
    <n v="1115"/>
    <n v="10"/>
    <n v="2"/>
    <s v="Three Wheelers"/>
    <s v="F2"/>
    <s v="COMMERCIAL INVOICE"/>
    <n v="1526005963"/>
    <n v="1000006225"/>
    <m/>
    <m/>
    <x v="0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50"/>
    <s v="EA"/>
    <n v="291.27999999999997"/>
    <s v="INR"/>
    <n v="43692"/>
    <n v="0"/>
    <n v="43692"/>
    <n v="0"/>
    <n v="0"/>
    <n v="0"/>
    <n v="0"/>
    <n v="43692"/>
    <n v="0"/>
    <n v="0"/>
    <n v="0"/>
    <n v="0"/>
    <n v="0"/>
    <n v="0"/>
    <n v="0"/>
    <n v="0"/>
    <n v="43692"/>
    <n v="0"/>
    <n v="0"/>
    <n v="311000"/>
    <s v="SALE FINISHED GOODS"/>
    <n v="2.37"/>
    <n v="2.37"/>
    <n v="0"/>
    <s v="AH115161"/>
    <n v="1511"/>
    <s v="FG Loose 3WH"/>
    <n v="5094107041"/>
    <s v="05.05.2026"/>
  </r>
  <r>
    <n v="1115"/>
    <n v="1115"/>
    <n v="10"/>
    <n v="2"/>
    <s v="Three Wheelers"/>
    <s v="F2"/>
    <s v="COMMERCIAL INVOICE"/>
    <n v="1526005962"/>
    <n v="1000006224"/>
    <m/>
    <m/>
    <x v="0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256"/>
    <s v="EA"/>
    <n v="290.89999999999998"/>
    <s v="INR"/>
    <n v="74470.399999999994"/>
    <n v="0"/>
    <n v="74470.399999999994"/>
    <n v="0"/>
    <n v="0"/>
    <n v="0"/>
    <n v="0"/>
    <n v="74470.399999999994"/>
    <n v="0"/>
    <n v="0"/>
    <n v="0"/>
    <n v="0"/>
    <n v="0"/>
    <n v="0"/>
    <n v="0"/>
    <n v="0"/>
    <n v="74470.399999999994"/>
    <n v="0"/>
    <n v="0"/>
    <n v="311000"/>
    <s v="SALE FINISHED GOODS"/>
    <n v="4.5"/>
    <n v="4.5"/>
    <n v="0"/>
    <s v="AZ111331"/>
    <n v="1511"/>
    <s v="FG Loose 3WH"/>
    <n v="5094107272"/>
    <s v="05.05.2026"/>
  </r>
  <r>
    <n v="1115"/>
    <n v="1115"/>
    <n v="10"/>
    <n v="2"/>
    <s v="Three Wheelers"/>
    <s v="F2"/>
    <s v="COMMERCIAL INVOICE"/>
    <n v="1526005961"/>
    <n v="1000006223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15841"/>
    <s v="05.05.2026"/>
  </r>
  <r>
    <n v="1115"/>
    <n v="1115"/>
    <n v="10"/>
    <n v="2"/>
    <s v="Three Wheelers"/>
    <s v="F2"/>
    <s v="COMMERCIAL INVOICE"/>
    <n v="1526005960"/>
    <n v="1000006222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15866"/>
    <s v="05.05.2026"/>
  </r>
  <r>
    <n v="1115"/>
    <n v="1115"/>
    <n v="10"/>
    <n v="2"/>
    <s v="Three Wheelers"/>
    <s v="F2"/>
    <s v="COMMERCIAL INVOICE"/>
    <n v="1526005912"/>
    <n v="1000006175"/>
    <m/>
    <m/>
    <x v="0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107002"/>
    <s v="05.05.2026"/>
  </r>
  <r>
    <n v="1115"/>
    <n v="1115"/>
    <n v="10"/>
    <n v="2"/>
    <s v="Three Wheelers"/>
    <s v="F2"/>
    <s v="COMMERCIAL INVOICE"/>
    <n v="1526005862"/>
    <n v="1000006127"/>
    <m/>
    <m/>
    <x v="0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20"/>
    <s v="EA"/>
    <n v="291.27999999999997"/>
    <s v="INR"/>
    <n v="34953.599999999999"/>
    <n v="0"/>
    <n v="34953.599999999999"/>
    <n v="0"/>
    <n v="0"/>
    <n v="0"/>
    <n v="0"/>
    <n v="34953.599999999999"/>
    <n v="0"/>
    <n v="0"/>
    <n v="0"/>
    <n v="0"/>
    <n v="0"/>
    <n v="0"/>
    <n v="0"/>
    <n v="0"/>
    <n v="34953.599999999999"/>
    <n v="0"/>
    <n v="0"/>
    <n v="311000"/>
    <s v="SALE FINISHED GOODS"/>
    <n v="2.37"/>
    <n v="2.37"/>
    <n v="0"/>
    <s v="AH115161"/>
    <n v="1511"/>
    <s v="FG Loose 3WH"/>
    <n v="5094098587"/>
    <s v="04.05.2026"/>
  </r>
  <r>
    <n v="1115"/>
    <n v="1115"/>
    <n v="10"/>
    <n v="2"/>
    <s v="Three Wheelers"/>
    <s v="F2"/>
    <s v="COMMERCIAL INVOICE"/>
    <n v="1526005861"/>
    <n v="1000006126"/>
    <m/>
    <m/>
    <x v="0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288"/>
    <s v="EA"/>
    <n v="290.89999999999998"/>
    <s v="INR"/>
    <n v="83779.199999999997"/>
    <n v="0"/>
    <n v="83779.199999999997"/>
    <n v="0"/>
    <n v="0"/>
    <n v="0"/>
    <n v="0"/>
    <n v="83779.199999999997"/>
    <n v="0"/>
    <n v="0"/>
    <n v="0"/>
    <n v="0"/>
    <n v="0"/>
    <n v="0"/>
    <n v="0"/>
    <n v="0"/>
    <n v="83779.199999999997"/>
    <n v="0"/>
    <n v="0"/>
    <n v="311000"/>
    <s v="SALE FINISHED GOODS"/>
    <n v="4.5"/>
    <n v="4.5"/>
    <n v="0"/>
    <s v="AZ111331"/>
    <n v="1511"/>
    <s v="FG Loose 3WH"/>
    <n v="5094098603"/>
    <s v="04.05.2026"/>
  </r>
  <r>
    <n v="1115"/>
    <n v="1115"/>
    <n v="10"/>
    <n v="2"/>
    <s v="Three Wheelers"/>
    <s v="F2"/>
    <s v="COMMERCIAL INVOICE"/>
    <n v="1526005859"/>
    <n v="1000006125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6304"/>
    <s v="04.05.2026"/>
  </r>
  <r>
    <n v="1115"/>
    <n v="1115"/>
    <n v="10"/>
    <n v="2"/>
    <s v="Three Wheelers"/>
    <s v="F2"/>
    <s v="COMMERCIAL INVOICE"/>
    <n v="1526005858"/>
    <n v="1000006124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4592"/>
    <s v="04.05.2026"/>
  </r>
  <r>
    <n v="1115"/>
    <n v="1115"/>
    <n v="10"/>
    <n v="2"/>
    <s v="Three Wheelers"/>
    <s v="F2"/>
    <s v="COMMERCIAL INVOICE"/>
    <n v="1526005857"/>
    <n v="1000006123"/>
    <m/>
    <m/>
    <x v="0"/>
    <n v="5100001100"/>
    <s v="ZSCH"/>
    <s v="Normal Sales"/>
    <n v="4110004652"/>
    <s v="01.07.2017"/>
    <n v="5000"/>
    <s v="BAJAJ AUTO LIMITED (WALUJ)"/>
    <m/>
    <m/>
    <s v="27340676530V"/>
    <n v="1502040165"/>
    <s v="52BB0126 REAR COVER ASSLY GREEN RH"/>
    <x v="8"/>
    <n v="87082900"/>
    <n v="55"/>
    <s v="EA"/>
    <n v="165.65"/>
    <s v="INR"/>
    <n v="9110.75"/>
    <n v="0"/>
    <n v="9110.75"/>
    <n v="0"/>
    <n v="0"/>
    <n v="0"/>
    <n v="0"/>
    <n v="9110.75"/>
    <n v="0"/>
    <n v="0"/>
    <n v="0"/>
    <n v="0"/>
    <n v="0"/>
    <n v="0"/>
    <n v="0"/>
    <n v="0"/>
    <n v="9110.75"/>
    <n v="0"/>
    <n v="0"/>
    <n v="311000"/>
    <s v="SALE FINISHED GOODS"/>
    <n v="1.248"/>
    <n v="1.248"/>
    <n v="0"/>
    <s v="52BB0126"/>
    <n v="1511"/>
    <s v="FG Loose 3WH"/>
    <n v="5094094590"/>
    <s v="04.05.2026"/>
  </r>
  <r>
    <n v="1115"/>
    <n v="1115"/>
    <n v="10"/>
    <n v="2"/>
    <s v="Three Wheelers"/>
    <s v="F2"/>
    <s v="COMMERCIAL INVOICE"/>
    <n v="1526005856"/>
    <n v="1000006122"/>
    <m/>
    <m/>
    <x v="0"/>
    <n v="5100001100"/>
    <s v="ZSCH"/>
    <s v="Normal Sales"/>
    <n v="4110004652"/>
    <s v="01.07.2017"/>
    <n v="5000"/>
    <s v="BAJAJ AUTO LIMITED (WALUJ)"/>
    <m/>
    <m/>
    <s v="27340676530V"/>
    <n v="1502040164"/>
    <s v="52BB0125 REAR COVER ASSLY GREEN LH"/>
    <x v="8"/>
    <n v="87082900"/>
    <n v="55"/>
    <s v="EA"/>
    <n v="160.52000000000001"/>
    <s v="INR"/>
    <n v="8828.6"/>
    <n v="0"/>
    <n v="8828.6"/>
    <n v="0"/>
    <n v="0"/>
    <n v="0"/>
    <n v="0"/>
    <n v="8828.6"/>
    <n v="0"/>
    <n v="0"/>
    <n v="0"/>
    <n v="0"/>
    <n v="0"/>
    <n v="0"/>
    <n v="0"/>
    <n v="0"/>
    <n v="8828.6"/>
    <n v="0"/>
    <n v="0"/>
    <n v="311000"/>
    <s v="SALE FINISHED GOODS"/>
    <n v="1.1659999999999999"/>
    <n v="1.1659999999999999"/>
    <n v="0"/>
    <s v="52BB0125"/>
    <n v="1511"/>
    <s v="FG Loose 3WH"/>
    <n v="5094094589"/>
    <s v="04.05.2026"/>
  </r>
  <r>
    <n v="1115"/>
    <n v="1115"/>
    <n v="10"/>
    <n v="2"/>
    <s v="Three Wheelers"/>
    <s v="F2"/>
    <s v="COMMERCIAL INVOICE"/>
    <n v="1526005855"/>
    <n v="1000006121"/>
    <m/>
    <m/>
    <x v="0"/>
    <n v="5100001100"/>
    <s v="ZSCH"/>
    <s v="Normal Sales"/>
    <n v="4110004652"/>
    <s v="01.07.2017"/>
    <n v="5000"/>
    <s v="BAJAJ AUTO LIMITED (WALUJ)"/>
    <m/>
    <m/>
    <s v="27340676530V"/>
    <n v="1502040164"/>
    <s v="52BB0125 REAR COVER ASSLY GREEN LH"/>
    <x v="8"/>
    <n v="87082900"/>
    <n v="80"/>
    <s v="EA"/>
    <n v="160.52000000000001"/>
    <s v="INR"/>
    <n v="12841.6"/>
    <n v="0"/>
    <n v="12841.6"/>
    <n v="0"/>
    <n v="0"/>
    <n v="0"/>
    <n v="0"/>
    <n v="12841.6"/>
    <n v="0"/>
    <n v="0"/>
    <n v="0"/>
    <n v="0"/>
    <n v="0"/>
    <n v="0"/>
    <n v="0"/>
    <n v="0"/>
    <n v="12841.6"/>
    <n v="0"/>
    <n v="0"/>
    <n v="311000"/>
    <s v="SALE FINISHED GOODS"/>
    <n v="1.1659999999999999"/>
    <n v="1.1659999999999999"/>
    <n v="0"/>
    <s v="52BB0125"/>
    <n v="1511"/>
    <s v="FG Loose 3WH"/>
    <s v="PENDING"/>
    <s v="Pending"/>
  </r>
  <r>
    <n v="1115"/>
    <n v="1115"/>
    <n v="10"/>
    <n v="2"/>
    <s v="Three Wheelers"/>
    <s v="F2"/>
    <s v="COMMERCIAL INVOICE"/>
    <n v="1526005854"/>
    <n v="1000006118"/>
    <m/>
    <m/>
    <x v="0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107388"/>
    <s v="05.05.2026"/>
  </r>
  <r>
    <n v="1115"/>
    <n v="1115"/>
    <n v="10"/>
    <n v="2"/>
    <s v="Three Wheelers"/>
    <s v="F2"/>
    <s v="COMMERCIAL INVOICE"/>
    <n v="1526005853"/>
    <n v="1000006117"/>
    <m/>
    <m/>
    <x v="0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107316"/>
    <s v="05.05.2026"/>
  </r>
  <r>
    <n v="1115"/>
    <n v="1115"/>
    <n v="10"/>
    <n v="2"/>
    <s v="Three Wheelers"/>
    <s v="F2"/>
    <s v="COMMERCIAL INVOICE"/>
    <n v="1526005852"/>
    <n v="1000006116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98565"/>
    <s v="04.05.2026"/>
  </r>
  <r>
    <n v="1115"/>
    <n v="1115"/>
    <n v="10"/>
    <n v="2"/>
    <s v="Three Wheelers"/>
    <s v="F2"/>
    <s v="COMMERCIAL INVOICE"/>
    <n v="1526005851"/>
    <n v="1000006115"/>
    <m/>
    <m/>
    <x v="0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127541"/>
    <s v="05.05.2026"/>
  </r>
  <r>
    <n v="1115"/>
    <n v="1115"/>
    <n v="10"/>
    <n v="2"/>
    <s v="Three Wheelers"/>
    <s v="F2"/>
    <s v="COMMERCIAL INVOICE"/>
    <n v="1526005850"/>
    <n v="1000006111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98393"/>
    <s v="04.05.2026"/>
  </r>
  <r>
    <n v="1115"/>
    <n v="1115"/>
    <n v="10"/>
    <n v="2"/>
    <s v="Three Wheelers"/>
    <s v="F2"/>
    <s v="COMMERCIAL INVOICE"/>
    <n v="1526005849"/>
    <n v="1000006110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4564"/>
    <s v="04.05.2026"/>
  </r>
  <r>
    <n v="1115"/>
    <n v="1115"/>
    <n v="10"/>
    <n v="2"/>
    <s v="Three Wheelers"/>
    <s v="F2"/>
    <s v="COMMERCIAL INVOICE"/>
    <n v="1526005848"/>
    <n v="1000006109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6326"/>
    <s v="04.05.2026"/>
  </r>
  <r>
    <n v="1115"/>
    <n v="1115"/>
    <n v="10"/>
    <n v="2"/>
    <s v="Three Wheelers"/>
    <s v="F2"/>
    <s v="COMMERCIAL INVOICE"/>
    <n v="1526005846"/>
    <n v="1000006107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98122"/>
    <s v="04.05.2026"/>
  </r>
  <r>
    <n v="1115"/>
    <n v="1115"/>
    <n v="10"/>
    <n v="2"/>
    <s v="Three Wheelers"/>
    <s v="F2"/>
    <s v="COMMERCIAL INVOICE"/>
    <n v="1526005845"/>
    <n v="1000006106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97830"/>
    <s v="04.05.2026"/>
  </r>
  <r>
    <n v="1115"/>
    <n v="1115"/>
    <n v="10"/>
    <n v="2"/>
    <s v="Three Wheelers"/>
    <s v="F2"/>
    <s v="COMMERCIAL INVOICE"/>
    <n v="1526005844"/>
    <n v="1000006105"/>
    <m/>
    <m/>
    <x v="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97995"/>
    <s v="04.05.2026"/>
  </r>
  <r>
    <n v="1115"/>
    <n v="1115"/>
    <n v="10"/>
    <n v="2"/>
    <s v="Three Wheelers"/>
    <s v="F2"/>
    <s v="COMMERCIAL INVOICE"/>
    <n v="1526005843"/>
    <n v="1000006098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2904"/>
    <s v="04.05.2026"/>
  </r>
  <r>
    <n v="1115"/>
    <n v="1115"/>
    <n v="10"/>
    <n v="2"/>
    <s v="Three Wheelers"/>
    <s v="F2"/>
    <s v="COMMERCIAL INVOICE"/>
    <n v="1526005842"/>
    <n v="1000006097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1747"/>
    <s v="04.05.2026"/>
  </r>
  <r>
    <n v="1115"/>
    <n v="1115"/>
    <n v="10"/>
    <n v="2"/>
    <s v="Three Wheelers"/>
    <s v="F2"/>
    <s v="COMMERCIAL INVOICE"/>
    <n v="1526005841"/>
    <n v="1000006095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n v="5094090102"/>
    <s v="04.05.2026"/>
  </r>
  <r>
    <n v="1115"/>
    <n v="1115"/>
    <n v="10"/>
    <n v="2"/>
    <s v="Three Wheelers"/>
    <s v="F2"/>
    <s v="COMMERCIAL INVOICE"/>
    <n v="1526005840"/>
    <n v="1000006094"/>
    <m/>
    <m/>
    <x v="0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090093"/>
    <s v="04.05.2026"/>
  </r>
  <r>
    <n v="1115"/>
    <n v="1115"/>
    <n v="10"/>
    <n v="2"/>
    <s v="Three Wheelers"/>
    <s v="F2"/>
    <s v="COMMERCIAL INVOICE"/>
    <n v="1526005838"/>
    <n v="1000006092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1831"/>
    <s v="04.05.2026"/>
  </r>
  <r>
    <n v="1115"/>
    <n v="1115"/>
    <n v="10"/>
    <n v="2"/>
    <s v="Three Wheelers"/>
    <s v="F2"/>
    <s v="COMMERCIAL INVOICE"/>
    <n v="1526005837"/>
    <n v="1000006091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94349"/>
    <s v="04.05.2026"/>
  </r>
  <r>
    <n v="1115"/>
    <n v="1115"/>
    <n v="10"/>
    <n v="2"/>
    <s v="Three Wheelers"/>
    <s v="F2"/>
    <s v="COMMERCIAL INVOICE"/>
    <n v="1526005836"/>
    <n v="1000006090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6863"/>
    <s v="04.05.2026"/>
  </r>
  <r>
    <n v="1115"/>
    <n v="1115"/>
    <n v="10"/>
    <n v="2"/>
    <s v="Three Wheelers"/>
    <s v="F2"/>
    <s v="COMMERCIAL INVOICE"/>
    <n v="1526005835"/>
    <n v="1000006089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6840"/>
    <s v="04.05.2026"/>
  </r>
  <r>
    <n v="1115"/>
    <n v="1115"/>
    <n v="10"/>
    <n v="2"/>
    <s v="Three Wheelers"/>
    <s v="F2"/>
    <s v="COMMERCIAL INVOICE"/>
    <n v="1526005834"/>
    <n v="1000006088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2905"/>
    <s v="04.05.2026"/>
  </r>
  <r>
    <n v="1115"/>
    <n v="1115"/>
    <n v="10"/>
    <n v="2"/>
    <s v="Three Wheelers"/>
    <s v="F2"/>
    <s v="COMMERCIAL INVOICE"/>
    <n v="1526005833"/>
    <n v="1000006087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2932"/>
    <s v="04.05.2026"/>
  </r>
  <r>
    <n v="1115"/>
    <n v="1115"/>
    <n v="10"/>
    <n v="2"/>
    <s v="Three Wheelers"/>
    <s v="F2"/>
    <s v="COMMERCIAL INVOICE"/>
    <n v="1526005832"/>
    <n v="1000006086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2961"/>
    <s v="04.05.2026"/>
  </r>
  <r>
    <n v="1115"/>
    <n v="1115"/>
    <n v="10"/>
    <n v="2"/>
    <s v="Three Wheelers"/>
    <s v="F2"/>
    <s v="COMMERCIAL INVOICE"/>
    <n v="1526005831"/>
    <n v="1000006085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0114"/>
    <s v="04.05.2026"/>
  </r>
  <r>
    <n v="1115"/>
    <n v="1115"/>
    <n v="10"/>
    <n v="2"/>
    <s v="Three Wheelers"/>
    <s v="F2"/>
    <s v="COMMERCIAL INVOICE"/>
    <n v="1526005828"/>
    <n v="1000006084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98493"/>
    <s v="04.05.2026"/>
  </r>
  <r>
    <n v="1115"/>
    <n v="1115"/>
    <n v="10"/>
    <n v="2"/>
    <s v="Three Wheelers"/>
    <s v="F2"/>
    <s v="COMMERCIAL INVOICE"/>
    <n v="1526005827"/>
    <n v="1000006083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98491"/>
    <s v="04.05.2026"/>
  </r>
  <r>
    <n v="1115"/>
    <n v="1115"/>
    <n v="10"/>
    <n v="2"/>
    <s v="Three Wheelers"/>
    <s v="F2"/>
    <s v="COMMERCIAL INVOICE"/>
    <n v="1526005825"/>
    <n v="1000006081"/>
    <m/>
    <m/>
    <x v="0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n v="5094092377"/>
    <s v="04.05.2026"/>
  </r>
  <r>
    <n v="1115"/>
    <n v="1115"/>
    <n v="10"/>
    <n v="2"/>
    <s v="Three Wheelers"/>
    <s v="F2"/>
    <s v="COMMERCIAL INVOICE"/>
    <n v="1526005824"/>
    <n v="1000006080"/>
    <m/>
    <m/>
    <x v="0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097841"/>
    <s v="04.05.2026"/>
  </r>
  <r>
    <n v="1115"/>
    <n v="1115"/>
    <n v="10"/>
    <n v="2"/>
    <s v="Three Wheelers"/>
    <s v="F2"/>
    <s v="COMMERCIAL INVOICE"/>
    <n v="1526005823"/>
    <n v="1000006079"/>
    <m/>
    <m/>
    <x v="0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089361"/>
    <s v="04.05.2026"/>
  </r>
  <r>
    <n v="1115"/>
    <n v="1115"/>
    <n v="10"/>
    <n v="2"/>
    <s v="Three Wheelers"/>
    <s v="F2"/>
    <s v="COMMERCIAL INVOICE"/>
    <n v="1526005822"/>
    <n v="1000006078"/>
    <m/>
    <m/>
    <x v="0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089360"/>
    <s v="04.05.2026"/>
  </r>
  <r>
    <n v="1115"/>
    <n v="1115"/>
    <n v="10"/>
    <n v="2"/>
    <s v="Three Wheelers"/>
    <s v="F2"/>
    <s v="COMMERCIAL INVOICE"/>
    <n v="1526005821"/>
    <n v="1000006077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0064"/>
    <s v="04.05.2026"/>
  </r>
  <r>
    <n v="1115"/>
    <n v="1115"/>
    <n v="10"/>
    <n v="2"/>
    <s v="Three Wheelers"/>
    <s v="F2"/>
    <s v="COMMERCIAL INVOICE"/>
    <n v="1526005820"/>
    <n v="1000006076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0904"/>
    <s v="04.05.2026"/>
  </r>
  <r>
    <n v="1115"/>
    <n v="1115"/>
    <n v="10"/>
    <n v="2"/>
    <s v="Three Wheelers"/>
    <s v="F2"/>
    <s v="COMMERCIAL INVOICE"/>
    <n v="1526005818"/>
    <n v="1000006075"/>
    <m/>
    <m/>
    <x v="0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5817"/>
    <n v="1000006074"/>
    <m/>
    <m/>
    <x v="0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097397"/>
    <s v="04.05.2026"/>
  </r>
  <r>
    <n v="1115"/>
    <n v="1115"/>
    <n v="10"/>
    <n v="2"/>
    <s v="Three Wheelers"/>
    <s v="F2"/>
    <s v="COMMERCIAL INVOICE"/>
    <n v="1526005864"/>
    <n v="1000006128"/>
    <m/>
    <m/>
    <x v="0"/>
    <n v="5100001903"/>
    <s v="ZSCH"/>
    <s v="Normal Sales"/>
    <n v="4110043907"/>
    <s v="03.07.2023"/>
    <n v="5000"/>
    <s v="BAJAJ AUTO LIMITED (WALUJ)"/>
    <m/>
    <m/>
    <s v="27340676530V"/>
    <n v="1502040216"/>
    <s v="AA161289- ASSEMBLY MUDGUARD FRONT"/>
    <x v="3"/>
    <n v="87082900"/>
    <n v="300"/>
    <s v="EA"/>
    <n v="174.11"/>
    <s v="INR"/>
    <n v="52233"/>
    <n v="0"/>
    <n v="52233"/>
    <n v="0"/>
    <n v="0"/>
    <n v="0"/>
    <n v="0"/>
    <n v="52233"/>
    <n v="0"/>
    <n v="0"/>
    <n v="0"/>
    <n v="0"/>
    <n v="0"/>
    <n v="0"/>
    <n v="0"/>
    <n v="0"/>
    <n v="52233"/>
    <n v="0"/>
    <n v="0"/>
    <n v="311000"/>
    <s v="SALE FINISHED GOODS"/>
    <n v="2.573"/>
    <n v="1.4910000000000001"/>
    <n v="1.0820000000000001"/>
    <s v="AA161289"/>
    <n v="1511"/>
    <s v="FG Loose 3WH"/>
    <n v="5094101162"/>
    <s v="04.05.2026"/>
  </r>
  <r>
    <n v="1115"/>
    <n v="1115"/>
    <n v="10"/>
    <n v="2"/>
    <s v="Three Wheelers"/>
    <s v="F2"/>
    <s v="COMMERCIAL INVOICE"/>
    <n v="1526005911"/>
    <n v="1000006174"/>
    <m/>
    <m/>
    <x v="0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107312"/>
    <s v="05.05.2026"/>
  </r>
  <r>
    <n v="1115"/>
    <n v="1115"/>
    <n v="10"/>
    <n v="2"/>
    <s v="Three Wheelers"/>
    <s v="F2"/>
    <s v="COMMERCIAL INVOICE"/>
    <n v="1526005910"/>
    <n v="1000006173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4403"/>
    <s v="04.05.2026"/>
  </r>
  <r>
    <n v="1115"/>
    <n v="1115"/>
    <n v="10"/>
    <n v="2"/>
    <s v="Three Wheelers"/>
    <s v="F2"/>
    <s v="COMMERCIAL INVOICE"/>
    <n v="1526005909"/>
    <n v="1000006172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1114"/>
    <s v="04.05.2026"/>
  </r>
  <r>
    <n v="1115"/>
    <n v="1115"/>
    <n v="10"/>
    <n v="2"/>
    <s v="Three Wheelers"/>
    <s v="F2"/>
    <s v="COMMERCIAL INVOICE"/>
    <n v="1526005907"/>
    <n v="1000006170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3567"/>
    <s v="04.05.2026"/>
  </r>
  <r>
    <n v="1115"/>
    <n v="1115"/>
    <n v="10"/>
    <n v="2"/>
    <s v="Three Wheelers"/>
    <s v="F2"/>
    <s v="COMMERCIAL INVOICE"/>
    <n v="1526005906"/>
    <n v="1000006169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2205"/>
    <s v="04.05.2026"/>
  </r>
  <r>
    <n v="1115"/>
    <n v="1115"/>
    <n v="10"/>
    <n v="2"/>
    <s v="Three Wheelers"/>
    <s v="F2"/>
    <s v="COMMERCIAL INVOICE"/>
    <n v="1526005905"/>
    <n v="1000006168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7108"/>
    <s v="05.05.2026"/>
  </r>
  <r>
    <n v="1115"/>
    <n v="1115"/>
    <n v="10"/>
    <n v="2"/>
    <s v="Three Wheelers"/>
    <s v="F2"/>
    <s v="COMMERCIAL INVOICE"/>
    <n v="1526005904"/>
    <n v="1000006167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4399"/>
    <s v="04.05.2026"/>
  </r>
  <r>
    <n v="1115"/>
    <n v="1115"/>
    <n v="10"/>
    <n v="2"/>
    <s v="Three Wheelers"/>
    <s v="F2"/>
    <s v="COMMERCIAL INVOICE"/>
    <n v="1526005903"/>
    <n v="1000006166"/>
    <m/>
    <m/>
    <x v="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96702"/>
    <s v="04.05.2026"/>
  </r>
  <r>
    <n v="1115"/>
    <n v="1115"/>
    <n v="10"/>
    <n v="2"/>
    <s v="Three Wheelers"/>
    <s v="F2"/>
    <s v="COMMERCIAL INVOICE"/>
    <n v="1526005902"/>
    <n v="1000006165"/>
    <m/>
    <m/>
    <x v="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96771"/>
    <s v="04.05.2026"/>
  </r>
  <r>
    <n v="1115"/>
    <n v="1115"/>
    <n v="10"/>
    <n v="2"/>
    <s v="Three Wheelers"/>
    <s v="F2"/>
    <s v="COMMERCIAL INVOICE"/>
    <n v="1526005901"/>
    <n v="1000006164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07369"/>
    <s v="05.05.2026"/>
  </r>
  <r>
    <n v="1115"/>
    <n v="1115"/>
    <n v="10"/>
    <n v="2"/>
    <s v="Three Wheelers"/>
    <s v="F2"/>
    <s v="COMMERCIAL INVOICE"/>
    <n v="1526005900"/>
    <n v="1000006163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07389"/>
    <s v="05.05.2026"/>
  </r>
  <r>
    <n v="1115"/>
    <n v="1115"/>
    <n v="10"/>
    <n v="2"/>
    <s v="Three Wheelers"/>
    <s v="F2"/>
    <s v="COMMERCIAL INVOICE"/>
    <n v="1526005899"/>
    <n v="1000006162"/>
    <m/>
    <m/>
    <x v="0"/>
    <n v="5100001445"/>
    <s v="ZSCH"/>
    <s v="Normal Sales"/>
    <n v="4110021696"/>
    <s v="08.08.2019"/>
    <n v="5000"/>
    <s v="BAJAJ AUTO LIMITED (WALUJ)"/>
    <m/>
    <m/>
    <s v="27340676530V"/>
    <n v="1502040233"/>
    <s v="BB161099 MUDGUARD FRONT REFL"/>
    <x v="3"/>
    <n v="87082900"/>
    <n v="400"/>
    <s v="EA"/>
    <n v="317.45999999999998"/>
    <s v="INR"/>
    <n v="126984"/>
    <n v="0"/>
    <n v="126984"/>
    <n v="0"/>
    <n v="0"/>
    <n v="0"/>
    <n v="0"/>
    <n v="126984"/>
    <n v="0"/>
    <n v="0"/>
    <n v="0"/>
    <n v="0"/>
    <n v="0"/>
    <n v="0"/>
    <n v="0"/>
    <n v="0"/>
    <n v="126984"/>
    <n v="0"/>
    <n v="0"/>
    <n v="311000"/>
    <s v="SALE FINISHED GOODS"/>
    <n v="3.4"/>
    <n v="2"/>
    <n v="1.4"/>
    <s v="BB161099"/>
    <n v="1511"/>
    <s v="FG Loose 3WH"/>
    <n v="5094101141"/>
    <s v="04.05.2026"/>
  </r>
  <r>
    <n v="1115"/>
    <n v="1115"/>
    <n v="10"/>
    <n v="2"/>
    <s v="Three Wheelers"/>
    <s v="F2"/>
    <s v="COMMERCIAL INVOICE"/>
    <n v="1526005898"/>
    <n v="1000006161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2201"/>
    <s v="04.05.2026"/>
  </r>
  <r>
    <n v="1115"/>
    <n v="1115"/>
    <n v="10"/>
    <n v="2"/>
    <s v="Three Wheelers"/>
    <s v="F2"/>
    <s v="COMMERCIAL INVOICE"/>
    <n v="1526005893"/>
    <n v="1000006159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3267"/>
    <s v="04.05.2026"/>
  </r>
  <r>
    <n v="1115"/>
    <n v="1115"/>
    <n v="10"/>
    <n v="2"/>
    <s v="Three Wheelers"/>
    <s v="F2"/>
    <s v="COMMERCIAL INVOICE"/>
    <n v="1526005891"/>
    <n v="1000006156"/>
    <m/>
    <m/>
    <x v="0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25"/>
    <s v="EA"/>
    <n v="380.93"/>
    <s v="INR"/>
    <n v="47616.25"/>
    <n v="0"/>
    <n v="47616.25"/>
    <n v="0"/>
    <n v="0"/>
    <n v="0"/>
    <n v="0"/>
    <n v="47616.25"/>
    <n v="0"/>
    <n v="0"/>
    <n v="0"/>
    <n v="0"/>
    <n v="0"/>
    <n v="0"/>
    <n v="0"/>
    <n v="0"/>
    <n v="47616.25"/>
    <n v="0"/>
    <n v="0"/>
    <n v="311000"/>
    <s v="SALE FINISHED GOODS"/>
    <n v="2.13"/>
    <n v="2.13"/>
    <n v="0"/>
    <s v="AH111571"/>
    <n v="1511"/>
    <s v="FG Loose 3WH"/>
    <n v="5094096309"/>
    <s v="04.05.2026"/>
  </r>
  <r>
    <n v="1115"/>
    <n v="1115"/>
    <n v="10"/>
    <n v="2"/>
    <s v="Three Wheelers"/>
    <s v="F2"/>
    <s v="COMMERCIAL INVOICE"/>
    <n v="1526005890"/>
    <n v="1000006155"/>
    <m/>
    <m/>
    <x v="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n v="5094096287"/>
    <s v="04.05.2026"/>
  </r>
  <r>
    <n v="1115"/>
    <n v="1115"/>
    <n v="10"/>
    <n v="2"/>
    <s v="Three Wheelers"/>
    <s v="F2"/>
    <s v="COMMERCIAL INVOICE"/>
    <n v="1526005889"/>
    <n v="1000006153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1774"/>
    <s v="04.05.2026"/>
  </r>
  <r>
    <n v="1115"/>
    <n v="1115"/>
    <n v="10"/>
    <n v="2"/>
    <s v="Three Wheelers"/>
    <s v="F2"/>
    <s v="COMMERCIAL INVOICE"/>
    <n v="1526005888"/>
    <n v="1000006152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3524"/>
    <s v="04.05.2026"/>
  </r>
  <r>
    <n v="1115"/>
    <n v="1115"/>
    <n v="10"/>
    <n v="2"/>
    <s v="Three Wheelers"/>
    <s v="F2"/>
    <s v="COMMERCIAL INVOICE"/>
    <n v="1526005887"/>
    <n v="1000006151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86"/>
    <n v="1000006150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85"/>
    <n v="1000006149"/>
    <m/>
    <m/>
    <x v="0"/>
    <n v="5100001795"/>
    <s v="ZSCH"/>
    <s v="Normal Sales"/>
    <n v="4110032503"/>
    <s v="31.08.2021"/>
    <n v="5000"/>
    <s v="BAJAJ AUTO LIMITED (WALUJ)"/>
    <m/>
    <m/>
    <s v="27340676530V"/>
    <n v="1502010016"/>
    <s v="PLATE CHECK FRONT MUD MOUNTING"/>
    <x v="13"/>
    <n v="87082900"/>
    <n v="2000"/>
    <s v="EA"/>
    <n v="8.4600000000000009"/>
    <s v="INR"/>
    <n v="16920"/>
    <n v="0"/>
    <n v="16920"/>
    <n v="0"/>
    <n v="0"/>
    <n v="0"/>
    <n v="0"/>
    <n v="16920"/>
    <n v="0"/>
    <n v="0"/>
    <n v="0"/>
    <n v="0"/>
    <n v="0"/>
    <n v="0"/>
    <n v="0"/>
    <n v="0"/>
    <n v="16920"/>
    <n v="0"/>
    <n v="0"/>
    <n v="311000"/>
    <s v="SALE FINISHED GOODS"/>
    <n v="0.08"/>
    <n v="6.3E-2"/>
    <n v="1.7000000000000001E-2"/>
    <s v="AB161182"/>
    <n v="1508"/>
    <s v="FG Attached Vendor Components 3 WH"/>
    <n v="5094095857"/>
    <s v="04.05.2026"/>
  </r>
  <r>
    <n v="1115"/>
    <n v="1115"/>
    <n v="10"/>
    <n v="2"/>
    <s v="Three Wheelers"/>
    <s v="F2"/>
    <s v="COMMERCIAL INVOICE"/>
    <n v="1526005884"/>
    <n v="1000006148"/>
    <m/>
    <m/>
    <x v="0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261"/>
    <s v="EA"/>
    <n v="136.6"/>
    <s v="INR"/>
    <n v="35652.6"/>
    <n v="0"/>
    <n v="35652.6"/>
    <n v="0"/>
    <n v="0"/>
    <n v="0"/>
    <n v="0"/>
    <n v="35652.6"/>
    <n v="0"/>
    <n v="0"/>
    <n v="0"/>
    <n v="0"/>
    <n v="0"/>
    <n v="0"/>
    <n v="0"/>
    <n v="0"/>
    <n v="35652.6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5883"/>
    <n v="1000006147"/>
    <m/>
    <m/>
    <x v="0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095727"/>
    <s v="04.05.2026"/>
  </r>
  <r>
    <n v="1115"/>
    <n v="1115"/>
    <n v="10"/>
    <n v="2"/>
    <s v="Three Wheelers"/>
    <s v="F2"/>
    <s v="COMMERCIAL INVOICE"/>
    <n v="1526005882"/>
    <n v="1000006146"/>
    <m/>
    <m/>
    <x v="0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720"/>
    <s v="EA"/>
    <n v="134.19999999999999"/>
    <s v="INR"/>
    <n v="96624"/>
    <n v="0"/>
    <n v="96624"/>
    <n v="0"/>
    <n v="0"/>
    <n v="0"/>
    <n v="0"/>
    <n v="96624"/>
    <n v="0"/>
    <n v="0"/>
    <n v="0"/>
    <n v="0"/>
    <n v="0"/>
    <n v="0"/>
    <n v="0"/>
    <n v="0"/>
    <n v="96624"/>
    <n v="0"/>
    <n v="0"/>
    <n v="311000"/>
    <s v="SALE FINISHED GOODS"/>
    <n v="1.19"/>
    <n v="1.19"/>
    <n v="0"/>
    <s v="AF231720"/>
    <n v="1511"/>
    <s v="FG Loose 3WH"/>
    <n v="5094096020"/>
    <s v="04.05.2026"/>
  </r>
  <r>
    <n v="1115"/>
    <n v="1115"/>
    <n v="10"/>
    <n v="2"/>
    <s v="Three Wheelers"/>
    <s v="F2"/>
    <s v="COMMERCIAL INVOICE"/>
    <n v="1526005881"/>
    <n v="1000006145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80"/>
    <n v="1000006144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79"/>
    <n v="1000006143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78"/>
    <n v="1000006142"/>
    <m/>
    <m/>
    <x v="0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100726"/>
    <s v="04.05.2026"/>
  </r>
  <r>
    <n v="1115"/>
    <n v="1115"/>
    <n v="10"/>
    <n v="2"/>
    <s v="Three Wheelers"/>
    <s v="F2"/>
    <s v="COMMERCIAL INVOICE"/>
    <n v="1526005876"/>
    <n v="1000006140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3263"/>
    <s v="04.05.2026"/>
  </r>
  <r>
    <n v="1115"/>
    <n v="1115"/>
    <n v="10"/>
    <n v="2"/>
    <s v="Three Wheelers"/>
    <s v="F2"/>
    <s v="COMMERCIAL INVOICE"/>
    <n v="1526005875"/>
    <n v="1000006139"/>
    <m/>
    <m/>
    <x v="0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100727"/>
    <s v="04.05.2026"/>
  </r>
  <r>
    <n v="1115"/>
    <n v="1115"/>
    <n v="10"/>
    <n v="2"/>
    <s v="Three Wheelers"/>
    <s v="F2"/>
    <s v="COMMERCIAL INVOICE"/>
    <n v="1526005874"/>
    <n v="1000006138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1035"/>
    <s v="04.05.2026"/>
  </r>
  <r>
    <n v="1115"/>
    <n v="1115"/>
    <n v="10"/>
    <n v="2"/>
    <s v="Three Wheelers"/>
    <s v="F2"/>
    <s v="COMMERCIAL INVOICE"/>
    <n v="1526005873"/>
    <n v="1000006137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72"/>
    <n v="1000006136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00090"/>
    <s v="04.05.2026"/>
  </r>
  <r>
    <n v="1115"/>
    <n v="1115"/>
    <n v="10"/>
    <n v="2"/>
    <s v="Three Wheelers"/>
    <s v="F2"/>
    <s v="COMMERCIAL INVOICE"/>
    <n v="1526005871"/>
    <n v="1000006135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70"/>
    <n v="1000006134"/>
    <m/>
    <m/>
    <x v="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98632"/>
    <s v="04.05.2026"/>
  </r>
  <r>
    <n v="1115"/>
    <n v="1115"/>
    <n v="10"/>
    <n v="2"/>
    <s v="Three Wheelers"/>
    <s v="F2"/>
    <s v="COMMERCIAL INVOICE"/>
    <n v="1526005868"/>
    <n v="1000006132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67"/>
    <n v="1000006131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66"/>
    <n v="1000006130"/>
    <m/>
    <m/>
    <x v="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865"/>
    <n v="1000006129"/>
    <m/>
    <m/>
    <x v="0"/>
    <n v="5100001927"/>
    <s v="ZSCH"/>
    <s v="Normal Sales"/>
    <n v="4110053962"/>
    <s v="10.07.2024"/>
    <n v="5000"/>
    <s v="BAJAJ AUTO LIMITED (WALUJ)"/>
    <m/>
    <m/>
    <s v="27340676530V"/>
    <n v="1502040267"/>
    <s v="AZ111331_06 SUPPORT ASSLY DASHBOARD"/>
    <x v="9"/>
    <n v="87082900"/>
    <n v="300"/>
    <s v="EA"/>
    <n v="290.89999999999998"/>
    <s v="INR"/>
    <n v="87270"/>
    <n v="0"/>
    <n v="87270"/>
    <n v="0"/>
    <n v="0"/>
    <n v="0"/>
    <n v="0"/>
    <n v="87270"/>
    <n v="0"/>
    <n v="0"/>
    <n v="0"/>
    <n v="0"/>
    <n v="0"/>
    <n v="0"/>
    <n v="0"/>
    <n v="0"/>
    <n v="87270"/>
    <n v="0"/>
    <n v="0"/>
    <n v="311000"/>
    <s v="SALE FINISHED GOODS"/>
    <n v="4.5"/>
    <n v="4.5"/>
    <n v="0"/>
    <s v="AZ111331"/>
    <n v="1511"/>
    <s v="FG Loose 3WH"/>
    <n v="5094101826"/>
    <s v="04.05.2026"/>
  </r>
  <r>
    <n v="1115"/>
    <n v="1115"/>
    <n v="10"/>
    <n v="2"/>
    <s v="Three Wheelers"/>
    <s v="F2"/>
    <s v="COMMERCIAL INVOICE"/>
    <n v="1526006140"/>
    <n v="1000006411"/>
    <m/>
    <m/>
    <x v="1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n v="5094124117"/>
    <s v="05.05.2026"/>
  </r>
  <r>
    <n v="1115"/>
    <n v="1115"/>
    <n v="10"/>
    <n v="2"/>
    <s v="Three Wheelers"/>
    <s v="F2"/>
    <s v="COMMERCIAL INVOICE"/>
    <n v="1526006139"/>
    <n v="1000006410"/>
    <m/>
    <m/>
    <x v="1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n v="5094124163"/>
    <s v="05.05.2026"/>
  </r>
  <r>
    <n v="1115"/>
    <n v="1115"/>
    <n v="10"/>
    <n v="2"/>
    <s v="Three Wheelers"/>
    <s v="F2"/>
    <s v="COMMERCIAL INVOICE"/>
    <n v="1526006138"/>
    <n v="1000006409"/>
    <m/>
    <m/>
    <x v="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9"/>
    <s v="EA"/>
    <n v="6570.77"/>
    <s v="INR"/>
    <n v="59136.93"/>
    <n v="0"/>
    <n v="59136.93"/>
    <n v="0"/>
    <n v="0"/>
    <n v="0"/>
    <n v="0"/>
    <n v="59136.93"/>
    <n v="0"/>
    <n v="0"/>
    <n v="0"/>
    <n v="0"/>
    <n v="0"/>
    <n v="0"/>
    <n v="0"/>
    <n v="0"/>
    <n v="59136.93"/>
    <n v="0"/>
    <n v="0"/>
    <n v="311000"/>
    <s v="SALE FINISHED GOODS"/>
    <n v="49.75"/>
    <n v="49.75"/>
    <n v="0"/>
    <s v="52AU0123"/>
    <n v="1509"/>
    <s v="FG Body"/>
    <n v="5094130919"/>
    <s v="06.05.2026"/>
  </r>
  <r>
    <n v="1115"/>
    <n v="1115"/>
    <n v="10"/>
    <n v="2"/>
    <s v="Three Wheelers"/>
    <s v="F2"/>
    <s v="COMMERCIAL INVOICE"/>
    <n v="1526006137"/>
    <n v="1000006408"/>
    <m/>
    <m/>
    <x v="1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6"/>
    <s v="EA"/>
    <n v="6240.88"/>
    <s v="INR"/>
    <n v="37445.279999999999"/>
    <n v="0"/>
    <n v="37445.279999999999"/>
    <n v="0"/>
    <n v="0"/>
    <n v="0"/>
    <n v="0"/>
    <n v="37445.279999999999"/>
    <n v="0"/>
    <n v="0"/>
    <n v="0"/>
    <n v="0"/>
    <n v="0"/>
    <n v="0"/>
    <n v="0"/>
    <n v="0"/>
    <n v="37445.279999999999"/>
    <n v="0"/>
    <n v="0"/>
    <n v="311000"/>
    <s v="SALE FINISHED GOODS"/>
    <n v="58"/>
    <n v="58"/>
    <n v="0"/>
    <s v="52BA0852"/>
    <n v="1509"/>
    <s v="FG Body"/>
    <n v="5094130747"/>
    <s v="06.05.2026"/>
  </r>
  <r>
    <n v="1115"/>
    <n v="1115"/>
    <n v="10"/>
    <n v="2"/>
    <s v="Three Wheelers"/>
    <s v="F2"/>
    <s v="COMMERCIAL INVOICE"/>
    <n v="1526006136"/>
    <n v="1000006407"/>
    <m/>
    <m/>
    <x v="1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70"/>
    <s v="EA"/>
    <n v="380.93"/>
    <s v="INR"/>
    <n v="26665.1"/>
    <n v="0"/>
    <n v="26665.1"/>
    <n v="0"/>
    <n v="0"/>
    <n v="0"/>
    <n v="0"/>
    <n v="26665.1"/>
    <n v="0"/>
    <n v="0"/>
    <n v="0"/>
    <n v="0"/>
    <n v="0"/>
    <n v="0"/>
    <n v="0"/>
    <n v="0"/>
    <n v="26665.1"/>
    <n v="0"/>
    <n v="0"/>
    <n v="311000"/>
    <s v="SALE FINISHED GOODS"/>
    <n v="2.13"/>
    <n v="2.13"/>
    <n v="0"/>
    <s v="AH111571"/>
    <n v="1511"/>
    <s v="FG Loose 3WH"/>
    <n v="5094122298"/>
    <s v="05.05.2026"/>
  </r>
  <r>
    <n v="1115"/>
    <n v="1115"/>
    <n v="10"/>
    <n v="2"/>
    <s v="Three Wheelers"/>
    <s v="F2"/>
    <s v="COMMERCIAL INVOICE"/>
    <n v="1526006135"/>
    <n v="1000006406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134"/>
    <n v="1000006405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26705"/>
    <s v="05.05.2026"/>
  </r>
  <r>
    <n v="1115"/>
    <n v="1115"/>
    <n v="10"/>
    <n v="2"/>
    <s v="Three Wheelers"/>
    <s v="F2"/>
    <s v="COMMERCIAL INVOICE"/>
    <n v="1526006133"/>
    <n v="1000006404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22335"/>
    <s v="05.05.2026"/>
  </r>
  <r>
    <n v="1115"/>
    <n v="1115"/>
    <n v="10"/>
    <n v="2"/>
    <s v="Three Wheelers"/>
    <s v="F2"/>
    <s v="COMMERCIAL INVOICE"/>
    <n v="1526006132"/>
    <n v="1000006403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6089"/>
    <s v="05.05.2026"/>
  </r>
  <r>
    <n v="1115"/>
    <n v="1115"/>
    <n v="10"/>
    <n v="2"/>
    <s v="Three Wheelers"/>
    <s v="F2"/>
    <s v="COMMERCIAL INVOICE"/>
    <n v="1526006131"/>
    <n v="1000006402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5960"/>
    <s v="05.05.2026"/>
  </r>
  <r>
    <n v="1115"/>
    <n v="1115"/>
    <n v="10"/>
    <n v="2"/>
    <s v="Three Wheelers"/>
    <s v="F2"/>
    <s v="COMMERCIAL INVOICE"/>
    <n v="1526006130"/>
    <n v="1000006401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2405"/>
    <s v="05.05.2026"/>
  </r>
  <r>
    <n v="1115"/>
    <n v="1115"/>
    <n v="10"/>
    <n v="2"/>
    <s v="Three Wheelers"/>
    <s v="F2"/>
    <s v="COMMERCIAL INVOICE"/>
    <n v="1526006129"/>
    <n v="1000006400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6703"/>
    <s v="05.05.2026"/>
  </r>
  <r>
    <n v="1115"/>
    <n v="1115"/>
    <n v="10"/>
    <n v="2"/>
    <s v="Three Wheelers"/>
    <s v="F2"/>
    <s v="COMMERCIAL INVOICE"/>
    <n v="1526006128"/>
    <n v="1000006399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3178"/>
    <s v="05.05.2026"/>
  </r>
  <r>
    <n v="1115"/>
    <n v="1115"/>
    <n v="10"/>
    <n v="2"/>
    <s v="Three Wheelers"/>
    <s v="F2"/>
    <s v="COMMERCIAL INVOICE"/>
    <n v="1526006127"/>
    <n v="1000006398"/>
    <m/>
    <m/>
    <x v="1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n v="5094123832"/>
    <s v="05.05.2026"/>
  </r>
  <r>
    <n v="1115"/>
    <n v="1115"/>
    <n v="10"/>
    <n v="2"/>
    <s v="Three Wheelers"/>
    <s v="F2"/>
    <s v="COMMERCIAL INVOICE"/>
    <n v="1526006124"/>
    <n v="1000006395"/>
    <m/>
    <m/>
    <x v="1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50"/>
    <s v="EA"/>
    <n v="291.27999999999997"/>
    <s v="INR"/>
    <n v="43692"/>
    <n v="0"/>
    <n v="43692"/>
    <n v="0"/>
    <n v="0"/>
    <n v="0"/>
    <n v="0"/>
    <n v="43692"/>
    <n v="0"/>
    <n v="0"/>
    <n v="0"/>
    <n v="0"/>
    <n v="0"/>
    <n v="0"/>
    <n v="0"/>
    <n v="0"/>
    <n v="43692"/>
    <n v="0"/>
    <n v="0"/>
    <n v="311000"/>
    <s v="SALE FINISHED GOODS"/>
    <n v="2.37"/>
    <n v="2.37"/>
    <n v="0"/>
    <s v="AH115161"/>
    <n v="1511"/>
    <s v="FG Loose 3WH"/>
    <n v="5094130724"/>
    <s v="06.05.2026"/>
  </r>
  <r>
    <n v="1115"/>
    <n v="1115"/>
    <n v="10"/>
    <n v="2"/>
    <s v="Three Wheelers"/>
    <s v="F2"/>
    <s v="COMMERCIAL INVOICE"/>
    <n v="1526006123"/>
    <n v="1000006394"/>
    <m/>
    <m/>
    <x v="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256"/>
    <s v="EA"/>
    <n v="290.89999999999998"/>
    <s v="INR"/>
    <n v="74470.399999999994"/>
    <n v="0"/>
    <n v="74470.399999999994"/>
    <n v="0"/>
    <n v="0"/>
    <n v="0"/>
    <n v="0"/>
    <n v="74470.399999999994"/>
    <n v="0"/>
    <n v="0"/>
    <n v="0"/>
    <n v="0"/>
    <n v="0"/>
    <n v="0"/>
    <n v="0"/>
    <n v="0"/>
    <n v="74470.399999999994"/>
    <n v="0"/>
    <n v="0"/>
    <n v="311000"/>
    <s v="SALE FINISHED GOODS"/>
    <n v="4.5"/>
    <n v="4.5"/>
    <n v="0"/>
    <s v="AZ111331"/>
    <n v="1511"/>
    <s v="FG Loose 3WH"/>
    <n v="5094130726"/>
    <s v="06.05.2026"/>
  </r>
  <r>
    <n v="1115"/>
    <n v="1115"/>
    <n v="10"/>
    <n v="2"/>
    <s v="Three Wheelers"/>
    <s v="F2"/>
    <s v="COMMERCIAL INVOICE"/>
    <n v="1526006121"/>
    <n v="1000006392"/>
    <m/>
    <m/>
    <x v="1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124440"/>
    <s v="05.05.2026"/>
  </r>
  <r>
    <n v="1115"/>
    <n v="1115"/>
    <n v="10"/>
    <n v="2"/>
    <s v="Three Wheelers"/>
    <s v="F2"/>
    <s v="COMMERCIAL INVOICE"/>
    <n v="1526006120"/>
    <n v="1000006391"/>
    <m/>
    <m/>
    <x v="1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121130"/>
    <s v="05.05.2026"/>
  </r>
  <r>
    <n v="1115"/>
    <n v="1115"/>
    <n v="10"/>
    <n v="2"/>
    <s v="Three Wheelers"/>
    <s v="F2"/>
    <s v="COMMERCIAL INVOICE"/>
    <n v="1526006119"/>
    <n v="1000006390"/>
    <m/>
    <m/>
    <x v="1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124414"/>
    <s v="05.05.2026"/>
  </r>
  <r>
    <n v="1115"/>
    <n v="1115"/>
    <n v="10"/>
    <n v="2"/>
    <s v="Three Wheelers"/>
    <s v="F2"/>
    <s v="COMMERCIAL INVOICE"/>
    <n v="1526006118"/>
    <n v="1000006389"/>
    <m/>
    <m/>
    <x v="1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124787"/>
    <s v="05.05.2026"/>
  </r>
  <r>
    <n v="1115"/>
    <n v="1115"/>
    <n v="10"/>
    <n v="2"/>
    <s v="Three Wheelers"/>
    <s v="F2"/>
    <s v="COMMERCIAL INVOICE"/>
    <n v="1526006116"/>
    <n v="1000006387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257"/>
    <s v="06.05.2026"/>
  </r>
  <r>
    <n v="1115"/>
    <n v="1115"/>
    <n v="10"/>
    <n v="2"/>
    <s v="Three Wheelers"/>
    <s v="F2"/>
    <s v="COMMERCIAL INVOICE"/>
    <n v="1526006115"/>
    <n v="1000006386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181"/>
    <s v="06.05.2026"/>
  </r>
  <r>
    <n v="1115"/>
    <n v="1115"/>
    <n v="10"/>
    <n v="2"/>
    <s v="Three Wheelers"/>
    <s v="F2"/>
    <s v="COMMERCIAL INVOICE"/>
    <n v="1526006113"/>
    <n v="1000006384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188"/>
    <s v="06.05.2026"/>
  </r>
  <r>
    <n v="1115"/>
    <n v="1115"/>
    <n v="10"/>
    <n v="2"/>
    <s v="Three Wheelers"/>
    <s v="F2"/>
    <s v="COMMERCIAL INVOICE"/>
    <n v="1526006112"/>
    <n v="1000006383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680"/>
    <s v="06.05.2026"/>
  </r>
  <r>
    <n v="1115"/>
    <n v="1115"/>
    <n v="10"/>
    <n v="2"/>
    <s v="Three Wheelers"/>
    <s v="F2"/>
    <s v="COMMERCIAL INVOICE"/>
    <n v="1526006111"/>
    <n v="1000006382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166"/>
    <s v="06.05.2026"/>
  </r>
  <r>
    <n v="1115"/>
    <n v="1115"/>
    <n v="10"/>
    <n v="2"/>
    <s v="Three Wheelers"/>
    <s v="F2"/>
    <s v="COMMERCIAL INVOICE"/>
    <n v="1526006109"/>
    <n v="1000006380"/>
    <m/>
    <m/>
    <x v="1"/>
    <n v="5100001445"/>
    <s v="ZSCH"/>
    <s v="Normal Sales"/>
    <n v="4110021696"/>
    <s v="08.08.2019"/>
    <n v="5000"/>
    <s v="BAJAJ AUTO LIMITED (WALUJ)"/>
    <m/>
    <m/>
    <s v="27340676530V"/>
    <n v="1502040233"/>
    <s v="BB161099 MUDGUARD FRONT REFL"/>
    <x v="3"/>
    <n v="87082900"/>
    <n v="800"/>
    <s v="EA"/>
    <n v="317.45999999999998"/>
    <s v="INR"/>
    <n v="253968"/>
    <n v="0"/>
    <n v="253968"/>
    <n v="0"/>
    <n v="0"/>
    <n v="0"/>
    <n v="0"/>
    <n v="253968"/>
    <n v="0"/>
    <n v="0"/>
    <n v="0"/>
    <n v="0"/>
    <n v="0"/>
    <n v="0"/>
    <n v="0"/>
    <n v="0"/>
    <n v="253968"/>
    <n v="0"/>
    <n v="0"/>
    <n v="311000"/>
    <s v="SALE FINISHED GOODS"/>
    <n v="3.4"/>
    <n v="2"/>
    <n v="1.4"/>
    <s v="BB161099"/>
    <n v="1511"/>
    <s v="FG Loose 3WH"/>
    <n v="5094120904"/>
    <s v="05.05.2026"/>
  </r>
  <r>
    <n v="1115"/>
    <n v="1115"/>
    <n v="10"/>
    <n v="2"/>
    <s v="Three Wheelers"/>
    <s v="F2"/>
    <s v="COMMERCIAL INVOICE"/>
    <n v="1526006108"/>
    <n v="1000006379"/>
    <m/>
    <m/>
    <x v="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126228"/>
    <s v="05.05.2026"/>
  </r>
  <r>
    <n v="1115"/>
    <n v="1115"/>
    <n v="10"/>
    <n v="2"/>
    <s v="Three Wheelers"/>
    <s v="F2"/>
    <s v="COMMERCIAL INVOICE"/>
    <n v="1526006107"/>
    <n v="1000006378"/>
    <m/>
    <m/>
    <x v="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123200"/>
    <s v="05.05.2026"/>
  </r>
  <r>
    <n v="1115"/>
    <n v="1115"/>
    <n v="10"/>
    <n v="2"/>
    <s v="Three Wheelers"/>
    <s v="F2"/>
    <s v="COMMERCIAL INVOICE"/>
    <n v="1526006106"/>
    <n v="1000006377"/>
    <m/>
    <m/>
    <x v="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126132"/>
    <s v="05.05.2026"/>
  </r>
  <r>
    <n v="1115"/>
    <n v="1115"/>
    <n v="10"/>
    <n v="2"/>
    <s v="Three Wheelers"/>
    <s v="F2"/>
    <s v="COMMERCIAL INVOICE"/>
    <n v="1526006101"/>
    <n v="1000006372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1027"/>
    <s v="05.05.2026"/>
  </r>
  <r>
    <n v="1115"/>
    <n v="1115"/>
    <n v="10"/>
    <n v="2"/>
    <s v="Three Wheelers"/>
    <s v="F2"/>
    <s v="COMMERCIAL INVOICE"/>
    <n v="1526006100"/>
    <n v="1000006371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9386"/>
    <s v="05.05.2026"/>
  </r>
  <r>
    <n v="1115"/>
    <n v="1115"/>
    <n v="10"/>
    <n v="2"/>
    <s v="Three Wheelers"/>
    <s v="F2"/>
    <s v="COMMERCIAL INVOICE"/>
    <n v="1526006099"/>
    <n v="1000006370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2963"/>
    <s v="05.05.2026"/>
  </r>
  <r>
    <n v="1115"/>
    <n v="1115"/>
    <n v="10"/>
    <n v="2"/>
    <s v="Three Wheelers"/>
    <s v="F2"/>
    <s v="COMMERCIAL INVOICE"/>
    <n v="1526006098"/>
    <n v="1000006369"/>
    <m/>
    <m/>
    <x v="1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n v="5094123768"/>
    <s v="05.05.2026"/>
  </r>
  <r>
    <n v="1115"/>
    <n v="1115"/>
    <n v="10"/>
    <n v="2"/>
    <s v="Three Wheelers"/>
    <s v="F2"/>
    <s v="COMMERCIAL INVOICE"/>
    <n v="1526006097"/>
    <n v="1000006368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0947"/>
    <s v="05.05.2026"/>
  </r>
  <r>
    <n v="1115"/>
    <n v="1115"/>
    <n v="10"/>
    <n v="2"/>
    <s v="Three Wheelers"/>
    <s v="F2"/>
    <s v="COMMERCIAL INVOICE"/>
    <n v="1526006096"/>
    <n v="1000006367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1026"/>
    <s v="05.05.2026"/>
  </r>
  <r>
    <n v="1115"/>
    <n v="1115"/>
    <n v="10"/>
    <n v="2"/>
    <s v="Three Wheelers"/>
    <s v="F2"/>
    <s v="COMMERCIAL INVOICE"/>
    <n v="1526006094"/>
    <n v="1000006365"/>
    <m/>
    <m/>
    <x v="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093"/>
    <n v="1000006364"/>
    <m/>
    <m/>
    <x v="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26948"/>
    <s v="05.05.2026"/>
  </r>
  <r>
    <n v="1115"/>
    <n v="1115"/>
    <n v="10"/>
    <n v="2"/>
    <s v="Three Wheelers"/>
    <s v="F2"/>
    <s v="COMMERCIAL INVOICE"/>
    <n v="1526006092"/>
    <n v="1000006363"/>
    <m/>
    <m/>
    <x v="1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n v="5094124097"/>
    <s v="05.05.2026"/>
  </r>
  <r>
    <n v="1115"/>
    <n v="1115"/>
    <n v="10"/>
    <n v="2"/>
    <s v="Three Wheelers"/>
    <s v="F2"/>
    <s v="COMMERCIAL INVOICE"/>
    <n v="1526006144"/>
    <n v="1000006414"/>
    <m/>
    <m/>
    <x v="1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1280"/>
    <s v="EA"/>
    <n v="174.11"/>
    <s v="INR"/>
    <n v="222860.79999999999"/>
    <n v="0"/>
    <n v="222860.79999999999"/>
    <n v="0"/>
    <n v="0"/>
    <n v="0"/>
    <n v="0"/>
    <n v="222860.79999999999"/>
    <n v="0"/>
    <n v="0"/>
    <n v="0"/>
    <n v="0"/>
    <n v="0"/>
    <n v="0"/>
    <n v="0"/>
    <n v="0"/>
    <n v="222860.79999999999"/>
    <n v="0"/>
    <n v="0"/>
    <n v="311000"/>
    <s v="SALE FINISHED GOODS"/>
    <n v="2.573"/>
    <n v="1.4910000000000001"/>
    <n v="1.0820000000000001"/>
    <s v="AA161289"/>
    <n v="1511"/>
    <s v="FG Loose 3WH"/>
    <n v="5094130202"/>
    <s v="06.05.2026"/>
  </r>
  <r>
    <n v="1115"/>
    <n v="1115"/>
    <n v="10"/>
    <n v="2"/>
    <s v="Three Wheelers"/>
    <s v="F2"/>
    <s v="COMMERCIAL INVOICE"/>
    <n v="1526006185"/>
    <n v="1000006453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508"/>
    <s v="06.05.2026"/>
  </r>
  <r>
    <n v="1115"/>
    <n v="1115"/>
    <n v="10"/>
    <n v="2"/>
    <s v="Three Wheelers"/>
    <s v="F2"/>
    <s v="COMMERCIAL INVOICE"/>
    <n v="1526006184"/>
    <n v="1000006452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507"/>
    <s v="06.05.2026"/>
  </r>
  <r>
    <n v="1115"/>
    <n v="1115"/>
    <n v="10"/>
    <n v="2"/>
    <s v="Three Wheelers"/>
    <s v="F2"/>
    <s v="COMMERCIAL INVOICE"/>
    <n v="1526006183"/>
    <n v="1000006451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365"/>
    <s v="06.05.2026"/>
  </r>
  <r>
    <n v="1115"/>
    <n v="1115"/>
    <n v="10"/>
    <n v="2"/>
    <s v="Three Wheelers"/>
    <s v="F2"/>
    <s v="COMMERCIAL INVOICE"/>
    <n v="1526006182"/>
    <n v="1000006450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506"/>
    <s v="06.05.2026"/>
  </r>
  <r>
    <n v="1115"/>
    <n v="1115"/>
    <n v="10"/>
    <n v="2"/>
    <s v="Three Wheelers"/>
    <s v="F2"/>
    <s v="COMMERCIAL INVOICE"/>
    <n v="1526006181"/>
    <n v="1000006449"/>
    <m/>
    <m/>
    <x v="1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60"/>
    <s v="EA"/>
    <n v="380.93"/>
    <s v="INR"/>
    <n v="22855.8"/>
    <n v="0"/>
    <n v="22855.8"/>
    <n v="0"/>
    <n v="0"/>
    <n v="0"/>
    <n v="0"/>
    <n v="22855.8"/>
    <n v="0"/>
    <n v="0"/>
    <n v="0"/>
    <n v="0"/>
    <n v="0"/>
    <n v="0"/>
    <n v="0"/>
    <n v="0"/>
    <n v="22855.8"/>
    <n v="0"/>
    <n v="0"/>
    <n v="311000"/>
    <s v="SALE FINISHED GOODS"/>
    <n v="2.13"/>
    <n v="2.13"/>
    <n v="0"/>
    <s v="AH111571"/>
    <n v="1511"/>
    <s v="FG Loose 3WH"/>
    <n v="5094131864"/>
    <s v="06.05.2026"/>
  </r>
  <r>
    <n v="1115"/>
    <n v="1115"/>
    <n v="10"/>
    <n v="2"/>
    <s v="Three Wheelers"/>
    <s v="F2"/>
    <s v="COMMERCIAL INVOICE"/>
    <n v="1526006180"/>
    <n v="1000006448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179"/>
    <n v="1000006447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666"/>
    <s v="06.05.2026"/>
  </r>
  <r>
    <n v="1115"/>
    <n v="1115"/>
    <n v="10"/>
    <n v="2"/>
    <s v="Three Wheelers"/>
    <s v="F2"/>
    <s v="COMMERCIAL INVOICE"/>
    <n v="1526006178"/>
    <n v="1000006446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2176"/>
    <s v="06.05.2026"/>
  </r>
  <r>
    <n v="1115"/>
    <n v="1115"/>
    <n v="10"/>
    <n v="2"/>
    <s v="Three Wheelers"/>
    <s v="F2"/>
    <s v="COMMERCIAL INVOICE"/>
    <n v="1526006177"/>
    <n v="1000006445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2175"/>
    <s v="06.05.2026"/>
  </r>
  <r>
    <n v="1115"/>
    <n v="1115"/>
    <n v="10"/>
    <n v="2"/>
    <s v="Three Wheelers"/>
    <s v="F2"/>
    <s v="COMMERCIAL INVOICE"/>
    <n v="1526006176"/>
    <n v="1000006444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588"/>
    <s v="06.05.2026"/>
  </r>
  <r>
    <n v="1115"/>
    <n v="1115"/>
    <n v="10"/>
    <n v="2"/>
    <s v="Three Wheelers"/>
    <s v="F2"/>
    <s v="COMMERCIAL INVOICE"/>
    <n v="1526006175"/>
    <n v="1000006443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582"/>
    <s v="06.05.2026"/>
  </r>
  <r>
    <n v="1115"/>
    <n v="1115"/>
    <n v="10"/>
    <n v="2"/>
    <s v="Three Wheelers"/>
    <s v="F2"/>
    <s v="COMMERCIAL INVOICE"/>
    <n v="1526006174"/>
    <n v="1000006442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565"/>
    <s v="06.05.2026"/>
  </r>
  <r>
    <n v="1115"/>
    <n v="1115"/>
    <n v="10"/>
    <n v="2"/>
    <s v="Three Wheelers"/>
    <s v="F2"/>
    <s v="COMMERCIAL INVOICE"/>
    <n v="1526006173"/>
    <n v="1000006441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611"/>
    <s v="06.05.2026"/>
  </r>
  <r>
    <n v="1115"/>
    <n v="1115"/>
    <n v="10"/>
    <n v="2"/>
    <s v="Three Wheelers"/>
    <s v="F2"/>
    <s v="COMMERCIAL INVOICE"/>
    <n v="1526006172"/>
    <n v="1000006440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564"/>
    <s v="06.05.2026"/>
  </r>
  <r>
    <n v="1115"/>
    <n v="1115"/>
    <n v="10"/>
    <n v="2"/>
    <s v="Three Wheelers"/>
    <s v="F2"/>
    <s v="COMMERCIAL INVOICE"/>
    <n v="1526006171"/>
    <n v="1000006439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556"/>
    <s v="06.05.2026"/>
  </r>
  <r>
    <n v="1115"/>
    <n v="1115"/>
    <n v="10"/>
    <n v="2"/>
    <s v="Three Wheelers"/>
    <s v="F2"/>
    <s v="COMMERCIAL INVOICE"/>
    <n v="1526006170"/>
    <n v="1000006438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505"/>
    <s v="06.05.2026"/>
  </r>
  <r>
    <n v="1115"/>
    <n v="1115"/>
    <n v="10"/>
    <n v="2"/>
    <s v="Three Wheelers"/>
    <s v="F2"/>
    <s v="COMMERCIAL INVOICE"/>
    <n v="1526006169"/>
    <n v="1000006437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29407"/>
    <s v="05.05.2026"/>
  </r>
  <r>
    <n v="1115"/>
    <n v="1115"/>
    <n v="10"/>
    <n v="2"/>
    <s v="Three Wheelers"/>
    <s v="F2"/>
    <s v="COMMERCIAL INVOICE"/>
    <n v="1526006168"/>
    <n v="1000006436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0338"/>
    <s v="06.05.2026"/>
  </r>
  <r>
    <n v="1115"/>
    <n v="1115"/>
    <n v="10"/>
    <n v="2"/>
    <s v="Three Wheelers"/>
    <s v="F2"/>
    <s v="COMMERCIAL INVOICE"/>
    <n v="1526006167"/>
    <n v="1000006435"/>
    <m/>
    <m/>
    <x v="1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29643"/>
    <s v="05.05.2026"/>
  </r>
  <r>
    <n v="1115"/>
    <n v="1115"/>
    <n v="10"/>
    <n v="2"/>
    <s v="Three Wheelers"/>
    <s v="F2"/>
    <s v="COMMERCIAL INVOICE"/>
    <n v="1526006166"/>
    <n v="1000006434"/>
    <m/>
    <m/>
    <x v="1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90"/>
    <s v="EA"/>
    <n v="291.27999999999997"/>
    <s v="INR"/>
    <n v="26215.200000000001"/>
    <n v="0"/>
    <n v="26215.200000000001"/>
    <n v="0"/>
    <n v="0"/>
    <n v="0"/>
    <n v="0"/>
    <n v="26215.200000000001"/>
    <n v="0"/>
    <n v="0"/>
    <n v="0"/>
    <n v="0"/>
    <n v="0"/>
    <n v="0"/>
    <n v="0"/>
    <n v="0"/>
    <n v="26215.200000000001"/>
    <n v="0"/>
    <n v="0"/>
    <n v="311000"/>
    <s v="SALE FINISHED GOODS"/>
    <n v="2.37"/>
    <n v="2.37"/>
    <n v="0"/>
    <s v="AH115161"/>
    <n v="1511"/>
    <s v="FG Loose 3WH"/>
    <n v="5094131522"/>
    <s v="06.05.2026"/>
  </r>
  <r>
    <n v="1115"/>
    <n v="1115"/>
    <n v="10"/>
    <n v="2"/>
    <s v="Three Wheelers"/>
    <s v="F2"/>
    <s v="COMMERCIAL INVOICE"/>
    <n v="1526006165"/>
    <n v="1000006433"/>
    <m/>
    <m/>
    <x v="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310"/>
    <s v="EA"/>
    <n v="290.89999999999998"/>
    <s v="INR"/>
    <n v="90179"/>
    <n v="0"/>
    <n v="90179"/>
    <n v="0"/>
    <n v="0"/>
    <n v="0"/>
    <n v="0"/>
    <n v="90179"/>
    <n v="0"/>
    <n v="0"/>
    <n v="0"/>
    <n v="0"/>
    <n v="0"/>
    <n v="0"/>
    <n v="0"/>
    <n v="0"/>
    <n v="90179"/>
    <n v="0"/>
    <n v="0"/>
    <n v="311000"/>
    <s v="SALE FINISHED GOODS"/>
    <n v="4.5"/>
    <n v="4.5"/>
    <n v="0"/>
    <s v="AZ111331"/>
    <n v="1511"/>
    <s v="FG Loose 3WH"/>
    <n v="5094131693"/>
    <s v="06.05.2026"/>
  </r>
  <r>
    <n v="1115"/>
    <n v="1115"/>
    <n v="10"/>
    <n v="2"/>
    <s v="Three Wheelers"/>
    <s v="F2"/>
    <s v="COMMERCIAL INVOICE"/>
    <n v="1526006164"/>
    <n v="1000006432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444"/>
    <s v="06.05.2026"/>
  </r>
  <r>
    <n v="1115"/>
    <n v="1115"/>
    <n v="10"/>
    <n v="2"/>
    <s v="Three Wheelers"/>
    <s v="F2"/>
    <s v="COMMERCIAL INVOICE"/>
    <n v="1526006163"/>
    <n v="1000006431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447"/>
    <s v="06.05.2026"/>
  </r>
  <r>
    <n v="1115"/>
    <n v="1115"/>
    <n v="10"/>
    <n v="2"/>
    <s v="Three Wheelers"/>
    <s v="F2"/>
    <s v="COMMERCIAL INVOICE"/>
    <n v="1526006162"/>
    <n v="1000006430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555"/>
    <s v="06.05.2026"/>
  </r>
  <r>
    <n v="1115"/>
    <n v="1115"/>
    <n v="10"/>
    <n v="2"/>
    <s v="Three Wheelers"/>
    <s v="F2"/>
    <s v="COMMERCIAL INVOICE"/>
    <n v="1526006161"/>
    <n v="1000006429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551"/>
    <s v="06.05.2026"/>
  </r>
  <r>
    <n v="1115"/>
    <n v="1115"/>
    <n v="10"/>
    <n v="2"/>
    <s v="Three Wheelers"/>
    <s v="F2"/>
    <s v="COMMERCIAL INVOICE"/>
    <n v="1526006160"/>
    <n v="1000006428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159"/>
    <n v="1000006427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9327"/>
    <s v="05.05.2026"/>
  </r>
  <r>
    <n v="1115"/>
    <n v="1115"/>
    <n v="10"/>
    <n v="2"/>
    <s v="Three Wheelers"/>
    <s v="F2"/>
    <s v="COMMERCIAL INVOICE"/>
    <n v="1526006157"/>
    <n v="1000006426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466"/>
    <s v="06.05.2026"/>
  </r>
  <r>
    <n v="1115"/>
    <n v="1115"/>
    <n v="10"/>
    <n v="2"/>
    <s v="Three Wheelers"/>
    <s v="F2"/>
    <s v="COMMERCIAL INVOICE"/>
    <n v="1526006156"/>
    <n v="1000006425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476"/>
    <s v="06.05.2026"/>
  </r>
  <r>
    <n v="1115"/>
    <n v="1115"/>
    <n v="10"/>
    <n v="2"/>
    <s v="Three Wheelers"/>
    <s v="F2"/>
    <s v="COMMERCIAL INVOICE"/>
    <n v="1526006155"/>
    <n v="1000006424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486"/>
    <s v="06.05.2026"/>
  </r>
  <r>
    <n v="1115"/>
    <n v="1115"/>
    <n v="10"/>
    <n v="2"/>
    <s v="Three Wheelers"/>
    <s v="F2"/>
    <s v="COMMERCIAL INVOICE"/>
    <n v="1526006154"/>
    <n v="1000006423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31471"/>
    <s v="06.05.2026"/>
  </r>
  <r>
    <n v="1115"/>
    <n v="1115"/>
    <n v="10"/>
    <n v="2"/>
    <s v="Three Wheelers"/>
    <s v="F2"/>
    <s v="COMMERCIAL INVOICE"/>
    <n v="1526006153"/>
    <n v="1000006422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152"/>
    <n v="1000006421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151"/>
    <n v="1000006420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413"/>
    <s v="06.05.2026"/>
  </r>
  <r>
    <n v="1115"/>
    <n v="1115"/>
    <n v="10"/>
    <n v="2"/>
    <s v="Three Wheelers"/>
    <s v="F2"/>
    <s v="COMMERCIAL INVOICE"/>
    <n v="1526006150"/>
    <n v="1000006419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26001"/>
    <s v="05.05.2026"/>
  </r>
  <r>
    <n v="1115"/>
    <n v="1115"/>
    <n v="10"/>
    <n v="2"/>
    <s v="Three Wheelers"/>
    <s v="F2"/>
    <s v="COMMERCIAL INVOICE"/>
    <n v="1526006149"/>
    <n v="1000006418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489"/>
    <s v="06.05.2026"/>
  </r>
  <r>
    <n v="1115"/>
    <n v="1115"/>
    <n v="10"/>
    <n v="2"/>
    <s v="Three Wheelers"/>
    <s v="F2"/>
    <s v="COMMERCIAL INVOICE"/>
    <n v="1526006148"/>
    <n v="1000006417"/>
    <m/>
    <m/>
    <x v="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147"/>
    <n v="1000006416"/>
    <m/>
    <m/>
    <x v="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130383"/>
    <s v="06.05.2026"/>
  </r>
  <r>
    <n v="1115"/>
    <n v="1115"/>
    <n v="10"/>
    <n v="2"/>
    <s v="Three Wheelers"/>
    <s v="F2"/>
    <s v="COMMERCIAL INVOICE"/>
    <n v="1526006146"/>
    <n v="1000006415"/>
    <m/>
    <m/>
    <x v="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384"/>
    <s v="EA"/>
    <n v="290.89999999999998"/>
    <s v="INR"/>
    <n v="111705.60000000001"/>
    <n v="0"/>
    <n v="111705.60000000001"/>
    <n v="0"/>
    <n v="0"/>
    <n v="0"/>
    <n v="0"/>
    <n v="111705.60000000001"/>
    <n v="0"/>
    <n v="0"/>
    <n v="0"/>
    <n v="0"/>
    <n v="0"/>
    <n v="0"/>
    <n v="0"/>
    <n v="0"/>
    <n v="111705.60000000001"/>
    <n v="0"/>
    <n v="0"/>
    <n v="311000"/>
    <s v="SALE FINISHED GOODS"/>
    <n v="4.5"/>
    <n v="4.5"/>
    <n v="0"/>
    <s v="AZ111331"/>
    <n v="1511"/>
    <s v="FG Loose 3WH"/>
    <n v="5094130200"/>
    <s v="06.05.2026"/>
  </r>
  <r>
    <n v="1115"/>
    <n v="1115"/>
    <n v="10"/>
    <n v="2"/>
    <s v="Three Wheelers"/>
    <s v="F2"/>
    <s v="COMMERCIAL INVOICE"/>
    <n v="1526006091"/>
    <n v="1000006362"/>
    <m/>
    <m/>
    <x v="1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n v="5094124112"/>
    <s v="05.05.2026"/>
  </r>
  <r>
    <n v="1115"/>
    <n v="1115"/>
    <n v="10"/>
    <n v="2"/>
    <s v="Three Wheelers"/>
    <s v="F2"/>
    <s v="COMMERCIAL INVOICE"/>
    <n v="1526006045"/>
    <n v="1000006308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4897"/>
    <s v="05.05.2026"/>
  </r>
  <r>
    <n v="1115"/>
    <n v="1115"/>
    <n v="10"/>
    <n v="2"/>
    <s v="Three Wheelers"/>
    <s v="F2"/>
    <s v="COMMERCIAL INVOICE"/>
    <n v="1526006044"/>
    <n v="1000006307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7183"/>
    <s v="05.05.2026"/>
  </r>
  <r>
    <n v="1115"/>
    <n v="1115"/>
    <n v="10"/>
    <n v="2"/>
    <s v="Three Wheelers"/>
    <s v="F2"/>
    <s v="COMMERCIAL INVOICE"/>
    <n v="1526006043"/>
    <n v="1000006306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4931"/>
    <s v="05.05.2026"/>
  </r>
  <r>
    <n v="1115"/>
    <n v="1115"/>
    <n v="10"/>
    <n v="2"/>
    <s v="Three Wheelers"/>
    <s v="F2"/>
    <s v="COMMERCIAL INVOICE"/>
    <n v="1526006041"/>
    <n v="1000006304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4798"/>
    <s v="05.05.2026"/>
  </r>
  <r>
    <n v="1115"/>
    <n v="1115"/>
    <n v="10"/>
    <n v="2"/>
    <s v="Three Wheelers"/>
    <s v="F2"/>
    <s v="COMMERCIAL INVOICE"/>
    <n v="1526006040"/>
    <n v="1000006300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6987"/>
    <s v="05.05.2026"/>
  </r>
  <r>
    <n v="1115"/>
    <n v="1115"/>
    <n v="10"/>
    <n v="2"/>
    <s v="Three Wheelers"/>
    <s v="F2"/>
    <s v="COMMERCIAL INVOICE"/>
    <n v="1526006039"/>
    <n v="1000006299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5450"/>
    <s v="05.05.2026"/>
  </r>
  <r>
    <n v="1115"/>
    <n v="1115"/>
    <n v="10"/>
    <n v="2"/>
    <s v="Three Wheelers"/>
    <s v="F2"/>
    <s v="COMMERCIAL INVOICE"/>
    <n v="1526006038"/>
    <n v="1000006298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4953"/>
    <s v="05.05.2026"/>
  </r>
  <r>
    <n v="1115"/>
    <n v="1115"/>
    <n v="10"/>
    <n v="2"/>
    <s v="Three Wheelers"/>
    <s v="F2"/>
    <s v="COMMERCIAL INVOICE"/>
    <n v="1526006037"/>
    <n v="1000006297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5362"/>
    <s v="05.05.2026"/>
  </r>
  <r>
    <n v="1115"/>
    <n v="1115"/>
    <n v="10"/>
    <n v="2"/>
    <s v="Three Wheelers"/>
    <s v="F2"/>
    <s v="COMMERCIAL INVOICE"/>
    <n v="1526006035"/>
    <n v="1000006296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3775"/>
    <s v="05.05.2026"/>
  </r>
  <r>
    <n v="1115"/>
    <n v="1115"/>
    <n v="10"/>
    <n v="2"/>
    <s v="Three Wheelers"/>
    <s v="F2"/>
    <s v="COMMERCIAL INVOICE"/>
    <n v="1526006034"/>
    <n v="1000006295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9815"/>
    <s v="05.05.2026"/>
  </r>
  <r>
    <n v="1115"/>
    <n v="1115"/>
    <n v="10"/>
    <n v="2"/>
    <s v="Three Wheelers"/>
    <s v="F2"/>
    <s v="COMMERCIAL INVOICE"/>
    <n v="1526006033"/>
    <n v="1000006294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15575"/>
    <s v="05.05.2026"/>
  </r>
  <r>
    <n v="1115"/>
    <n v="1115"/>
    <n v="10"/>
    <n v="2"/>
    <s v="Three Wheelers"/>
    <s v="F2"/>
    <s v="COMMERCIAL INVOICE"/>
    <n v="1526006032"/>
    <n v="1000006293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9814"/>
    <s v="05.05.2026"/>
  </r>
  <r>
    <n v="1115"/>
    <n v="1115"/>
    <n v="10"/>
    <n v="2"/>
    <s v="Three Wheelers"/>
    <s v="F2"/>
    <s v="COMMERCIAL INVOICE"/>
    <n v="1526006031"/>
    <n v="1000006292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9816"/>
    <s v="05.05.2026"/>
  </r>
  <r>
    <n v="1115"/>
    <n v="1115"/>
    <n v="10"/>
    <n v="2"/>
    <s v="Three Wheelers"/>
    <s v="F2"/>
    <s v="COMMERCIAL INVOICE"/>
    <n v="1526006030"/>
    <n v="1000006291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9254"/>
    <s v="05.05.2026"/>
  </r>
  <r>
    <n v="1115"/>
    <n v="1115"/>
    <n v="10"/>
    <n v="2"/>
    <s v="Three Wheelers"/>
    <s v="F2"/>
    <s v="COMMERCIAL INVOICE"/>
    <n v="1526006029"/>
    <n v="1000006290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22785"/>
    <s v="05.05.2026"/>
  </r>
  <r>
    <n v="1115"/>
    <n v="1115"/>
    <n v="10"/>
    <n v="2"/>
    <s v="Three Wheelers"/>
    <s v="F2"/>
    <s v="COMMERCIAL INVOICE"/>
    <n v="1526006028"/>
    <n v="1000006288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5301"/>
    <s v="05.05.2026"/>
  </r>
  <r>
    <n v="1115"/>
    <n v="1115"/>
    <n v="10"/>
    <n v="2"/>
    <s v="Three Wheelers"/>
    <s v="F2"/>
    <s v="COMMERCIAL INVOICE"/>
    <n v="1526006027"/>
    <n v="1000006287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5272"/>
    <s v="05.05.2026"/>
  </r>
  <r>
    <n v="1115"/>
    <n v="1115"/>
    <n v="10"/>
    <n v="2"/>
    <s v="Three Wheelers"/>
    <s v="F2"/>
    <s v="COMMERCIAL INVOICE"/>
    <n v="1526006025"/>
    <n v="1000006285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8908"/>
    <s v="05.05.2026"/>
  </r>
  <r>
    <n v="1115"/>
    <n v="1115"/>
    <n v="10"/>
    <n v="2"/>
    <s v="Three Wheelers"/>
    <s v="F2"/>
    <s v="COMMERCIAL INVOICE"/>
    <n v="1526006024"/>
    <n v="1000006284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8903"/>
    <s v="05.05.2026"/>
  </r>
  <r>
    <n v="1115"/>
    <n v="1115"/>
    <n v="10"/>
    <n v="2"/>
    <s v="Three Wheelers"/>
    <s v="F2"/>
    <s v="COMMERCIAL INVOICE"/>
    <n v="1526006023"/>
    <n v="1000006283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8815"/>
    <s v="05.05.2026"/>
  </r>
  <r>
    <n v="1115"/>
    <n v="1115"/>
    <n v="10"/>
    <n v="2"/>
    <s v="Three Wheelers"/>
    <s v="F2"/>
    <s v="COMMERCIAL INVOICE"/>
    <n v="1526006021"/>
    <n v="1000006282"/>
    <m/>
    <m/>
    <x v="1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n v="5094113640"/>
    <s v="05.05.2026"/>
  </r>
  <r>
    <n v="1115"/>
    <n v="1115"/>
    <n v="10"/>
    <n v="2"/>
    <s v="Three Wheelers"/>
    <s v="F2"/>
    <s v="COMMERCIAL INVOICE"/>
    <n v="1526006020"/>
    <n v="1000006281"/>
    <m/>
    <m/>
    <x v="1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n v="5094113642"/>
    <s v="05.05.2026"/>
  </r>
  <r>
    <n v="1115"/>
    <n v="1115"/>
    <n v="10"/>
    <n v="2"/>
    <s v="Three Wheelers"/>
    <s v="F2"/>
    <s v="COMMERCIAL INVOICE"/>
    <n v="1526006019"/>
    <n v="1000006280"/>
    <m/>
    <m/>
    <x v="1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s v="PENDING"/>
    <s v="Pending"/>
  </r>
  <r>
    <n v="1115"/>
    <n v="1115"/>
    <n v="10"/>
    <n v="2"/>
    <s v="Three Wheelers"/>
    <s v="F2"/>
    <s v="COMMERCIAL INVOICE"/>
    <n v="1526006018"/>
    <n v="1000006279"/>
    <m/>
    <m/>
    <x v="1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129224"/>
    <s v="05.05.2026"/>
  </r>
  <r>
    <n v="1115"/>
    <n v="1115"/>
    <n v="10"/>
    <n v="2"/>
    <s v="Three Wheelers"/>
    <s v="F2"/>
    <s v="COMMERCIAL INVOICE"/>
    <n v="1526006016"/>
    <n v="1000006278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3268"/>
    <s v="05.05.2026"/>
  </r>
  <r>
    <n v="1115"/>
    <n v="1115"/>
    <n v="10"/>
    <n v="2"/>
    <s v="Three Wheelers"/>
    <s v="F2"/>
    <s v="COMMERCIAL INVOICE"/>
    <n v="1526006015"/>
    <n v="1000006277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3266"/>
    <s v="05.05.2026"/>
  </r>
  <r>
    <n v="1115"/>
    <n v="1115"/>
    <n v="10"/>
    <n v="2"/>
    <s v="Three Wheelers"/>
    <s v="F2"/>
    <s v="COMMERCIAL INVOICE"/>
    <n v="1526006014"/>
    <n v="1000006276"/>
    <m/>
    <m/>
    <x v="1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128658"/>
    <s v="05.05.2026"/>
  </r>
  <r>
    <n v="1115"/>
    <n v="1115"/>
    <n v="10"/>
    <n v="2"/>
    <s v="Three Wheelers"/>
    <s v="F2"/>
    <s v="COMMERCIAL INVOICE"/>
    <n v="1526006011"/>
    <n v="1000006273"/>
    <m/>
    <m/>
    <x v="1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n v="5094114743"/>
    <s v="05.05.2026"/>
  </r>
  <r>
    <n v="1115"/>
    <n v="1115"/>
    <n v="10"/>
    <n v="2"/>
    <s v="Three Wheelers"/>
    <s v="F2"/>
    <s v="COMMERCIAL INVOICE"/>
    <n v="1526006010"/>
    <n v="1000006272"/>
    <m/>
    <m/>
    <x v="1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n v="5094110867"/>
    <s v="05.05.2026"/>
  </r>
  <r>
    <n v="1115"/>
    <n v="1115"/>
    <n v="10"/>
    <n v="2"/>
    <s v="Three Wheelers"/>
    <s v="F2"/>
    <s v="COMMERCIAL INVOICE"/>
    <n v="1526006009"/>
    <n v="1000006271"/>
    <m/>
    <m/>
    <x v="1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118047"/>
    <s v="05.05.2026"/>
  </r>
  <r>
    <n v="1115"/>
    <n v="1115"/>
    <n v="10"/>
    <n v="2"/>
    <s v="Three Wheelers"/>
    <s v="F2"/>
    <s v="COMMERCIAL INVOICE"/>
    <n v="1526006008"/>
    <n v="1000006270"/>
    <m/>
    <m/>
    <x v="1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50"/>
    <s v="EA"/>
    <n v="291.27999999999997"/>
    <s v="INR"/>
    <n v="43692"/>
    <n v="0"/>
    <n v="43692"/>
    <n v="0"/>
    <n v="0"/>
    <n v="0"/>
    <n v="0"/>
    <n v="43692"/>
    <n v="0"/>
    <n v="0"/>
    <n v="0"/>
    <n v="0"/>
    <n v="0"/>
    <n v="0"/>
    <n v="0"/>
    <n v="0"/>
    <n v="43692"/>
    <n v="0"/>
    <n v="0"/>
    <n v="311000"/>
    <s v="SALE FINISHED GOODS"/>
    <n v="2.37"/>
    <n v="2.37"/>
    <n v="0"/>
    <s v="AH115161"/>
    <n v="1511"/>
    <s v="FG Loose 3WH"/>
    <n v="5094129030"/>
    <s v="05.05.2026"/>
  </r>
  <r>
    <n v="1115"/>
    <n v="1115"/>
    <n v="10"/>
    <n v="2"/>
    <s v="Three Wheelers"/>
    <s v="F2"/>
    <s v="COMMERCIAL INVOICE"/>
    <n v="1526006007"/>
    <n v="1000006269"/>
    <m/>
    <m/>
    <x v="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256"/>
    <s v="EA"/>
    <n v="290.89999999999998"/>
    <s v="INR"/>
    <n v="74470.399999999994"/>
    <n v="0"/>
    <n v="74470.399999999994"/>
    <n v="0"/>
    <n v="0"/>
    <n v="0"/>
    <n v="0"/>
    <n v="74470.399999999994"/>
    <n v="0"/>
    <n v="0"/>
    <n v="0"/>
    <n v="0"/>
    <n v="0"/>
    <n v="0"/>
    <n v="0"/>
    <n v="0"/>
    <n v="74470.399999999994"/>
    <n v="0"/>
    <n v="0"/>
    <n v="311000"/>
    <s v="SALE FINISHED GOODS"/>
    <n v="4.5"/>
    <n v="4.5"/>
    <n v="0"/>
    <s v="AZ111331"/>
    <n v="1511"/>
    <s v="FG Loose 3WH"/>
    <n v="5094129178"/>
    <s v="05.05.2026"/>
  </r>
  <r>
    <n v="1115"/>
    <n v="1115"/>
    <n v="10"/>
    <n v="2"/>
    <s v="Three Wheelers"/>
    <s v="F2"/>
    <s v="COMMERCIAL INVOICE"/>
    <n v="1526006005"/>
    <n v="1000006267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2461"/>
    <s v="05.05.2026"/>
  </r>
  <r>
    <n v="1115"/>
    <n v="1115"/>
    <n v="10"/>
    <n v="2"/>
    <s v="Three Wheelers"/>
    <s v="F2"/>
    <s v="COMMERCIAL INVOICE"/>
    <n v="1526006004"/>
    <n v="1000006266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09888"/>
    <s v="05.05.2026"/>
  </r>
  <r>
    <n v="1115"/>
    <n v="1115"/>
    <n v="10"/>
    <n v="2"/>
    <s v="Three Wheelers"/>
    <s v="F2"/>
    <s v="COMMERCIAL INVOICE"/>
    <n v="1526006003"/>
    <n v="1000006265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2327"/>
    <s v="05.05.2026"/>
  </r>
  <r>
    <n v="1115"/>
    <n v="1115"/>
    <n v="10"/>
    <n v="2"/>
    <s v="Three Wheelers"/>
    <s v="F2"/>
    <s v="COMMERCIAL INVOICE"/>
    <n v="1526006002"/>
    <n v="1000006264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2432"/>
    <s v="05.05.2026"/>
  </r>
  <r>
    <n v="1115"/>
    <n v="1115"/>
    <n v="10"/>
    <n v="2"/>
    <s v="Three Wheelers"/>
    <s v="F2"/>
    <s v="COMMERCIAL INVOICE"/>
    <n v="1526006001"/>
    <n v="1000006263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3778"/>
    <s v="05.05.2026"/>
  </r>
  <r>
    <n v="1115"/>
    <n v="1115"/>
    <n v="10"/>
    <n v="2"/>
    <s v="Three Wheelers"/>
    <s v="F2"/>
    <s v="COMMERCIAL INVOICE"/>
    <n v="1526006000"/>
    <n v="1000006262"/>
    <m/>
    <m/>
    <x v="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115845"/>
    <s v="05.05.2026"/>
  </r>
  <r>
    <n v="1115"/>
    <n v="1115"/>
    <n v="10"/>
    <n v="2"/>
    <s v="Three Wheelers"/>
    <s v="F2"/>
    <s v="COMMERCIAL INVOICE"/>
    <n v="1526005999"/>
    <n v="1000006261"/>
    <m/>
    <m/>
    <x v="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112446"/>
    <s v="05.05.2026"/>
  </r>
  <r>
    <n v="1115"/>
    <n v="1115"/>
    <n v="10"/>
    <n v="2"/>
    <s v="Three Wheelers"/>
    <s v="F2"/>
    <s v="COMMERCIAL INVOICE"/>
    <n v="1526006046"/>
    <n v="1000006309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19038"/>
    <s v="05.05.2026"/>
  </r>
  <r>
    <n v="1115"/>
    <n v="1115"/>
    <n v="10"/>
    <n v="2"/>
    <s v="Three Wheelers"/>
    <s v="F2"/>
    <s v="COMMERCIAL INVOICE"/>
    <n v="1526006090"/>
    <n v="1000006360"/>
    <m/>
    <m/>
    <x v="1"/>
    <n v="5100001915"/>
    <s v="ZSCH"/>
    <s v="Normal Sales"/>
    <n v="4110052347"/>
    <s v="24.05.2024"/>
    <n v="5000"/>
    <s v="BAJAJ AUTO LIMITED (WALUJ)"/>
    <m/>
    <m/>
    <s v="27340676530V"/>
    <n v="1502040299"/>
    <s v="52BK0102 PANEL ASLY BODY RH OCEAN BLUEAF"/>
    <x v="4"/>
    <n v="87082900"/>
    <n v="80"/>
    <s v="EA"/>
    <n v="166.23"/>
    <s v="INR"/>
    <n v="13298.4"/>
    <n v="0"/>
    <n v="13298.4"/>
    <n v="0"/>
    <n v="0"/>
    <n v="0"/>
    <n v="0"/>
    <n v="13298.4"/>
    <n v="0"/>
    <n v="0"/>
    <n v="0"/>
    <n v="0"/>
    <n v="0"/>
    <n v="0"/>
    <n v="0"/>
    <n v="0"/>
    <n v="13298.4"/>
    <n v="0"/>
    <n v="0"/>
    <n v="311000"/>
    <s v="SALE FINISHED GOODS"/>
    <n v="0"/>
    <n v="0"/>
    <n v="0"/>
    <s v="52BK0102"/>
    <n v="1511"/>
    <s v="FG Loose 3WH"/>
    <n v="5094118582"/>
    <s v="05.05.2026"/>
  </r>
  <r>
    <n v="1115"/>
    <n v="1115"/>
    <n v="10"/>
    <n v="2"/>
    <s v="Three Wheelers"/>
    <s v="F2"/>
    <s v="COMMERCIAL INVOICE"/>
    <n v="1526006089"/>
    <n v="1000006359"/>
    <m/>
    <m/>
    <x v="1"/>
    <n v="5100001915"/>
    <s v="ZSCH"/>
    <s v="Normal Sales"/>
    <n v="4110052347"/>
    <s v="24.05.2024"/>
    <n v="5000"/>
    <s v="BAJAJ AUTO LIMITED (WALUJ)"/>
    <m/>
    <m/>
    <s v="27340676530V"/>
    <n v="1502040298"/>
    <s v="52BK0108 PANEL ASLY BODY LH OCEAN BLUEAF"/>
    <x v="4"/>
    <n v="87082900"/>
    <n v="80"/>
    <s v="EA"/>
    <n v="213.14"/>
    <s v="INR"/>
    <n v="17051.2"/>
    <n v="0"/>
    <n v="17051.2"/>
    <n v="0"/>
    <n v="0"/>
    <n v="0"/>
    <n v="0"/>
    <n v="17051.2"/>
    <n v="0"/>
    <n v="0"/>
    <n v="0"/>
    <n v="0"/>
    <n v="0"/>
    <n v="0"/>
    <n v="0"/>
    <n v="0"/>
    <n v="17051.2"/>
    <n v="0"/>
    <n v="0"/>
    <n v="311000"/>
    <s v="SALE FINISHED GOODS"/>
    <n v="0"/>
    <n v="0"/>
    <n v="0"/>
    <s v="52BK0108"/>
    <n v="1511"/>
    <s v="FG Loose 3WH"/>
    <n v="5094118583"/>
    <s v="05.05.2026"/>
  </r>
  <r>
    <n v="1115"/>
    <n v="1115"/>
    <n v="10"/>
    <n v="2"/>
    <s v="Three Wheelers"/>
    <s v="F2"/>
    <s v="COMMERCIAL INVOICE"/>
    <n v="1526006088"/>
    <n v="1000006358"/>
    <m/>
    <m/>
    <x v="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130254"/>
    <s v="06.05.2026"/>
  </r>
  <r>
    <n v="1115"/>
    <n v="1115"/>
    <n v="10"/>
    <n v="2"/>
    <s v="Three Wheelers"/>
    <s v="F2"/>
    <s v="COMMERCIAL INVOICE"/>
    <n v="1526006087"/>
    <n v="1000006357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22935"/>
    <s v="05.05.2026"/>
  </r>
  <r>
    <n v="1115"/>
    <n v="1115"/>
    <n v="10"/>
    <n v="2"/>
    <s v="Three Wheelers"/>
    <s v="F2"/>
    <s v="COMMERCIAL INVOICE"/>
    <n v="1526006086"/>
    <n v="1000006356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22873"/>
    <s v="05.05.2026"/>
  </r>
  <r>
    <n v="1115"/>
    <n v="1115"/>
    <n v="10"/>
    <n v="2"/>
    <s v="Three Wheelers"/>
    <s v="F2"/>
    <s v="COMMERCIAL INVOICE"/>
    <n v="1526006085"/>
    <n v="1000006355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21730"/>
    <s v="05.05.2026"/>
  </r>
  <r>
    <n v="1115"/>
    <n v="1115"/>
    <n v="10"/>
    <n v="2"/>
    <s v="Three Wheelers"/>
    <s v="F2"/>
    <s v="COMMERCIAL INVOICE"/>
    <n v="1526006084"/>
    <n v="1000006353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83"/>
    <n v="1000006352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82"/>
    <n v="1000006350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81"/>
    <n v="1000006349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80"/>
    <n v="1000006348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79"/>
    <n v="1000006347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78"/>
    <n v="1000006346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77"/>
    <n v="1000006345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76"/>
    <n v="1000006344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75"/>
    <n v="1000006343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74"/>
    <n v="1000006342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73"/>
    <n v="1000006341"/>
    <m/>
    <m/>
    <x v="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069"/>
    <n v="1000006337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7548"/>
    <s v="05.05.2026"/>
  </r>
  <r>
    <n v="1115"/>
    <n v="1115"/>
    <n v="10"/>
    <n v="2"/>
    <s v="Three Wheelers"/>
    <s v="F2"/>
    <s v="COMMERCIAL INVOICE"/>
    <n v="1526006068"/>
    <n v="1000006336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7542"/>
    <s v="05.05.2026"/>
  </r>
  <r>
    <n v="1115"/>
    <n v="1115"/>
    <n v="10"/>
    <n v="2"/>
    <s v="Three Wheelers"/>
    <s v="F2"/>
    <s v="COMMERCIAL INVOICE"/>
    <n v="1526006067"/>
    <n v="1000006335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7676"/>
    <s v="05.05.2026"/>
  </r>
  <r>
    <n v="1115"/>
    <n v="1115"/>
    <n v="10"/>
    <n v="2"/>
    <s v="Three Wheelers"/>
    <s v="F2"/>
    <s v="COMMERCIAL INVOICE"/>
    <n v="1526006066"/>
    <n v="1000006333"/>
    <m/>
    <m/>
    <x v="1"/>
    <n v="5100001096"/>
    <s v="ZSCH"/>
    <s v="Normal Sales"/>
    <n v="4110004645"/>
    <s v="01.07.2017"/>
    <n v="5000"/>
    <s v="BAJAJ AUTO LIMITED (WALUJ)"/>
    <m/>
    <m/>
    <s v="27340676530V"/>
    <n v="1502040061"/>
    <s v="ASSLY FOR ISOLATOR BLOCK LH"/>
    <x v="13"/>
    <n v="87082900"/>
    <n v="84"/>
    <s v="EA"/>
    <n v="228.28"/>
    <s v="INR"/>
    <n v="19175.52"/>
    <n v="0"/>
    <n v="19175.52"/>
    <n v="0"/>
    <n v="0"/>
    <n v="0"/>
    <n v="0"/>
    <n v="19175.52"/>
    <n v="0"/>
    <n v="0"/>
    <n v="0"/>
    <n v="0"/>
    <n v="0"/>
    <n v="0"/>
    <n v="0"/>
    <n v="0"/>
    <n v="19175.52"/>
    <n v="0"/>
    <n v="0"/>
    <n v="311000"/>
    <s v="SALE FINISHED GOODS"/>
    <n v="1.68"/>
    <n v="1.68"/>
    <n v="0"/>
    <s v="52BA0209"/>
    <n v="1511"/>
    <s v="FG Loose 3WH"/>
    <n v="5094121381"/>
    <s v="05.05.2026"/>
  </r>
  <r>
    <n v="1115"/>
    <n v="1115"/>
    <n v="10"/>
    <n v="2"/>
    <s v="Three Wheelers"/>
    <s v="F2"/>
    <s v="COMMERCIAL INVOICE"/>
    <n v="1526006065"/>
    <n v="1000006332"/>
    <m/>
    <m/>
    <x v="1"/>
    <n v="5100001096"/>
    <s v="ZSCH"/>
    <s v="Normal Sales"/>
    <n v="4110004645"/>
    <s v="01.07.2017"/>
    <n v="5000"/>
    <s v="BAJAJ AUTO LIMITED (WALUJ)"/>
    <m/>
    <m/>
    <s v="27340676530V"/>
    <n v="1502040068"/>
    <s v="PART FOR ENG FOUNDATION BKT RH"/>
    <x v="15"/>
    <n v="87082900"/>
    <n v="84"/>
    <s v="EA"/>
    <n v="237.64"/>
    <s v="INR"/>
    <n v="19961.759999999998"/>
    <n v="0"/>
    <n v="19961.759999999998"/>
    <n v="0"/>
    <n v="0"/>
    <n v="0"/>
    <n v="0"/>
    <n v="19961.759999999998"/>
    <n v="0"/>
    <n v="0"/>
    <n v="0"/>
    <n v="0"/>
    <n v="0"/>
    <n v="0"/>
    <n v="0"/>
    <n v="0"/>
    <n v="19961.759999999998"/>
    <n v="0"/>
    <n v="0"/>
    <n v="311000"/>
    <s v="SALE FINISHED GOODS"/>
    <n v="1.68"/>
    <n v="1.68"/>
    <n v="0"/>
    <s v="52BA0101"/>
    <n v="1511"/>
    <s v="FG Loose 3WH"/>
    <n v="5094121380"/>
    <s v="05.05.2026"/>
  </r>
  <r>
    <n v="1115"/>
    <n v="1115"/>
    <n v="10"/>
    <n v="2"/>
    <s v="Three Wheelers"/>
    <s v="F2"/>
    <s v="COMMERCIAL INVOICE"/>
    <n v="1526006064"/>
    <n v="1000006330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7328"/>
    <s v="05.05.2026"/>
  </r>
  <r>
    <n v="1115"/>
    <n v="1115"/>
    <n v="10"/>
    <n v="2"/>
    <s v="Three Wheelers"/>
    <s v="F2"/>
    <s v="COMMERCIAL INVOICE"/>
    <n v="1526006063"/>
    <n v="1000006329"/>
    <m/>
    <m/>
    <x v="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129850"/>
    <s v="05.05.2026"/>
  </r>
  <r>
    <n v="1115"/>
    <n v="1115"/>
    <n v="10"/>
    <n v="2"/>
    <s v="Three Wheelers"/>
    <s v="F2"/>
    <s v="COMMERCIAL INVOICE"/>
    <n v="1526006061"/>
    <n v="1000006327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1671"/>
    <s v="05.05.2026"/>
  </r>
  <r>
    <n v="1115"/>
    <n v="1115"/>
    <n v="10"/>
    <n v="2"/>
    <s v="Three Wheelers"/>
    <s v="F2"/>
    <s v="COMMERCIAL INVOICE"/>
    <n v="1526006060"/>
    <n v="1000006326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21416"/>
    <s v="05.05.2026"/>
  </r>
  <r>
    <n v="1115"/>
    <n v="1115"/>
    <n v="10"/>
    <n v="2"/>
    <s v="Three Wheelers"/>
    <s v="F2"/>
    <s v="COMMERCIAL INVOICE"/>
    <n v="1526006059"/>
    <n v="1000006325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6927"/>
    <s v="05.05.2026"/>
  </r>
  <r>
    <n v="1115"/>
    <n v="1115"/>
    <n v="10"/>
    <n v="2"/>
    <s v="Three Wheelers"/>
    <s v="F2"/>
    <s v="COMMERCIAL INVOICE"/>
    <n v="1526006058"/>
    <n v="1000006324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7844"/>
    <s v="05.05.2026"/>
  </r>
  <r>
    <n v="1115"/>
    <n v="1115"/>
    <n v="10"/>
    <n v="2"/>
    <s v="Three Wheelers"/>
    <s v="F2"/>
    <s v="COMMERCIAL INVOICE"/>
    <n v="1526006057"/>
    <n v="1000006323"/>
    <m/>
    <m/>
    <x v="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17599"/>
    <s v="05.05.2026"/>
  </r>
  <r>
    <n v="1115"/>
    <n v="1115"/>
    <n v="10"/>
    <n v="2"/>
    <s v="Three Wheelers"/>
    <s v="F2"/>
    <s v="COMMERCIAL INVOICE"/>
    <n v="1526006056"/>
    <n v="1000006322"/>
    <m/>
    <m/>
    <x v="1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114792"/>
    <s v="05.05.2026"/>
  </r>
  <r>
    <n v="1115"/>
    <n v="1115"/>
    <n v="10"/>
    <n v="2"/>
    <s v="Three Wheelers"/>
    <s v="F2"/>
    <s v="COMMERCIAL INVOICE"/>
    <n v="1526006055"/>
    <n v="1000006321"/>
    <m/>
    <m/>
    <x v="1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114772"/>
    <s v="05.05.2026"/>
  </r>
  <r>
    <n v="1115"/>
    <n v="1115"/>
    <n v="10"/>
    <n v="2"/>
    <s v="Three Wheelers"/>
    <s v="F2"/>
    <s v="COMMERCIAL INVOICE"/>
    <n v="1526006054"/>
    <n v="1000006320"/>
    <m/>
    <m/>
    <x v="1"/>
    <n v="5100001100"/>
    <s v="ZSCH"/>
    <s v="Normal Sales"/>
    <n v="4110004652"/>
    <s v="01.07.2017"/>
    <n v="5000"/>
    <s v="BAJAJ AUTO LIMITED (WALUJ)"/>
    <m/>
    <m/>
    <s v="27340676530V"/>
    <n v="1502040165"/>
    <s v="52BB0126 REAR COVER ASSLY GREEN RH"/>
    <x v="8"/>
    <n v="87082900"/>
    <n v="55"/>
    <s v="EA"/>
    <n v="165.65"/>
    <s v="INR"/>
    <n v="9110.75"/>
    <n v="0"/>
    <n v="9110.75"/>
    <n v="0"/>
    <n v="0"/>
    <n v="0"/>
    <n v="0"/>
    <n v="9110.75"/>
    <n v="0"/>
    <n v="0"/>
    <n v="0"/>
    <n v="0"/>
    <n v="0"/>
    <n v="0"/>
    <n v="0"/>
    <n v="0"/>
    <n v="9110.75"/>
    <n v="0"/>
    <n v="0"/>
    <n v="311000"/>
    <s v="SALE FINISHED GOODS"/>
    <n v="1.248"/>
    <n v="1.248"/>
    <n v="0"/>
    <s v="52BB0126"/>
    <n v="1511"/>
    <s v="FG Loose 3WH"/>
    <s v="PENDING"/>
    <s v="Pending"/>
  </r>
  <r>
    <n v="1115"/>
    <n v="1115"/>
    <n v="10"/>
    <n v="2"/>
    <s v="Three Wheelers"/>
    <s v="F2"/>
    <s v="COMMERCIAL INVOICE"/>
    <n v="1526006053"/>
    <n v="1000006319"/>
    <m/>
    <m/>
    <x v="1"/>
    <n v="5100001100"/>
    <s v="ZSCH"/>
    <s v="Normal Sales"/>
    <n v="4110004652"/>
    <s v="01.07.2017"/>
    <n v="5000"/>
    <s v="BAJAJ AUTO LIMITED (WALUJ)"/>
    <m/>
    <m/>
    <s v="27340676530V"/>
    <n v="1502040164"/>
    <s v="52BB0125 REAR COVER ASSLY GREEN LH"/>
    <x v="8"/>
    <n v="87082900"/>
    <n v="55"/>
    <s v="EA"/>
    <n v="160.52000000000001"/>
    <s v="INR"/>
    <n v="8828.6"/>
    <n v="0"/>
    <n v="8828.6"/>
    <n v="0"/>
    <n v="0"/>
    <n v="0"/>
    <n v="0"/>
    <n v="8828.6"/>
    <n v="0"/>
    <n v="0"/>
    <n v="0"/>
    <n v="0"/>
    <n v="0"/>
    <n v="0"/>
    <n v="0"/>
    <n v="0"/>
    <n v="8828.6"/>
    <n v="0"/>
    <n v="0"/>
    <n v="311000"/>
    <s v="SALE FINISHED GOODS"/>
    <n v="1.1659999999999999"/>
    <n v="1.1659999999999999"/>
    <n v="0"/>
    <s v="52BB0125"/>
    <n v="1511"/>
    <s v="FG Loose 3WH"/>
    <s v="PENDING"/>
    <s v="Pending"/>
  </r>
  <r>
    <n v="1115"/>
    <n v="1115"/>
    <n v="10"/>
    <n v="2"/>
    <s v="Three Wheelers"/>
    <s v="F2"/>
    <s v="COMMERCIAL INVOICE"/>
    <n v="1526006051"/>
    <n v="1000006315"/>
    <m/>
    <m/>
    <x v="1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720"/>
    <s v="EA"/>
    <n v="134.19999999999999"/>
    <s v="INR"/>
    <n v="96624"/>
    <n v="0"/>
    <n v="96624"/>
    <n v="0"/>
    <n v="0"/>
    <n v="0"/>
    <n v="0"/>
    <n v="96624"/>
    <n v="0"/>
    <n v="0"/>
    <n v="0"/>
    <n v="0"/>
    <n v="0"/>
    <n v="0"/>
    <n v="0"/>
    <n v="0"/>
    <n v="96624"/>
    <n v="0"/>
    <n v="0"/>
    <n v="311000"/>
    <s v="SALE FINISHED GOODS"/>
    <n v="1.19"/>
    <n v="1.19"/>
    <n v="0"/>
    <s v="AF231720"/>
    <n v="1511"/>
    <s v="FG Loose 3WH"/>
    <n v="5094118447"/>
    <s v="05.05.2026"/>
  </r>
  <r>
    <n v="1115"/>
    <n v="1115"/>
    <n v="10"/>
    <n v="2"/>
    <s v="Three Wheelers"/>
    <s v="F2"/>
    <s v="COMMERCIAL INVOICE"/>
    <n v="1526006049"/>
    <n v="1000006313"/>
    <m/>
    <m/>
    <x v="1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114915"/>
    <s v="05.05.2026"/>
  </r>
  <r>
    <n v="1115"/>
    <n v="1115"/>
    <n v="10"/>
    <n v="2"/>
    <s v="Three Wheelers"/>
    <s v="F2"/>
    <s v="COMMERCIAL INVOICE"/>
    <n v="1526006048"/>
    <n v="1000006312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31443"/>
    <s v="06.05.2026"/>
  </r>
  <r>
    <n v="1115"/>
    <n v="1115"/>
    <n v="10"/>
    <n v="2"/>
    <s v="Three Wheelers"/>
    <s v="F2"/>
    <s v="COMMERCIAL INVOICE"/>
    <n v="1526006047"/>
    <n v="1000006311"/>
    <m/>
    <m/>
    <x v="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20946"/>
    <s v="05.05.2026"/>
  </r>
  <r>
    <n v="1115"/>
    <n v="1115"/>
    <n v="10"/>
    <n v="2"/>
    <s v="Three Wheelers"/>
    <s v="F2"/>
    <s v="COMMERCIAL INVOICE"/>
    <n v="1526005562"/>
    <n v="1000005813"/>
    <m/>
    <m/>
    <x v="2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064419"/>
    <s v="02.05.2026"/>
  </r>
  <r>
    <n v="1115"/>
    <n v="1115"/>
    <n v="10"/>
    <n v="2"/>
    <s v="Three Wheelers"/>
    <s v="F2"/>
    <s v="COMMERCIAL INVOICE"/>
    <n v="1526005561"/>
    <n v="1000005811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057"/>
    <s v="03.05.2026"/>
  </r>
  <r>
    <n v="1115"/>
    <n v="1115"/>
    <n v="10"/>
    <n v="2"/>
    <s v="Three Wheelers"/>
    <s v="F2"/>
    <s v="COMMERCIAL INVOICE"/>
    <n v="1526005565"/>
    <n v="1000005814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7251"/>
    <s v="02.05.2026"/>
  </r>
  <r>
    <n v="1115"/>
    <n v="1115"/>
    <n v="10"/>
    <n v="2"/>
    <s v="Three Wheelers"/>
    <s v="F2"/>
    <s v="COMMERCIAL INVOICE"/>
    <n v="1526005566"/>
    <n v="1000005815"/>
    <m/>
    <m/>
    <x v="2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360"/>
    <s v="EA"/>
    <n v="217.33"/>
    <s v="INR"/>
    <n v="78238.8"/>
    <n v="0"/>
    <n v="78238.8"/>
    <n v="0"/>
    <n v="0"/>
    <n v="0"/>
    <n v="0"/>
    <n v="78238.8"/>
    <n v="0"/>
    <n v="0"/>
    <n v="0"/>
    <n v="0"/>
    <n v="0"/>
    <n v="0"/>
    <n v="0"/>
    <n v="0"/>
    <n v="78238.8"/>
    <n v="0"/>
    <n v="0"/>
    <n v="311000"/>
    <s v="SALE FINISHED GOODS"/>
    <n v="1.19"/>
    <n v="1.19"/>
    <n v="0"/>
    <s v="AA102281"/>
    <n v="1511"/>
    <s v="FG Loose 3WH"/>
    <n v="5094078199"/>
    <s v="03.05.2026"/>
  </r>
  <r>
    <n v="1115"/>
    <n v="1115"/>
    <n v="10"/>
    <n v="2"/>
    <s v="Three Wheelers"/>
    <s v="F2"/>
    <s v="COMMERCIAL INVOICE"/>
    <n v="1526005560"/>
    <n v="1000005810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191"/>
    <s v="03.05.2026"/>
  </r>
  <r>
    <n v="1115"/>
    <n v="1115"/>
    <n v="10"/>
    <n v="2"/>
    <s v="Three Wheelers"/>
    <s v="F2"/>
    <s v="COMMERCIAL INVOICE"/>
    <n v="1526005559"/>
    <n v="1000005809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66084"/>
    <s v="02.05.2026"/>
  </r>
  <r>
    <n v="1115"/>
    <n v="1115"/>
    <n v="10"/>
    <n v="2"/>
    <s v="Three Wheelers"/>
    <s v="F2"/>
    <s v="COMMERCIAL INVOICE"/>
    <n v="1526005558"/>
    <n v="1000005808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57"/>
    <n v="1000005807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56"/>
    <n v="1000005806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68"/>
    <n v="1000005817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9833"/>
    <s v="03.05.2026"/>
  </r>
  <r>
    <n v="1115"/>
    <n v="1115"/>
    <n v="10"/>
    <n v="2"/>
    <s v="Three Wheelers"/>
    <s v="F2"/>
    <s v="COMMERCIAL INVOICE"/>
    <n v="1526005569"/>
    <n v="1000005818"/>
    <m/>
    <m/>
    <x v="2"/>
    <n v="5100001099"/>
    <s v="ZSCH"/>
    <s v="Normal Sales"/>
    <n v="4110004650"/>
    <s v="01.07.2017"/>
    <n v="5000"/>
    <s v="BAJAJ AUTO LIMITED (WALUJ)"/>
    <m/>
    <m/>
    <s v="27340676530V"/>
    <n v="1502040127"/>
    <s v="BH113407 REAR ENG MTG BKT FL"/>
    <x v="15"/>
    <n v="87141090"/>
    <n v="84"/>
    <s v="EA"/>
    <n v="266.62"/>
    <s v="INR"/>
    <n v="22396.080000000002"/>
    <n v="0"/>
    <n v="22396.080000000002"/>
    <n v="0"/>
    <n v="0"/>
    <n v="0"/>
    <n v="0"/>
    <n v="22396.080000000002"/>
    <n v="0"/>
    <n v="0"/>
    <n v="0"/>
    <n v="0"/>
    <n v="0"/>
    <n v="0"/>
    <n v="0"/>
    <n v="0"/>
    <n v="22396.080000000002"/>
    <n v="0"/>
    <n v="0"/>
    <n v="311000"/>
    <s v="SALE FINISHED GOODS"/>
    <n v="1.31"/>
    <n v="1.31"/>
    <n v="0"/>
    <s v="BH113407"/>
    <n v="1511"/>
    <s v="FG Loose 3WH"/>
    <n v="5094062592"/>
    <s v="02.05.2026"/>
  </r>
  <r>
    <n v="1115"/>
    <n v="1115"/>
    <n v="10"/>
    <n v="2"/>
    <s v="Three Wheelers"/>
    <s v="F2"/>
    <s v="COMMERCIAL INVOICE"/>
    <n v="1526005573"/>
    <n v="1000005823"/>
    <m/>
    <m/>
    <x v="2"/>
    <n v="5100001795"/>
    <s v="ZSCH"/>
    <s v="Normal Sales"/>
    <n v="4110032503"/>
    <s v="31.08.2021"/>
    <n v="5000"/>
    <s v="BAJAJ AUTO LIMITED (WALUJ)"/>
    <m/>
    <m/>
    <s v="27340676530V"/>
    <n v="1502010016"/>
    <s v="PLATE CHECK FRONT MUD MOUNTING"/>
    <x v="13"/>
    <n v="87082900"/>
    <n v="1500"/>
    <s v="EA"/>
    <n v="8.4600000000000009"/>
    <s v="INR"/>
    <n v="12690"/>
    <n v="0"/>
    <n v="12690"/>
    <n v="0"/>
    <n v="0"/>
    <n v="0"/>
    <n v="0"/>
    <n v="12690"/>
    <n v="0"/>
    <n v="0"/>
    <n v="0"/>
    <n v="0"/>
    <n v="0"/>
    <n v="0"/>
    <n v="0"/>
    <n v="0"/>
    <n v="12690"/>
    <n v="0"/>
    <n v="0"/>
    <n v="311000"/>
    <s v="SALE FINISHED GOODS"/>
    <n v="0.08"/>
    <n v="6.3E-2"/>
    <n v="1.7000000000000001E-2"/>
    <s v="AB161182"/>
    <n v="1508"/>
    <s v="FG Attached Vendor Components 3 WH"/>
    <n v="5094063076"/>
    <s v="02.05.2026"/>
  </r>
  <r>
    <n v="1115"/>
    <n v="1115"/>
    <n v="10"/>
    <n v="2"/>
    <s v="Three Wheelers"/>
    <s v="F2"/>
    <s v="COMMERCIAL INVOICE"/>
    <n v="1526005576"/>
    <n v="1000005825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4280"/>
    <s v="02.05.2026"/>
  </r>
  <r>
    <n v="1115"/>
    <n v="1115"/>
    <n v="10"/>
    <n v="2"/>
    <s v="Three Wheelers"/>
    <s v="F2"/>
    <s v="COMMERCIAL INVOICE"/>
    <n v="1526005577"/>
    <n v="1000005826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5907"/>
    <s v="02.05.2026"/>
  </r>
  <r>
    <n v="1115"/>
    <n v="1115"/>
    <n v="10"/>
    <n v="2"/>
    <s v="Three Wheelers"/>
    <s v="F2"/>
    <s v="COMMERCIAL INVOICE"/>
    <n v="1526005579"/>
    <n v="1000005827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69534"/>
    <s v="02.05.2026"/>
  </r>
  <r>
    <n v="1115"/>
    <n v="1115"/>
    <n v="10"/>
    <n v="2"/>
    <s v="Three Wheelers"/>
    <s v="F2"/>
    <s v="COMMERCIAL INVOICE"/>
    <n v="1526005583"/>
    <n v="1000005828"/>
    <m/>
    <m/>
    <x v="2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352"/>
    <s v="EA"/>
    <n v="290.89999999999998"/>
    <s v="INR"/>
    <n v="102396.8"/>
    <n v="0"/>
    <n v="102396.8"/>
    <n v="0"/>
    <n v="0"/>
    <n v="0"/>
    <n v="0"/>
    <n v="102396.8"/>
    <n v="0"/>
    <n v="0"/>
    <n v="0"/>
    <n v="0"/>
    <n v="0"/>
    <n v="0"/>
    <n v="0"/>
    <n v="0"/>
    <n v="102396.8"/>
    <n v="0"/>
    <n v="0"/>
    <n v="311000"/>
    <s v="SALE FINISHED GOODS"/>
    <n v="4.5"/>
    <n v="4.5"/>
    <n v="0"/>
    <s v="AZ111331"/>
    <n v="1511"/>
    <s v="FG Loose 3WH"/>
    <n v="5094071055"/>
    <s v="03.05.2026"/>
  </r>
  <r>
    <n v="1115"/>
    <n v="1115"/>
    <n v="10"/>
    <n v="2"/>
    <s v="Three Wheelers"/>
    <s v="F2"/>
    <s v="COMMERCIAL INVOICE"/>
    <n v="1526005584"/>
    <n v="1000005829"/>
    <m/>
    <m/>
    <x v="2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n v="5094071060"/>
    <s v="03.05.2026"/>
  </r>
  <r>
    <n v="1115"/>
    <n v="1115"/>
    <n v="10"/>
    <n v="2"/>
    <s v="Three Wheelers"/>
    <s v="F2"/>
    <s v="COMMERCIAL INVOICE"/>
    <n v="1526005585"/>
    <n v="1000005830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275"/>
    <s v="03.05.2026"/>
  </r>
  <r>
    <n v="1115"/>
    <n v="1115"/>
    <n v="10"/>
    <n v="2"/>
    <s v="Three Wheelers"/>
    <s v="F2"/>
    <s v="COMMERCIAL INVOICE"/>
    <n v="1526005586"/>
    <n v="1000005831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056"/>
    <s v="03.05.2026"/>
  </r>
  <r>
    <n v="1115"/>
    <n v="1115"/>
    <n v="10"/>
    <n v="2"/>
    <s v="Three Wheelers"/>
    <s v="F2"/>
    <s v="COMMERCIAL INVOICE"/>
    <n v="1526005555"/>
    <n v="1000005805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52"/>
    <n v="1000005804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51"/>
    <n v="1000005803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50"/>
    <n v="1000005802"/>
    <m/>
    <m/>
    <x v="2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066144"/>
    <s v="02.05.2026"/>
  </r>
  <r>
    <n v="1115"/>
    <n v="1115"/>
    <n v="10"/>
    <n v="2"/>
    <s v="Three Wheelers"/>
    <s v="F2"/>
    <s v="COMMERCIAL INVOICE"/>
    <n v="1526005549"/>
    <n v="1000005801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48"/>
    <n v="1000005800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47"/>
    <n v="1000005798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46"/>
    <n v="1000005796"/>
    <m/>
    <m/>
    <x v="2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070971"/>
    <s v="03.05.2026"/>
  </r>
  <r>
    <n v="1115"/>
    <n v="1115"/>
    <n v="10"/>
    <n v="2"/>
    <s v="Three Wheelers"/>
    <s v="F2"/>
    <s v="COMMERCIAL INVOICE"/>
    <n v="1526005545"/>
    <n v="1000005795"/>
    <m/>
    <m/>
    <x v="2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068433"/>
    <s v="02.05.2026"/>
  </r>
  <r>
    <n v="1115"/>
    <n v="1115"/>
    <n v="10"/>
    <n v="2"/>
    <s v="Three Wheelers"/>
    <s v="F2"/>
    <s v="COMMERCIAL INVOICE"/>
    <n v="1526005544"/>
    <n v="1000005791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064"/>
    <s v="03.05.2026"/>
  </r>
  <r>
    <n v="1115"/>
    <n v="1115"/>
    <n v="10"/>
    <n v="2"/>
    <s v="Three Wheelers"/>
    <s v="F2"/>
    <s v="COMMERCIAL INVOICE"/>
    <n v="1526005543"/>
    <n v="1000005790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42"/>
    <n v="1000005789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41"/>
    <n v="1000005788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68337"/>
    <s v="02.05.2026"/>
  </r>
  <r>
    <n v="1115"/>
    <n v="1115"/>
    <n v="10"/>
    <n v="2"/>
    <s v="Three Wheelers"/>
    <s v="F2"/>
    <s v="COMMERCIAL INVOICE"/>
    <n v="1526005540"/>
    <n v="1000005787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68445"/>
    <s v="02.05.2026"/>
  </r>
  <r>
    <n v="1115"/>
    <n v="1115"/>
    <n v="10"/>
    <n v="2"/>
    <s v="Three Wheelers"/>
    <s v="F2"/>
    <s v="COMMERCIAL INVOICE"/>
    <n v="1526005539"/>
    <n v="1000005786"/>
    <m/>
    <m/>
    <x v="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537"/>
    <n v="1000005783"/>
    <m/>
    <m/>
    <x v="2"/>
    <n v="5200000433"/>
    <s v="ZSPR"/>
    <s v="Spare Sales"/>
    <n v="4310040987"/>
    <s v="22.10.2020"/>
    <n v="5000"/>
    <s v="BAJAJ AUTO LIMITED (WALUJ)"/>
    <m/>
    <m/>
    <s v="27340676530V"/>
    <n v="1502040236"/>
    <s v="AF231720 TUBE ASSLY SUPPORT BACKREST"/>
    <x v="10"/>
    <n v="87082900"/>
    <n v="75"/>
    <s v="EA"/>
    <n v="134.19999999999999"/>
    <s v="INR"/>
    <n v="10065"/>
    <n v="0"/>
    <n v="10065"/>
    <n v="0"/>
    <n v="0"/>
    <n v="0"/>
    <n v="0"/>
    <n v="10065"/>
    <n v="0"/>
    <n v="0"/>
    <n v="0"/>
    <n v="0"/>
    <n v="0"/>
    <n v="0"/>
    <n v="0"/>
    <n v="0"/>
    <n v="10065"/>
    <n v="0"/>
    <n v="0"/>
    <n v="311000"/>
    <s v="SALE FINISHED GOODS"/>
    <n v="1.19"/>
    <n v="1.19"/>
    <n v="0"/>
    <s v="AF231720"/>
    <n v="1511"/>
    <s v="FG Loose 3WH"/>
    <n v="5094068156"/>
    <s v="02.05.2026"/>
  </r>
  <r>
    <n v="1115"/>
    <n v="1115"/>
    <n v="10"/>
    <n v="2"/>
    <s v="Three Wheelers"/>
    <s v="F2"/>
    <s v="COMMERCIAL INVOICE"/>
    <n v="1526005536"/>
    <n v="1000005782"/>
    <m/>
    <m/>
    <x v="2"/>
    <n v="5200000319"/>
    <s v="ZSPR"/>
    <s v="Spare Sales"/>
    <n v="4310001698"/>
    <s v="01.07.2017"/>
    <n v="5000"/>
    <s v="BAJAJ AUTO LIMITED (WALUJ)"/>
    <m/>
    <m/>
    <s v="27340676530V"/>
    <n v="1502040118"/>
    <s v="24231620 ASSY BACKREST SUPPORT TOP FL"/>
    <x v="10"/>
    <n v="87082900"/>
    <n v="45"/>
    <s v="EA"/>
    <n v="129.77000000000001"/>
    <s v="INR"/>
    <n v="5839.65"/>
    <n v="0"/>
    <n v="5839.65"/>
    <n v="0"/>
    <n v="0"/>
    <n v="0"/>
    <n v="0"/>
    <n v="5839.65"/>
    <n v="0"/>
    <n v="0"/>
    <n v="0"/>
    <n v="0"/>
    <n v="0"/>
    <n v="0"/>
    <n v="0"/>
    <n v="0"/>
    <n v="5839.65"/>
    <n v="0"/>
    <n v="0"/>
    <n v="311000"/>
    <s v="SALE FINISHED GOODS"/>
    <n v="1.256"/>
    <n v="1.256"/>
    <n v="0"/>
    <n v="24231620"/>
    <n v="1511"/>
    <s v="FG Loose 3WH"/>
    <n v="5094068155"/>
    <s v="02.05.2026"/>
  </r>
  <r>
    <n v="1115"/>
    <n v="1115"/>
    <n v="10"/>
    <n v="2"/>
    <s v="Three Wheelers"/>
    <s v="F2"/>
    <s v="COMMERCIAL INVOICE"/>
    <n v="1526005535"/>
    <n v="1000005781"/>
    <m/>
    <m/>
    <x v="2"/>
    <n v="5200000319"/>
    <s v="ZSPR"/>
    <s v="Spare Sales"/>
    <n v="4310001698"/>
    <s v="01.07.2017"/>
    <n v="5000"/>
    <s v="BAJAJ AUTO LIMITED (WALUJ)"/>
    <m/>
    <m/>
    <s v="27340676530V"/>
    <n v="1502040119"/>
    <s v="AZ621019 ASSEMBLY STARTING HANDLE FL"/>
    <x v="11"/>
    <n v="87082900"/>
    <n v="320"/>
    <s v="EA"/>
    <n v="164.33"/>
    <s v="INR"/>
    <n v="52585.599999999999"/>
    <n v="0"/>
    <n v="52585.599999999999"/>
    <n v="0"/>
    <n v="0"/>
    <n v="0"/>
    <n v="0"/>
    <n v="52585.599999999999"/>
    <n v="0"/>
    <n v="0"/>
    <n v="0"/>
    <n v="0"/>
    <n v="0"/>
    <n v="0"/>
    <n v="0"/>
    <n v="0"/>
    <n v="52585.599999999999"/>
    <n v="0"/>
    <n v="0"/>
    <n v="311000"/>
    <s v="SALE FINISHED GOODS"/>
    <n v="1.63"/>
    <n v="1.1020000000000001"/>
    <n v="0.52800000000000002"/>
    <s v="AZ621019"/>
    <n v="1511"/>
    <s v="FG Loose 3WH"/>
    <n v="5094096058"/>
    <s v="04.05.2026"/>
  </r>
  <r>
    <n v="1115"/>
    <n v="1115"/>
    <n v="10"/>
    <n v="2"/>
    <s v="Three Wheelers"/>
    <s v="F2"/>
    <s v="COMMERCIAL INVOICE"/>
    <n v="1526005533"/>
    <n v="1000005779"/>
    <m/>
    <m/>
    <x v="2"/>
    <n v="5200000328"/>
    <s v="ZSPR"/>
    <s v="Spare Sales"/>
    <n v="4310001699"/>
    <s v="01.07.2017"/>
    <n v="5000"/>
    <s v="BAJAJ AUTO LIMITED (WALUJ)"/>
    <m/>
    <m/>
    <s v="27340676530V"/>
    <n v="1502010019"/>
    <s v="GREASE CUP NUT"/>
    <x v="13"/>
    <n v="87082900"/>
    <n v="13600"/>
    <s v="EA"/>
    <n v="13.37"/>
    <s v="INR"/>
    <n v="181832"/>
    <n v="0"/>
    <n v="181832"/>
    <n v="0"/>
    <n v="0"/>
    <n v="0"/>
    <n v="0"/>
    <n v="181832"/>
    <n v="0"/>
    <n v="0"/>
    <n v="0"/>
    <n v="0"/>
    <n v="0"/>
    <n v="0"/>
    <n v="0"/>
    <n v="0"/>
    <n v="181832"/>
    <n v="0"/>
    <n v="0"/>
    <n v="311000"/>
    <s v="SALE FINISHED GOODS"/>
    <n v="7.0000000000000007E-2"/>
    <n v="4.2000000000000003E-2"/>
    <n v="2.8000000000000001E-2"/>
    <s v="AB171022"/>
    <n v="1508"/>
    <s v="FG Attached Vendor Components 3 WH"/>
    <n v="5094060356"/>
    <s v="02.05.2026"/>
  </r>
  <r>
    <n v="1115"/>
    <n v="1115"/>
    <n v="10"/>
    <n v="2"/>
    <s v="Three Wheelers"/>
    <s v="F2"/>
    <s v="COMMERCIAL INVOICE"/>
    <n v="1526005529"/>
    <n v="1000005776"/>
    <m/>
    <m/>
    <x v="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67532"/>
    <s v="02.05.2026"/>
  </r>
  <r>
    <n v="1115"/>
    <n v="1115"/>
    <n v="10"/>
    <n v="2"/>
    <s v="Three Wheelers"/>
    <s v="F2"/>
    <s v="COMMERCIAL INVOICE"/>
    <n v="1526005588"/>
    <n v="1000005834"/>
    <m/>
    <m/>
    <x v="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62738"/>
    <s v="02.05.2026"/>
  </r>
  <r>
    <n v="1115"/>
    <n v="1115"/>
    <n v="10"/>
    <n v="2"/>
    <s v="Three Wheelers"/>
    <s v="F2"/>
    <s v="COMMERCIAL INVOICE"/>
    <n v="1526005632"/>
    <n v="1000005879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706"/>
    <s v="03.05.2026"/>
  </r>
  <r>
    <n v="1115"/>
    <n v="1115"/>
    <n v="10"/>
    <n v="2"/>
    <s v="Three Wheelers"/>
    <s v="F2"/>
    <s v="COMMERCIAL INVOICE"/>
    <n v="1526005631"/>
    <n v="1000005878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571"/>
    <s v="03.05.2026"/>
  </r>
  <r>
    <n v="1115"/>
    <n v="1115"/>
    <n v="10"/>
    <n v="2"/>
    <s v="Three Wheelers"/>
    <s v="F2"/>
    <s v="COMMERCIAL INVOICE"/>
    <n v="1526005630"/>
    <n v="1000005877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552"/>
    <s v="03.05.2026"/>
  </r>
  <r>
    <n v="1115"/>
    <n v="1115"/>
    <n v="10"/>
    <n v="2"/>
    <s v="Three Wheelers"/>
    <s v="F2"/>
    <s v="COMMERCIAL INVOICE"/>
    <n v="1526005629"/>
    <n v="1000005876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616"/>
    <s v="03.05.2026"/>
  </r>
  <r>
    <n v="1115"/>
    <n v="1115"/>
    <n v="10"/>
    <n v="2"/>
    <s v="Three Wheelers"/>
    <s v="F2"/>
    <s v="COMMERCIAL INVOICE"/>
    <n v="1526005628"/>
    <n v="1000005875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539"/>
    <s v="03.05.2026"/>
  </r>
  <r>
    <n v="1115"/>
    <n v="1115"/>
    <n v="10"/>
    <n v="2"/>
    <s v="Three Wheelers"/>
    <s v="F2"/>
    <s v="COMMERCIAL INVOICE"/>
    <n v="1526005627"/>
    <n v="1000005874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334"/>
    <s v="03.05.2026"/>
  </r>
  <r>
    <n v="1115"/>
    <n v="1115"/>
    <n v="10"/>
    <n v="2"/>
    <s v="Three Wheelers"/>
    <s v="F2"/>
    <s v="COMMERCIAL INVOICE"/>
    <n v="1526005626"/>
    <n v="1000005873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554"/>
    <s v="03.05.2026"/>
  </r>
  <r>
    <n v="1115"/>
    <n v="1115"/>
    <n v="10"/>
    <n v="2"/>
    <s v="Three Wheelers"/>
    <s v="F2"/>
    <s v="COMMERCIAL INVOICE"/>
    <n v="1526005625"/>
    <n v="1000005872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330"/>
    <s v="03.05.2026"/>
  </r>
  <r>
    <n v="1115"/>
    <n v="1115"/>
    <n v="10"/>
    <n v="2"/>
    <s v="Three Wheelers"/>
    <s v="F2"/>
    <s v="COMMERCIAL INVOICE"/>
    <n v="1526005624"/>
    <n v="1000005871"/>
    <m/>
    <m/>
    <x v="2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066246"/>
    <s v="02.05.2026"/>
  </r>
  <r>
    <n v="1115"/>
    <n v="1115"/>
    <n v="10"/>
    <n v="2"/>
    <s v="Three Wheelers"/>
    <s v="F2"/>
    <s v="COMMERCIAL INVOICE"/>
    <n v="1526005623"/>
    <n v="1000005870"/>
    <m/>
    <m/>
    <x v="2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085351"/>
    <s v="04.05.2026"/>
  </r>
  <r>
    <n v="1115"/>
    <n v="1115"/>
    <n v="10"/>
    <n v="2"/>
    <s v="Three Wheelers"/>
    <s v="F2"/>
    <s v="COMMERCIAL INVOICE"/>
    <n v="1526005622"/>
    <n v="1000005869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69561"/>
    <s v="02.05.2026"/>
  </r>
  <r>
    <n v="1115"/>
    <n v="1115"/>
    <n v="10"/>
    <n v="2"/>
    <s v="Three Wheelers"/>
    <s v="F2"/>
    <s v="COMMERCIAL INVOICE"/>
    <n v="1526005621"/>
    <n v="1000005868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69569"/>
    <s v="02.05.2026"/>
  </r>
  <r>
    <n v="1115"/>
    <n v="1115"/>
    <n v="10"/>
    <n v="2"/>
    <s v="Three Wheelers"/>
    <s v="F2"/>
    <s v="COMMERCIAL INVOICE"/>
    <n v="1526005620"/>
    <n v="1000005867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69514"/>
    <s v="02.05.2026"/>
  </r>
  <r>
    <n v="1115"/>
    <n v="1115"/>
    <n v="10"/>
    <n v="2"/>
    <s v="Three Wheelers"/>
    <s v="F2"/>
    <s v="COMMERCIAL INVOICE"/>
    <n v="1526005619"/>
    <n v="1000005866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71416"/>
    <s v="03.05.2026"/>
  </r>
  <r>
    <n v="1115"/>
    <n v="1115"/>
    <n v="10"/>
    <n v="2"/>
    <s v="Three Wheelers"/>
    <s v="F2"/>
    <s v="COMMERCIAL INVOICE"/>
    <n v="1526005618"/>
    <n v="1000005865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6"/>
    <s v="EA"/>
    <n v="6570.77"/>
    <s v="INR"/>
    <n v="39424.620000000003"/>
    <n v="0"/>
    <n v="39424.620000000003"/>
    <n v="0"/>
    <n v="0"/>
    <n v="0"/>
    <n v="0"/>
    <n v="39424.620000000003"/>
    <n v="0"/>
    <n v="0"/>
    <n v="0"/>
    <n v="0"/>
    <n v="0"/>
    <n v="0"/>
    <n v="0"/>
    <n v="0"/>
    <n v="39424.620000000003"/>
    <n v="0"/>
    <n v="0"/>
    <n v="311000"/>
    <s v="SALE FINISHED GOODS"/>
    <n v="49.75"/>
    <n v="49.75"/>
    <n v="0"/>
    <s v="52AU0123"/>
    <n v="1509"/>
    <s v="FG Body"/>
    <n v="5094071306"/>
    <s v="03.05.2026"/>
  </r>
  <r>
    <n v="1115"/>
    <n v="1115"/>
    <n v="10"/>
    <n v="2"/>
    <s v="Three Wheelers"/>
    <s v="F2"/>
    <s v="COMMERCIAL INVOICE"/>
    <n v="1526005617"/>
    <n v="1000005864"/>
    <m/>
    <m/>
    <x v="2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960"/>
    <s v="EA"/>
    <n v="174.11"/>
    <s v="INR"/>
    <n v="167145.60000000001"/>
    <n v="0"/>
    <n v="167145.60000000001"/>
    <n v="0"/>
    <n v="0"/>
    <n v="0"/>
    <n v="0"/>
    <n v="167145.60000000001"/>
    <n v="0"/>
    <n v="0"/>
    <n v="0"/>
    <n v="0"/>
    <n v="0"/>
    <n v="0"/>
    <n v="0"/>
    <n v="0"/>
    <n v="167145.60000000001"/>
    <n v="0"/>
    <n v="0"/>
    <n v="311000"/>
    <s v="SALE FINISHED GOODS"/>
    <n v="2.573"/>
    <n v="1.4910000000000001"/>
    <n v="1.0820000000000001"/>
    <s v="AA161289"/>
    <n v="1511"/>
    <s v="FG Loose 3WH"/>
    <n v="5094071307"/>
    <s v="03.05.2026"/>
  </r>
  <r>
    <n v="1115"/>
    <n v="1115"/>
    <n v="10"/>
    <n v="2"/>
    <s v="Three Wheelers"/>
    <s v="F2"/>
    <s v="COMMERCIAL INVOICE"/>
    <n v="1526005615"/>
    <n v="1000005862"/>
    <m/>
    <m/>
    <x v="2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576"/>
    <s v="EA"/>
    <n v="134.19999999999999"/>
    <s v="INR"/>
    <n v="77299.199999999997"/>
    <n v="0"/>
    <n v="77299.199999999997"/>
    <n v="0"/>
    <n v="0"/>
    <n v="0"/>
    <n v="0"/>
    <n v="77299.199999999997"/>
    <n v="0"/>
    <n v="0"/>
    <n v="0"/>
    <n v="0"/>
    <n v="0"/>
    <n v="0"/>
    <n v="0"/>
    <n v="0"/>
    <n v="77299.199999999997"/>
    <n v="0"/>
    <n v="0"/>
    <n v="311000"/>
    <s v="SALE FINISHED GOODS"/>
    <n v="1.19"/>
    <n v="1.19"/>
    <n v="0"/>
    <s v="AF231720"/>
    <n v="1511"/>
    <s v="FG Loose 3WH"/>
    <n v="5094066698"/>
    <s v="02.05.2026"/>
  </r>
  <r>
    <n v="1115"/>
    <n v="1115"/>
    <n v="10"/>
    <n v="2"/>
    <s v="Three Wheelers"/>
    <s v="F2"/>
    <s v="COMMERCIAL INVOICE"/>
    <n v="1526005614"/>
    <n v="1000005861"/>
    <m/>
    <m/>
    <x v="2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064971"/>
    <s v="02.05.2026"/>
  </r>
  <r>
    <n v="1115"/>
    <n v="1115"/>
    <n v="10"/>
    <n v="2"/>
    <s v="Three Wheelers"/>
    <s v="F2"/>
    <s v="COMMERCIAL INVOICE"/>
    <n v="1526005613"/>
    <n v="1000005860"/>
    <m/>
    <m/>
    <x v="2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064969"/>
    <s v="02.05.2026"/>
  </r>
  <r>
    <n v="1115"/>
    <n v="1115"/>
    <n v="10"/>
    <n v="2"/>
    <s v="Three Wheelers"/>
    <s v="F2"/>
    <s v="COMMERCIAL INVOICE"/>
    <n v="1526005612"/>
    <n v="1000005859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6086"/>
    <s v="02.05.2026"/>
  </r>
  <r>
    <n v="1115"/>
    <n v="1115"/>
    <n v="10"/>
    <n v="2"/>
    <s v="Three Wheelers"/>
    <s v="F2"/>
    <s v="COMMERCIAL INVOICE"/>
    <n v="1526005611"/>
    <n v="1000005858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9994"/>
    <s v="03.05.2026"/>
  </r>
  <r>
    <n v="1115"/>
    <n v="1115"/>
    <n v="10"/>
    <n v="2"/>
    <s v="Three Wheelers"/>
    <s v="F2"/>
    <s v="COMMERCIAL INVOICE"/>
    <n v="1526005610"/>
    <n v="1000005857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9952"/>
    <s v="03.05.2026"/>
  </r>
  <r>
    <n v="1115"/>
    <n v="1115"/>
    <n v="10"/>
    <n v="2"/>
    <s v="Three Wheelers"/>
    <s v="F2"/>
    <s v="COMMERCIAL INVOICE"/>
    <n v="1526005609"/>
    <n v="1000005856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9563"/>
    <s v="02.05.2026"/>
  </r>
  <r>
    <n v="1115"/>
    <n v="1115"/>
    <n v="10"/>
    <n v="2"/>
    <s v="Three Wheelers"/>
    <s v="F2"/>
    <s v="COMMERCIAL INVOICE"/>
    <n v="1526005608"/>
    <n v="1000005854"/>
    <m/>
    <m/>
    <x v="2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6"/>
    <s v="EA"/>
    <n v="6500.18"/>
    <s v="INR"/>
    <n v="39001.08"/>
    <n v="0"/>
    <n v="39001.08"/>
    <n v="0"/>
    <n v="0"/>
    <n v="0"/>
    <n v="0"/>
    <n v="39001.08"/>
    <n v="0"/>
    <n v="0"/>
    <n v="0"/>
    <n v="0"/>
    <n v="0"/>
    <n v="0"/>
    <n v="0"/>
    <n v="0"/>
    <n v="39001.08"/>
    <n v="0"/>
    <n v="0"/>
    <n v="311000"/>
    <s v="SALE FINISHED GOODS"/>
    <n v="0"/>
    <n v="0"/>
    <n v="0"/>
    <s v="52AU0352"/>
    <n v="1509"/>
    <s v="FG Body"/>
    <n v="5094071274"/>
    <s v="03.05.2026"/>
  </r>
  <r>
    <n v="1115"/>
    <n v="1115"/>
    <n v="10"/>
    <n v="2"/>
    <s v="Three Wheelers"/>
    <s v="F2"/>
    <s v="COMMERCIAL INVOICE"/>
    <n v="1526005607"/>
    <n v="1000005853"/>
    <m/>
    <m/>
    <x v="2"/>
    <n v="5100001935"/>
    <s v="ZSCH"/>
    <s v="Normal Sales"/>
    <n v="4110059361"/>
    <s v="11.03.2025"/>
    <n v="5000"/>
    <s v="BAJAJ AUTO LIMITED (WALUJ)"/>
    <m/>
    <m/>
    <s v="27340676530V"/>
    <n v="1502020125"/>
    <s v="52AF1050 BODY ASSLY RE AIR COOLED BI-FUE"/>
    <x v="1"/>
    <n v="87082900"/>
    <n v="9"/>
    <s v="EA"/>
    <n v="6435.33"/>
    <s v="INR"/>
    <n v="57917.97"/>
    <n v="0"/>
    <n v="57917.97"/>
    <n v="0"/>
    <n v="0"/>
    <n v="0"/>
    <n v="0"/>
    <n v="57917.97"/>
    <n v="0"/>
    <n v="0"/>
    <n v="0"/>
    <n v="0"/>
    <n v="0"/>
    <n v="0"/>
    <n v="0"/>
    <n v="0"/>
    <n v="57917.97"/>
    <n v="0"/>
    <n v="0"/>
    <n v="311000"/>
    <s v="SALE FINISHED GOODS"/>
    <n v="0"/>
    <n v="0"/>
    <n v="0"/>
    <s v="52AF1050"/>
    <n v="1509"/>
    <s v="FG Body"/>
    <n v="5094071273"/>
    <s v="03.05.2026"/>
  </r>
  <r>
    <n v="1115"/>
    <n v="1115"/>
    <n v="10"/>
    <n v="2"/>
    <s v="Three Wheelers"/>
    <s v="F2"/>
    <s v="COMMERCIAL INVOICE"/>
    <n v="1526005605"/>
    <n v="1000005851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9549"/>
    <s v="02.05.2026"/>
  </r>
  <r>
    <n v="1115"/>
    <n v="1115"/>
    <n v="10"/>
    <n v="2"/>
    <s v="Three Wheelers"/>
    <s v="F2"/>
    <s v="COMMERCIAL INVOICE"/>
    <n v="1526005604"/>
    <n v="1000005850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9482"/>
    <s v="02.05.2026"/>
  </r>
  <r>
    <n v="1115"/>
    <n v="1115"/>
    <n v="10"/>
    <n v="2"/>
    <s v="Three Wheelers"/>
    <s v="F2"/>
    <s v="COMMERCIAL INVOICE"/>
    <n v="1526005603"/>
    <n v="1000005849"/>
    <m/>
    <m/>
    <x v="2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64399"/>
    <s v="02.05.2026"/>
  </r>
  <r>
    <n v="1115"/>
    <n v="1115"/>
    <n v="10"/>
    <n v="2"/>
    <s v="Three Wheelers"/>
    <s v="F2"/>
    <s v="COMMERCIAL INVOICE"/>
    <n v="1526005601"/>
    <n v="1000005847"/>
    <m/>
    <m/>
    <x v="2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67334"/>
    <s v="02.05.2026"/>
  </r>
  <r>
    <n v="1115"/>
    <n v="1115"/>
    <n v="10"/>
    <n v="2"/>
    <s v="Three Wheelers"/>
    <s v="F2"/>
    <s v="COMMERCIAL INVOICE"/>
    <n v="1526005600"/>
    <n v="1000005846"/>
    <m/>
    <m/>
    <x v="2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66044"/>
    <s v="02.05.2026"/>
  </r>
  <r>
    <n v="1115"/>
    <n v="1115"/>
    <n v="10"/>
    <n v="2"/>
    <s v="Three Wheelers"/>
    <s v="F2"/>
    <s v="COMMERCIAL INVOICE"/>
    <n v="1526005599"/>
    <n v="1000005845"/>
    <m/>
    <m/>
    <x v="2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720"/>
    <s v="EA"/>
    <n v="134.19999999999999"/>
    <s v="INR"/>
    <n v="96624"/>
    <n v="0"/>
    <n v="96624"/>
    <n v="0"/>
    <n v="0"/>
    <n v="0"/>
    <n v="0"/>
    <n v="96624"/>
    <n v="0"/>
    <n v="0"/>
    <n v="0"/>
    <n v="0"/>
    <n v="0"/>
    <n v="0"/>
    <n v="0"/>
    <n v="0"/>
    <n v="96624"/>
    <n v="0"/>
    <n v="0"/>
    <n v="311000"/>
    <s v="SALE FINISHED GOODS"/>
    <n v="1.19"/>
    <n v="1.19"/>
    <n v="0"/>
    <s v="AF231720"/>
    <n v="1511"/>
    <s v="FG Loose 3WH"/>
    <n v="5094063084"/>
    <s v="02.05.2026"/>
  </r>
  <r>
    <n v="1115"/>
    <n v="1115"/>
    <n v="10"/>
    <n v="2"/>
    <s v="Three Wheelers"/>
    <s v="F2"/>
    <s v="COMMERCIAL INVOICE"/>
    <n v="1526005598"/>
    <n v="1000005844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4421"/>
    <s v="02.05.2026"/>
  </r>
  <r>
    <n v="1115"/>
    <n v="1115"/>
    <n v="10"/>
    <n v="2"/>
    <s v="Three Wheelers"/>
    <s v="F2"/>
    <s v="COMMERCIAL INVOICE"/>
    <n v="1526005597"/>
    <n v="1000005843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4747"/>
    <s v="02.05.2026"/>
  </r>
  <r>
    <n v="1115"/>
    <n v="1115"/>
    <n v="10"/>
    <n v="2"/>
    <s v="Three Wheelers"/>
    <s v="F2"/>
    <s v="COMMERCIAL INVOICE"/>
    <n v="1526005596"/>
    <n v="1000005842"/>
    <m/>
    <m/>
    <x v="2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64743"/>
    <s v="02.05.2026"/>
  </r>
  <r>
    <n v="1115"/>
    <n v="1115"/>
    <n v="10"/>
    <n v="2"/>
    <s v="Three Wheelers"/>
    <s v="F2"/>
    <s v="COMMERCIAL INVOICE"/>
    <n v="1526005593"/>
    <n v="1000005839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308"/>
    <s v="03.05.2026"/>
  </r>
  <r>
    <n v="1115"/>
    <n v="1115"/>
    <n v="10"/>
    <n v="2"/>
    <s v="Three Wheelers"/>
    <s v="F2"/>
    <s v="COMMERCIAL INVOICE"/>
    <n v="1526005592"/>
    <n v="1000005838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039"/>
    <s v="03.05.2026"/>
  </r>
  <r>
    <n v="1115"/>
    <n v="1115"/>
    <n v="10"/>
    <n v="2"/>
    <s v="Three Wheelers"/>
    <s v="F2"/>
    <s v="COMMERCIAL INVOICE"/>
    <n v="1526005591"/>
    <n v="1000005837"/>
    <m/>
    <m/>
    <x v="2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060668"/>
    <s v="02.05.2026"/>
  </r>
  <r>
    <n v="1115"/>
    <n v="1115"/>
    <n v="10"/>
    <n v="2"/>
    <s v="Three Wheelers"/>
    <s v="F2"/>
    <s v="COMMERCIAL INVOICE"/>
    <n v="1526005590"/>
    <n v="1000005836"/>
    <m/>
    <m/>
    <x v="2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060801"/>
    <s v="02.05.2026"/>
  </r>
  <r>
    <n v="1115"/>
    <n v="1115"/>
    <n v="10"/>
    <n v="2"/>
    <s v="Three Wheelers"/>
    <s v="F2"/>
    <s v="COMMERCIAL INVOICE"/>
    <n v="1526005589"/>
    <n v="1000005835"/>
    <m/>
    <m/>
    <x v="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65655"/>
    <s v="02.05.2026"/>
  </r>
  <r>
    <n v="1115"/>
    <n v="1115"/>
    <n v="10"/>
    <n v="2"/>
    <s v="Three Wheelers"/>
    <s v="F2"/>
    <s v="COMMERCIAL INVOICE"/>
    <n v="1526005528"/>
    <n v="1000005774"/>
    <m/>
    <m/>
    <x v="2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7.85"/>
    <s v="INR"/>
    <n v="60942"/>
    <n v="0"/>
    <n v="60942"/>
    <n v="0"/>
    <n v="0"/>
    <n v="0"/>
    <n v="0"/>
    <n v="60942"/>
    <n v="0"/>
    <n v="0"/>
    <n v="0"/>
    <n v="0"/>
    <n v="0"/>
    <n v="0"/>
    <n v="0"/>
    <n v="0"/>
    <n v="60942"/>
    <n v="0"/>
    <n v="0"/>
    <n v="311000"/>
    <s v="SALE FINISHED GOODS"/>
    <n v="2.27"/>
    <n v="2.27"/>
    <n v="0"/>
    <s v="52BA0833"/>
    <n v="1511"/>
    <s v="FG Loose 3WH"/>
    <n v="5094058839"/>
    <s v="02.05.2026"/>
  </r>
  <r>
    <n v="1115"/>
    <n v="1115"/>
    <n v="10"/>
    <n v="2"/>
    <s v="Three Wheelers"/>
    <s v="F2"/>
    <s v="COMMERCIAL INVOICE"/>
    <n v="1526005484"/>
    <n v="1000005717"/>
    <m/>
    <m/>
    <x v="2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067639"/>
    <s v="02.05.2026"/>
  </r>
  <r>
    <n v="1115"/>
    <n v="1115"/>
    <n v="10"/>
    <n v="2"/>
    <s v="Three Wheelers"/>
    <s v="F2"/>
    <s v="COMMERCIAL INVOICE"/>
    <n v="1526005483"/>
    <n v="1000005716"/>
    <m/>
    <m/>
    <x v="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59308"/>
    <s v="02.05.2026"/>
  </r>
  <r>
    <n v="1115"/>
    <n v="1115"/>
    <n v="10"/>
    <n v="2"/>
    <s v="Three Wheelers"/>
    <s v="F2"/>
    <s v="COMMERCIAL INVOICE"/>
    <n v="1526005482"/>
    <n v="1000005715"/>
    <m/>
    <m/>
    <x v="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53233"/>
    <s v="02.05.2026"/>
  </r>
  <r>
    <n v="1115"/>
    <n v="1115"/>
    <n v="10"/>
    <n v="2"/>
    <s v="Three Wheelers"/>
    <s v="F2"/>
    <s v="COMMERCIAL INVOICE"/>
    <n v="1526005481"/>
    <n v="1000005714"/>
    <m/>
    <m/>
    <x v="3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240"/>
    <s v="EA"/>
    <n v="291.27999999999997"/>
    <s v="INR"/>
    <n v="69907.199999999997"/>
    <n v="0"/>
    <n v="69907.199999999997"/>
    <n v="0"/>
    <n v="0"/>
    <n v="0"/>
    <n v="0"/>
    <n v="69907.199999999997"/>
    <n v="0"/>
    <n v="0"/>
    <n v="0"/>
    <n v="0"/>
    <n v="0"/>
    <n v="0"/>
    <n v="0"/>
    <n v="0"/>
    <n v="69907.199999999997"/>
    <n v="0"/>
    <n v="0"/>
    <n v="311000"/>
    <s v="SALE FINISHED GOODS"/>
    <n v="2.37"/>
    <n v="2.37"/>
    <n v="0"/>
    <s v="AH115161"/>
    <n v="1511"/>
    <s v="FG Loose 3WH"/>
    <n v="5094070110"/>
    <s v="03.05.2026"/>
  </r>
  <r>
    <n v="1115"/>
    <n v="1115"/>
    <n v="10"/>
    <n v="2"/>
    <s v="Three Wheelers"/>
    <s v="F2"/>
    <s v="COMMERCIAL INVOICE"/>
    <n v="1526005480"/>
    <n v="1000005713"/>
    <m/>
    <m/>
    <x v="3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160"/>
    <s v="EA"/>
    <n v="290.89999999999998"/>
    <s v="INR"/>
    <n v="46544"/>
    <n v="0"/>
    <n v="46544"/>
    <n v="0"/>
    <n v="0"/>
    <n v="0"/>
    <n v="0"/>
    <n v="46544"/>
    <n v="0"/>
    <n v="0"/>
    <n v="0"/>
    <n v="0"/>
    <n v="0"/>
    <n v="0"/>
    <n v="0"/>
    <n v="0"/>
    <n v="46544"/>
    <n v="0"/>
    <n v="0"/>
    <n v="311000"/>
    <s v="SALE FINISHED GOODS"/>
    <n v="4.5"/>
    <n v="4.5"/>
    <n v="0"/>
    <s v="AZ111331"/>
    <n v="1511"/>
    <s v="FG Loose 3WH"/>
    <n v="5094069294"/>
    <s v="02.05.2026"/>
  </r>
  <r>
    <n v="1115"/>
    <n v="1115"/>
    <n v="10"/>
    <n v="2"/>
    <s v="Three Wheelers"/>
    <s v="F2"/>
    <s v="COMMERCIAL INVOICE"/>
    <n v="1526005479"/>
    <n v="1000005712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681"/>
    <s v="02.05.2026"/>
  </r>
  <r>
    <n v="1115"/>
    <n v="1115"/>
    <n v="10"/>
    <n v="2"/>
    <s v="Three Wheelers"/>
    <s v="F2"/>
    <s v="COMMERCIAL INVOICE"/>
    <n v="1526005478"/>
    <n v="1000005711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4971"/>
    <s v="02.05.2026"/>
  </r>
  <r>
    <n v="1115"/>
    <n v="1115"/>
    <n v="10"/>
    <n v="2"/>
    <s v="Three Wheelers"/>
    <s v="F2"/>
    <s v="COMMERCIAL INVOICE"/>
    <n v="1526005477"/>
    <n v="1000005710"/>
    <m/>
    <m/>
    <x v="3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0237"/>
    <s v="03.05.2026"/>
  </r>
  <r>
    <n v="1115"/>
    <n v="1115"/>
    <n v="10"/>
    <n v="2"/>
    <s v="Three Wheelers"/>
    <s v="F2"/>
    <s v="COMMERCIAL INVOICE"/>
    <n v="1526005476"/>
    <n v="1000005709"/>
    <m/>
    <m/>
    <x v="3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68626"/>
    <s v="02.05.2026"/>
  </r>
  <r>
    <n v="1115"/>
    <n v="1115"/>
    <n v="10"/>
    <n v="2"/>
    <s v="Three Wheelers"/>
    <s v="F2"/>
    <s v="COMMERCIAL INVOICE"/>
    <n v="1526005475"/>
    <n v="1000005708"/>
    <m/>
    <m/>
    <x v="3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070736"/>
    <s v="03.05.2026"/>
  </r>
  <r>
    <n v="1115"/>
    <n v="1115"/>
    <n v="10"/>
    <n v="2"/>
    <s v="Three Wheelers"/>
    <s v="F2"/>
    <s v="COMMERCIAL INVOICE"/>
    <n v="1526005474"/>
    <n v="1000005707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1231"/>
    <s v="02.05.2026"/>
  </r>
  <r>
    <n v="1115"/>
    <n v="1115"/>
    <n v="10"/>
    <n v="2"/>
    <s v="Three Wheelers"/>
    <s v="F2"/>
    <s v="COMMERCIAL INVOICE"/>
    <n v="1526005473"/>
    <n v="1000005706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1229"/>
    <s v="02.05.2026"/>
  </r>
  <r>
    <n v="1115"/>
    <n v="1115"/>
    <n v="10"/>
    <n v="2"/>
    <s v="Three Wheelers"/>
    <s v="F2"/>
    <s v="COMMERCIAL INVOICE"/>
    <n v="1526005472"/>
    <n v="1000005705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0843"/>
    <s v="02.05.2026"/>
  </r>
  <r>
    <n v="1115"/>
    <n v="1115"/>
    <n v="10"/>
    <n v="2"/>
    <s v="Three Wheelers"/>
    <s v="F2"/>
    <s v="COMMERCIAL INVOICE"/>
    <n v="1526005471"/>
    <n v="1000005704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4916"/>
    <s v="02.05.2026"/>
  </r>
  <r>
    <n v="1115"/>
    <n v="1115"/>
    <n v="10"/>
    <n v="2"/>
    <s v="Three Wheelers"/>
    <s v="F2"/>
    <s v="COMMERCIAL INVOICE"/>
    <n v="1526005470"/>
    <n v="1000005703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644"/>
    <s v="02.05.2026"/>
  </r>
  <r>
    <n v="1115"/>
    <n v="1115"/>
    <n v="10"/>
    <n v="2"/>
    <s v="Three Wheelers"/>
    <s v="F2"/>
    <s v="COMMERCIAL INVOICE"/>
    <n v="1526005469"/>
    <n v="1000005702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679"/>
    <s v="02.05.2026"/>
  </r>
  <r>
    <n v="1115"/>
    <n v="1115"/>
    <n v="10"/>
    <n v="2"/>
    <s v="Three Wheelers"/>
    <s v="F2"/>
    <s v="COMMERCIAL INVOICE"/>
    <n v="1526005468"/>
    <n v="1000005701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4912"/>
    <s v="02.05.2026"/>
  </r>
  <r>
    <n v="1115"/>
    <n v="1115"/>
    <n v="10"/>
    <n v="2"/>
    <s v="Three Wheelers"/>
    <s v="F2"/>
    <s v="COMMERCIAL INVOICE"/>
    <n v="1526005467"/>
    <n v="1000005700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666"/>
    <s v="02.05.2026"/>
  </r>
  <r>
    <n v="1115"/>
    <n v="1115"/>
    <n v="10"/>
    <n v="2"/>
    <s v="Three Wheelers"/>
    <s v="F2"/>
    <s v="COMMERCIAL INVOICE"/>
    <n v="1526005466"/>
    <n v="1000005699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4880"/>
    <s v="02.05.2026"/>
  </r>
  <r>
    <n v="1115"/>
    <n v="1115"/>
    <n v="10"/>
    <n v="2"/>
    <s v="Three Wheelers"/>
    <s v="F2"/>
    <s v="COMMERCIAL INVOICE"/>
    <n v="1526005465"/>
    <n v="1000005698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4743"/>
    <s v="02.05.2026"/>
  </r>
  <r>
    <n v="1115"/>
    <n v="1115"/>
    <n v="10"/>
    <n v="2"/>
    <s v="Three Wheelers"/>
    <s v="F2"/>
    <s v="COMMERCIAL INVOICE"/>
    <n v="1526005464"/>
    <n v="1000005697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670"/>
    <s v="02.05.2026"/>
  </r>
  <r>
    <n v="1115"/>
    <n v="1115"/>
    <n v="10"/>
    <n v="2"/>
    <s v="Three Wheelers"/>
    <s v="F2"/>
    <s v="COMMERCIAL INVOICE"/>
    <n v="1526005463"/>
    <n v="1000005696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4741"/>
    <s v="02.05.2026"/>
  </r>
  <r>
    <n v="1115"/>
    <n v="1115"/>
    <n v="10"/>
    <n v="2"/>
    <s v="Three Wheelers"/>
    <s v="F2"/>
    <s v="COMMERCIAL INVOICE"/>
    <n v="1526005462"/>
    <n v="1000005695"/>
    <m/>
    <m/>
    <x v="3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9"/>
    <s v="EA"/>
    <n v="6500.18"/>
    <s v="INR"/>
    <n v="58501.62"/>
    <n v="0"/>
    <n v="58501.62"/>
    <n v="0"/>
    <n v="0"/>
    <n v="0"/>
    <n v="0"/>
    <n v="58501.62"/>
    <n v="0"/>
    <n v="0"/>
    <n v="0"/>
    <n v="0"/>
    <n v="0"/>
    <n v="0"/>
    <n v="0"/>
    <n v="0"/>
    <n v="58501.62"/>
    <n v="0"/>
    <n v="0"/>
    <n v="311000"/>
    <s v="SALE FINISHED GOODS"/>
    <n v="0"/>
    <n v="0"/>
    <n v="0"/>
    <s v="52AU0352"/>
    <n v="1509"/>
    <s v="FG Body"/>
    <n v="5094070265"/>
    <s v="03.05.2026"/>
  </r>
  <r>
    <n v="1115"/>
    <n v="1115"/>
    <n v="10"/>
    <n v="2"/>
    <s v="Three Wheelers"/>
    <s v="F2"/>
    <s v="COMMERCIAL INVOICE"/>
    <n v="1526005461"/>
    <n v="1000005694"/>
    <m/>
    <m/>
    <x v="3"/>
    <n v="5100001935"/>
    <s v="ZSCH"/>
    <s v="Normal Sales"/>
    <n v="4110059361"/>
    <s v="11.03.2025"/>
    <n v="5000"/>
    <s v="BAJAJ AUTO LIMITED (WALUJ)"/>
    <m/>
    <m/>
    <s v="27340676530V"/>
    <n v="1502020125"/>
    <s v="52AF1050 BODY ASSLY RE AIR COOLED BI-FUE"/>
    <x v="1"/>
    <n v="87082900"/>
    <n v="6"/>
    <s v="EA"/>
    <n v="6435.33"/>
    <s v="INR"/>
    <n v="38611.980000000003"/>
    <n v="0"/>
    <n v="38611.980000000003"/>
    <n v="0"/>
    <n v="0"/>
    <n v="0"/>
    <n v="0"/>
    <n v="38611.980000000003"/>
    <n v="0"/>
    <n v="0"/>
    <n v="0"/>
    <n v="0"/>
    <n v="0"/>
    <n v="0"/>
    <n v="0"/>
    <n v="0"/>
    <n v="38611.980000000003"/>
    <n v="0"/>
    <n v="0"/>
    <n v="311000"/>
    <s v="SALE FINISHED GOODS"/>
    <n v="0"/>
    <n v="0"/>
    <n v="0"/>
    <s v="52AF1050"/>
    <n v="1509"/>
    <s v="FG Body"/>
    <n v="5094070310"/>
    <s v="03.05.2026"/>
  </r>
  <r>
    <n v="1115"/>
    <n v="1115"/>
    <n v="10"/>
    <n v="2"/>
    <s v="Three Wheelers"/>
    <s v="F2"/>
    <s v="COMMERCIAL INVOICE"/>
    <n v="1526005460"/>
    <n v="1000005693"/>
    <m/>
    <m/>
    <x v="3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053642"/>
    <s v="02.05.2026"/>
  </r>
  <r>
    <n v="1115"/>
    <n v="1115"/>
    <n v="10"/>
    <n v="2"/>
    <s v="Three Wheelers"/>
    <s v="F2"/>
    <s v="COMMERCIAL INVOICE"/>
    <n v="1526005459"/>
    <n v="1000005692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8"/>
    <s v="EA"/>
    <n v="9566.51"/>
    <s v="INR"/>
    <n v="76532.08"/>
    <n v="0"/>
    <n v="76532.08"/>
    <n v="0"/>
    <n v="0"/>
    <n v="0"/>
    <n v="0"/>
    <n v="76532.08"/>
    <n v="0"/>
    <n v="0"/>
    <n v="0"/>
    <n v="0"/>
    <n v="0"/>
    <n v="0"/>
    <n v="0"/>
    <n v="0"/>
    <n v="76532.08"/>
    <n v="0"/>
    <n v="0"/>
    <n v="311000"/>
    <s v="SALE FINISHED GOODS"/>
    <n v="0"/>
    <n v="61"/>
    <n v="-61"/>
    <s v="52AH0692"/>
    <n v="1509"/>
    <s v="FG Body"/>
    <n v="5094053652"/>
    <s v="02.05.2026"/>
  </r>
  <r>
    <n v="1115"/>
    <n v="1115"/>
    <n v="10"/>
    <n v="2"/>
    <s v="Three Wheelers"/>
    <s v="F2"/>
    <s v="COMMERCIAL INVOICE"/>
    <n v="1526005458"/>
    <n v="1000005691"/>
    <m/>
    <m/>
    <x v="3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68179"/>
    <s v="02.05.2026"/>
  </r>
  <r>
    <n v="1115"/>
    <n v="1115"/>
    <n v="10"/>
    <n v="2"/>
    <s v="Three Wheelers"/>
    <s v="F2"/>
    <s v="COMMERCIAL INVOICE"/>
    <n v="1526005457"/>
    <n v="1000005690"/>
    <m/>
    <m/>
    <x v="3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073650"/>
    <s v="03.05.2026"/>
  </r>
  <r>
    <n v="1115"/>
    <n v="1115"/>
    <n v="10"/>
    <n v="2"/>
    <s v="Three Wheelers"/>
    <s v="F2"/>
    <s v="COMMERCIAL INVOICE"/>
    <n v="1526005456"/>
    <n v="1000005689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8"/>
    <s v="EA"/>
    <n v="9566.51"/>
    <s v="INR"/>
    <n v="76532.08"/>
    <n v="0"/>
    <n v="76532.08"/>
    <n v="0"/>
    <n v="0"/>
    <n v="0"/>
    <n v="0"/>
    <n v="76532.08"/>
    <n v="0"/>
    <n v="0"/>
    <n v="0"/>
    <n v="0"/>
    <n v="0"/>
    <n v="0"/>
    <n v="0"/>
    <n v="0"/>
    <n v="76532.08"/>
    <n v="0"/>
    <n v="0"/>
    <n v="311000"/>
    <s v="SALE FINISHED GOODS"/>
    <n v="0"/>
    <n v="61"/>
    <n v="-61"/>
    <s v="52AH0692"/>
    <n v="1509"/>
    <s v="FG Body"/>
    <n v="5094073478"/>
    <s v="03.05.2026"/>
  </r>
  <r>
    <n v="1115"/>
    <n v="1115"/>
    <n v="10"/>
    <n v="2"/>
    <s v="Three Wheelers"/>
    <s v="F2"/>
    <s v="COMMERCIAL INVOICE"/>
    <n v="1526005455"/>
    <n v="1000005688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45497"/>
    <s v="01.05.2026"/>
  </r>
  <r>
    <n v="1115"/>
    <n v="1115"/>
    <n v="10"/>
    <n v="2"/>
    <s v="Three Wheelers"/>
    <s v="F2"/>
    <s v="COMMERCIAL INVOICE"/>
    <n v="1526005454"/>
    <n v="1000005687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672"/>
    <s v="02.05.2026"/>
  </r>
  <r>
    <n v="1115"/>
    <n v="1115"/>
    <n v="10"/>
    <n v="2"/>
    <s v="Three Wheelers"/>
    <s v="F2"/>
    <s v="COMMERCIAL INVOICE"/>
    <n v="1526005453"/>
    <n v="1000005686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4647"/>
    <s v="02.05.2026"/>
  </r>
  <r>
    <n v="1115"/>
    <n v="1115"/>
    <n v="10"/>
    <n v="2"/>
    <s v="Three Wheelers"/>
    <s v="F2"/>
    <s v="COMMERCIAL INVOICE"/>
    <n v="1526005452"/>
    <n v="1000005685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45542"/>
    <s v="01.05.2026"/>
  </r>
  <r>
    <n v="1115"/>
    <n v="1115"/>
    <n v="10"/>
    <n v="2"/>
    <s v="Three Wheelers"/>
    <s v="F2"/>
    <s v="COMMERCIAL INVOICE"/>
    <n v="1526005451"/>
    <n v="1000005684"/>
    <m/>
    <m/>
    <x v="3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45823"/>
    <s v="01.05.2026"/>
  </r>
  <r>
    <n v="1115"/>
    <n v="1115"/>
    <n v="10"/>
    <n v="2"/>
    <s v="Three Wheelers"/>
    <s v="F2"/>
    <s v="COMMERCIAL INVOICE"/>
    <n v="1526005450"/>
    <n v="1000005683"/>
    <m/>
    <m/>
    <x v="3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9"/>
    <s v="EA"/>
    <n v="6240.88"/>
    <s v="INR"/>
    <n v="56167.92"/>
    <n v="0"/>
    <n v="56167.92"/>
    <n v="0"/>
    <n v="0"/>
    <n v="0"/>
    <n v="0"/>
    <n v="56167.92"/>
    <n v="0"/>
    <n v="0"/>
    <n v="0"/>
    <n v="0"/>
    <n v="0"/>
    <n v="0"/>
    <n v="0"/>
    <n v="0"/>
    <n v="56167.92"/>
    <n v="0"/>
    <n v="0"/>
    <n v="311000"/>
    <s v="SALE FINISHED GOODS"/>
    <n v="58"/>
    <n v="58"/>
    <n v="0"/>
    <s v="52BA0852"/>
    <n v="1509"/>
    <s v="FG Body"/>
    <n v="5094045873"/>
    <s v="01.05.2026"/>
  </r>
  <r>
    <n v="1115"/>
    <n v="1115"/>
    <n v="10"/>
    <n v="2"/>
    <s v="Three Wheelers"/>
    <s v="F2"/>
    <s v="COMMERCIAL INVOICE"/>
    <n v="1526005449"/>
    <n v="1000005682"/>
    <m/>
    <m/>
    <x v="3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6"/>
    <s v="EA"/>
    <n v="6585.55"/>
    <s v="INR"/>
    <n v="39513.300000000003"/>
    <n v="0"/>
    <n v="39513.300000000003"/>
    <n v="0"/>
    <n v="0"/>
    <n v="0"/>
    <n v="0"/>
    <n v="39513.300000000003"/>
    <n v="0"/>
    <n v="0"/>
    <n v="0"/>
    <n v="0"/>
    <n v="0"/>
    <n v="0"/>
    <n v="0"/>
    <n v="0"/>
    <n v="39513.300000000003"/>
    <n v="0"/>
    <n v="0"/>
    <n v="311000"/>
    <s v="SALE FINISHED GOODS"/>
    <n v="49.75"/>
    <n v="49.75"/>
    <n v="0"/>
    <s v="AA231532"/>
    <n v="1509"/>
    <s v="FG Body"/>
    <n v="5094045872"/>
    <s v="01.05.2026"/>
  </r>
  <r>
    <n v="1115"/>
    <n v="1115"/>
    <n v="10"/>
    <n v="2"/>
    <s v="Three Wheelers"/>
    <s v="F2"/>
    <s v="COMMERCIAL INVOICE"/>
    <n v="1526005448"/>
    <n v="1000005681"/>
    <m/>
    <m/>
    <x v="3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0334"/>
    <s v="03.05.2026"/>
  </r>
  <r>
    <n v="1115"/>
    <n v="1115"/>
    <n v="10"/>
    <n v="2"/>
    <s v="Three Wheelers"/>
    <s v="F2"/>
    <s v="COMMERCIAL INVOICE"/>
    <n v="1526005447"/>
    <n v="1000005680"/>
    <m/>
    <m/>
    <x v="3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0236"/>
    <s v="03.05.2026"/>
  </r>
  <r>
    <n v="1115"/>
    <n v="1115"/>
    <n v="10"/>
    <n v="2"/>
    <s v="Three Wheelers"/>
    <s v="F2"/>
    <s v="COMMERCIAL INVOICE"/>
    <n v="1526005446"/>
    <n v="1000005679"/>
    <m/>
    <m/>
    <x v="3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0335"/>
    <s v="03.05.2026"/>
  </r>
  <r>
    <n v="1115"/>
    <n v="1115"/>
    <n v="10"/>
    <n v="2"/>
    <s v="Three Wheelers"/>
    <s v="F2"/>
    <s v="COMMERCIAL INVOICE"/>
    <n v="1526005485"/>
    <n v="1000005718"/>
    <m/>
    <m/>
    <x v="2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071276"/>
    <s v="03.05.2026"/>
  </r>
  <r>
    <n v="1115"/>
    <n v="1115"/>
    <n v="10"/>
    <n v="2"/>
    <s v="Three Wheelers"/>
    <s v="F2"/>
    <s v="COMMERCIAL INVOICE"/>
    <n v="1526005527"/>
    <n v="1000005773"/>
    <m/>
    <m/>
    <x v="2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7.85"/>
    <s v="INR"/>
    <n v="60942"/>
    <n v="0"/>
    <n v="60942"/>
    <n v="0"/>
    <n v="0"/>
    <n v="0"/>
    <n v="0"/>
    <n v="60942"/>
    <n v="0"/>
    <n v="0"/>
    <n v="0"/>
    <n v="0"/>
    <n v="0"/>
    <n v="0"/>
    <n v="0"/>
    <n v="0"/>
    <n v="60942"/>
    <n v="0"/>
    <n v="0"/>
    <n v="311000"/>
    <s v="SALE FINISHED GOODS"/>
    <n v="2.27"/>
    <n v="2.27"/>
    <n v="0"/>
    <s v="52BA0832"/>
    <n v="1511"/>
    <s v="FG Loose 3WH"/>
    <n v="5094058719"/>
    <s v="02.05.2026"/>
  </r>
  <r>
    <n v="1115"/>
    <n v="1115"/>
    <n v="10"/>
    <n v="2"/>
    <s v="Three Wheelers"/>
    <s v="F2"/>
    <s v="COMMERCIAL INVOICE"/>
    <n v="1526005526"/>
    <n v="1000005772"/>
    <m/>
    <m/>
    <x v="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66904"/>
    <s v="02.05.2026"/>
  </r>
  <r>
    <n v="1115"/>
    <n v="1115"/>
    <n v="10"/>
    <n v="2"/>
    <s v="Three Wheelers"/>
    <s v="F2"/>
    <s v="COMMERCIAL INVOICE"/>
    <n v="1526005525"/>
    <n v="1000005771"/>
    <m/>
    <m/>
    <x v="2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055997"/>
    <s v="02.05.2026"/>
  </r>
  <r>
    <n v="1115"/>
    <n v="1115"/>
    <n v="10"/>
    <n v="2"/>
    <s v="Three Wheelers"/>
    <s v="F2"/>
    <s v="COMMERCIAL INVOICE"/>
    <n v="1526005523"/>
    <n v="1000005769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n v="5094055998"/>
    <s v="02.05.2026"/>
  </r>
  <r>
    <n v="1115"/>
    <n v="1115"/>
    <n v="10"/>
    <n v="2"/>
    <s v="Three Wheelers"/>
    <s v="F2"/>
    <s v="COMMERCIAL INVOICE"/>
    <n v="1526005522"/>
    <n v="1000005768"/>
    <m/>
    <m/>
    <x v="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62760"/>
    <s v="02.05.2026"/>
  </r>
  <r>
    <n v="1115"/>
    <n v="1115"/>
    <n v="10"/>
    <n v="2"/>
    <s v="Three Wheelers"/>
    <s v="F2"/>
    <s v="COMMERCIAL INVOICE"/>
    <n v="1526005521"/>
    <n v="1000005767"/>
    <m/>
    <m/>
    <x v="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59245"/>
    <s v="02.05.2026"/>
  </r>
  <r>
    <n v="1115"/>
    <n v="1115"/>
    <n v="10"/>
    <n v="2"/>
    <s v="Three Wheelers"/>
    <s v="F2"/>
    <s v="COMMERCIAL INVOICE"/>
    <n v="1526005520"/>
    <n v="1000005763"/>
    <m/>
    <m/>
    <x v="2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056126"/>
    <s v="02.05.2026"/>
  </r>
  <r>
    <n v="1115"/>
    <n v="1115"/>
    <n v="10"/>
    <n v="2"/>
    <s v="Three Wheelers"/>
    <s v="F2"/>
    <s v="COMMERCIAL INVOICE"/>
    <n v="1526005519"/>
    <n v="1000005762"/>
    <m/>
    <m/>
    <x v="2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056036"/>
    <s v="02.05.2026"/>
  </r>
  <r>
    <n v="1115"/>
    <n v="1115"/>
    <n v="10"/>
    <n v="2"/>
    <s v="Three Wheelers"/>
    <s v="F2"/>
    <s v="COMMERCIAL INVOICE"/>
    <n v="1526005518"/>
    <n v="1000005759"/>
    <m/>
    <m/>
    <x v="2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n v="5094058740"/>
    <s v="02.05.2026"/>
  </r>
  <r>
    <n v="1115"/>
    <n v="1115"/>
    <n v="10"/>
    <n v="2"/>
    <s v="Three Wheelers"/>
    <s v="F2"/>
    <s v="COMMERCIAL INVOICE"/>
    <n v="1526005517"/>
    <n v="1000005758"/>
    <m/>
    <m/>
    <x v="2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057812"/>
    <s v="02.05.2026"/>
  </r>
  <r>
    <n v="1115"/>
    <n v="1115"/>
    <n v="10"/>
    <n v="2"/>
    <s v="Three Wheelers"/>
    <s v="F2"/>
    <s v="COMMERCIAL INVOICE"/>
    <n v="1526005516"/>
    <n v="1000005756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4741"/>
    <s v="02.05.2026"/>
  </r>
  <r>
    <n v="1115"/>
    <n v="1115"/>
    <n v="10"/>
    <n v="2"/>
    <s v="Three Wheelers"/>
    <s v="F2"/>
    <s v="COMMERCIAL INVOICE"/>
    <n v="1526005515"/>
    <n v="1000005755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7136"/>
    <s v="02.05.2026"/>
  </r>
  <r>
    <n v="1115"/>
    <n v="1115"/>
    <n v="10"/>
    <n v="2"/>
    <s v="Three Wheelers"/>
    <s v="F2"/>
    <s v="COMMERCIAL INVOICE"/>
    <n v="1526005514"/>
    <n v="1000005753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58057"/>
    <s v="02.05.2026"/>
  </r>
  <r>
    <n v="1115"/>
    <n v="1115"/>
    <n v="10"/>
    <n v="2"/>
    <s v="Three Wheelers"/>
    <s v="F2"/>
    <s v="COMMERCIAL INVOICE"/>
    <n v="1526005513"/>
    <n v="1000005751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66093"/>
    <s v="02.05.2026"/>
  </r>
  <r>
    <n v="1115"/>
    <n v="1115"/>
    <n v="10"/>
    <n v="2"/>
    <s v="Three Wheelers"/>
    <s v="F2"/>
    <s v="COMMERCIAL INVOICE"/>
    <n v="1526005512"/>
    <n v="1000005749"/>
    <m/>
    <m/>
    <x v="2"/>
    <n v="5100001100"/>
    <s v="ZSCH"/>
    <s v="Normal Sales"/>
    <n v="4110004652"/>
    <s v="01.07.2017"/>
    <n v="5000"/>
    <s v="BAJAJ AUTO LIMITED (WALUJ)"/>
    <m/>
    <m/>
    <s v="27340676530V"/>
    <n v="1502040126"/>
    <s v="BB231369-COVER REAR LH FL"/>
    <x v="8"/>
    <n v="87082900"/>
    <n v="55"/>
    <s v="EA"/>
    <n v="155.58000000000001"/>
    <s v="INR"/>
    <n v="8556.9"/>
    <n v="0"/>
    <n v="8556.9"/>
    <n v="0"/>
    <n v="0"/>
    <n v="0"/>
    <n v="0"/>
    <n v="8556.9"/>
    <n v="0"/>
    <n v="0"/>
    <n v="0"/>
    <n v="0"/>
    <n v="0"/>
    <n v="0"/>
    <n v="0"/>
    <n v="0"/>
    <n v="8556.9"/>
    <n v="0"/>
    <n v="0"/>
    <n v="311000"/>
    <s v="SALE FINISHED GOODS"/>
    <n v="1.1850000000000001"/>
    <n v="1.1850000000000001"/>
    <n v="0"/>
    <s v="BB231369"/>
    <n v="1511"/>
    <s v="FG Loose 3WH"/>
    <n v="5094056439"/>
    <s v="02.05.2026"/>
  </r>
  <r>
    <n v="1115"/>
    <n v="1115"/>
    <n v="10"/>
    <n v="2"/>
    <s v="Three Wheelers"/>
    <s v="F2"/>
    <s v="COMMERCIAL INVOICE"/>
    <n v="1526005511"/>
    <n v="1000005748"/>
    <m/>
    <m/>
    <x v="2"/>
    <n v="5100001100"/>
    <s v="ZSCH"/>
    <s v="Normal Sales"/>
    <n v="4110004652"/>
    <s v="01.07.2017"/>
    <n v="5000"/>
    <s v="BAJAJ AUTO LIMITED (WALUJ)"/>
    <m/>
    <m/>
    <s v="27340676530V"/>
    <n v="1502040125"/>
    <s v="BB231370-COVER REAR RH FL"/>
    <x v="8"/>
    <n v="87082900"/>
    <n v="55"/>
    <s v="EA"/>
    <n v="160.44999999999999"/>
    <s v="INR"/>
    <n v="8824.75"/>
    <n v="0"/>
    <n v="8824.75"/>
    <n v="0"/>
    <n v="0"/>
    <n v="0"/>
    <n v="0"/>
    <n v="8824.75"/>
    <n v="0"/>
    <n v="0"/>
    <n v="0"/>
    <n v="0"/>
    <n v="0"/>
    <n v="0"/>
    <n v="0"/>
    <n v="0"/>
    <n v="8824.75"/>
    <n v="0"/>
    <n v="0"/>
    <n v="311000"/>
    <s v="SALE FINISHED GOODS"/>
    <n v="1.1850000000000001"/>
    <n v="1.1850000000000001"/>
    <n v="0"/>
    <s v="BB231370"/>
    <n v="1511"/>
    <s v="FG Loose 3WH"/>
    <n v="5094056416"/>
    <s v="02.05.2026"/>
  </r>
  <r>
    <n v="1115"/>
    <n v="1115"/>
    <n v="10"/>
    <n v="2"/>
    <s v="Three Wheelers"/>
    <s v="F2"/>
    <s v="COMMERCIAL INVOICE"/>
    <n v="1526005509"/>
    <n v="1000005744"/>
    <m/>
    <m/>
    <x v="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66579"/>
    <s v="02.05.2026"/>
  </r>
  <r>
    <n v="1115"/>
    <n v="1115"/>
    <n v="10"/>
    <n v="2"/>
    <s v="Three Wheelers"/>
    <s v="F2"/>
    <s v="COMMERCIAL INVOICE"/>
    <n v="1526005508"/>
    <n v="1000005743"/>
    <m/>
    <m/>
    <x v="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69873"/>
    <s v="03.05.2026"/>
  </r>
  <r>
    <n v="1115"/>
    <n v="1115"/>
    <n v="10"/>
    <n v="2"/>
    <s v="Three Wheelers"/>
    <s v="F2"/>
    <s v="COMMERCIAL INVOICE"/>
    <n v="1526005507"/>
    <n v="1000005742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64155"/>
    <s v="02.05.2026"/>
  </r>
  <r>
    <n v="1115"/>
    <n v="1115"/>
    <n v="10"/>
    <n v="2"/>
    <s v="Three Wheelers"/>
    <s v="F2"/>
    <s v="COMMERCIAL INVOICE"/>
    <n v="1526005506"/>
    <n v="1000005741"/>
    <m/>
    <m/>
    <x v="2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7.85"/>
    <s v="INR"/>
    <n v="60942"/>
    <n v="0"/>
    <n v="60942"/>
    <n v="0"/>
    <n v="0"/>
    <n v="0"/>
    <n v="0"/>
    <n v="60942"/>
    <n v="0"/>
    <n v="0"/>
    <n v="0"/>
    <n v="0"/>
    <n v="0"/>
    <n v="0"/>
    <n v="0"/>
    <n v="0"/>
    <n v="60942"/>
    <n v="0"/>
    <n v="0"/>
    <n v="311000"/>
    <s v="SALE FINISHED GOODS"/>
    <n v="2.27"/>
    <n v="2.27"/>
    <n v="0"/>
    <s v="52BA0833"/>
    <n v="1511"/>
    <s v="FG Loose 3WH"/>
    <n v="5094052539"/>
    <s v="02.05.2026"/>
  </r>
  <r>
    <n v="1115"/>
    <n v="1115"/>
    <n v="10"/>
    <n v="2"/>
    <s v="Three Wheelers"/>
    <s v="F2"/>
    <s v="COMMERCIAL INVOICE"/>
    <n v="1526005505"/>
    <n v="1000005740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9288"/>
    <s v="02.05.2026"/>
  </r>
  <r>
    <n v="1115"/>
    <n v="1115"/>
    <n v="10"/>
    <n v="2"/>
    <s v="Three Wheelers"/>
    <s v="F2"/>
    <s v="COMMERCIAL INVOICE"/>
    <n v="1526005504"/>
    <n v="1000005739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66079"/>
    <s v="02.05.2026"/>
  </r>
  <r>
    <n v="1115"/>
    <n v="1115"/>
    <n v="10"/>
    <n v="2"/>
    <s v="Three Wheelers"/>
    <s v="F2"/>
    <s v="COMMERCIAL INVOICE"/>
    <n v="1526005503"/>
    <n v="1000005738"/>
    <m/>
    <m/>
    <x v="2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7.85"/>
    <s v="INR"/>
    <n v="60942"/>
    <n v="0"/>
    <n v="60942"/>
    <n v="0"/>
    <n v="0"/>
    <n v="0"/>
    <n v="0"/>
    <n v="60942"/>
    <n v="0"/>
    <n v="0"/>
    <n v="0"/>
    <n v="0"/>
    <n v="0"/>
    <n v="0"/>
    <n v="0"/>
    <n v="0"/>
    <n v="60942"/>
    <n v="0"/>
    <n v="0"/>
    <n v="311000"/>
    <s v="SALE FINISHED GOODS"/>
    <n v="2.27"/>
    <n v="2.27"/>
    <n v="0"/>
    <s v="52BA0832"/>
    <n v="1511"/>
    <s v="FG Loose 3WH"/>
    <n v="5094052540"/>
    <s v="02.05.2026"/>
  </r>
  <r>
    <n v="1115"/>
    <n v="1115"/>
    <n v="10"/>
    <n v="2"/>
    <s v="Three Wheelers"/>
    <s v="F2"/>
    <s v="COMMERCIAL INVOICE"/>
    <n v="1526005502"/>
    <n v="1000005737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64308"/>
    <s v="02.05.2026"/>
  </r>
  <r>
    <n v="1115"/>
    <n v="1115"/>
    <n v="10"/>
    <n v="2"/>
    <s v="Three Wheelers"/>
    <s v="F2"/>
    <s v="COMMERCIAL INVOICE"/>
    <n v="1526005501"/>
    <n v="1000005736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726"/>
    <s v="02.05.2026"/>
  </r>
  <r>
    <n v="1115"/>
    <n v="1115"/>
    <n v="10"/>
    <n v="2"/>
    <s v="Three Wheelers"/>
    <s v="F2"/>
    <s v="COMMERCIAL INVOICE"/>
    <n v="1526005500"/>
    <n v="1000005733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692"/>
    <s v="02.05.2026"/>
  </r>
  <r>
    <n v="1115"/>
    <n v="1115"/>
    <n v="10"/>
    <n v="2"/>
    <s v="Three Wheelers"/>
    <s v="F2"/>
    <s v="COMMERCIAL INVOICE"/>
    <n v="1526005499"/>
    <n v="1000005732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678"/>
    <s v="02.05.2026"/>
  </r>
  <r>
    <n v="1115"/>
    <n v="1115"/>
    <n v="10"/>
    <n v="2"/>
    <s v="Three Wheelers"/>
    <s v="F2"/>
    <s v="COMMERCIAL INVOICE"/>
    <n v="1526005498"/>
    <n v="1000005731"/>
    <m/>
    <m/>
    <x v="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0109"/>
    <s v="03.05.2026"/>
  </r>
  <r>
    <n v="1115"/>
    <n v="1115"/>
    <n v="10"/>
    <n v="2"/>
    <s v="Three Wheelers"/>
    <s v="F2"/>
    <s v="COMMERCIAL INVOICE"/>
    <n v="1526005497"/>
    <n v="1000005730"/>
    <m/>
    <m/>
    <x v="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67819"/>
    <s v="02.05.2026"/>
  </r>
  <r>
    <n v="1115"/>
    <n v="1115"/>
    <n v="10"/>
    <n v="2"/>
    <s v="Three Wheelers"/>
    <s v="F2"/>
    <s v="COMMERCIAL INVOICE"/>
    <n v="1526005496"/>
    <n v="1000005729"/>
    <m/>
    <m/>
    <x v="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0079"/>
    <s v="03.05.2026"/>
  </r>
  <r>
    <n v="1115"/>
    <n v="1115"/>
    <n v="10"/>
    <n v="2"/>
    <s v="Three Wheelers"/>
    <s v="F2"/>
    <s v="COMMERCIAL INVOICE"/>
    <n v="1526005495"/>
    <n v="1000005728"/>
    <m/>
    <m/>
    <x v="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69871"/>
    <s v="03.05.2026"/>
  </r>
  <r>
    <n v="1115"/>
    <n v="1115"/>
    <n v="10"/>
    <n v="2"/>
    <s v="Three Wheelers"/>
    <s v="F2"/>
    <s v="COMMERCIAL INVOICE"/>
    <n v="1526005494"/>
    <n v="1000005727"/>
    <m/>
    <m/>
    <x v="2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n v="5094052984"/>
    <s v="02.05.2026"/>
  </r>
  <r>
    <n v="1115"/>
    <n v="1115"/>
    <n v="10"/>
    <n v="2"/>
    <s v="Three Wheelers"/>
    <s v="F2"/>
    <s v="COMMERCIAL INVOICE"/>
    <n v="1526005493"/>
    <n v="1000005726"/>
    <m/>
    <m/>
    <x v="2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054481"/>
    <s v="02.05.2026"/>
  </r>
  <r>
    <n v="1115"/>
    <n v="1115"/>
    <n v="10"/>
    <n v="2"/>
    <s v="Three Wheelers"/>
    <s v="F2"/>
    <s v="COMMERCIAL INVOICE"/>
    <n v="1526005492"/>
    <n v="1000005725"/>
    <m/>
    <m/>
    <x v="2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80"/>
    <s v="EA"/>
    <n v="380.93"/>
    <s v="INR"/>
    <n v="30474.400000000001"/>
    <n v="0"/>
    <n v="30474.400000000001"/>
    <n v="0"/>
    <n v="0"/>
    <n v="0"/>
    <n v="0"/>
    <n v="30474.400000000001"/>
    <n v="0"/>
    <n v="0"/>
    <n v="0"/>
    <n v="0"/>
    <n v="0"/>
    <n v="0"/>
    <n v="0"/>
    <n v="0"/>
    <n v="30474.400000000001"/>
    <n v="0"/>
    <n v="0"/>
    <n v="311000"/>
    <s v="SALE FINISHED GOODS"/>
    <n v="2.13"/>
    <n v="2.13"/>
    <n v="0"/>
    <s v="AH111571"/>
    <n v="1511"/>
    <s v="FG Loose 3WH"/>
    <n v="5094050678"/>
    <s v="02.05.2026"/>
  </r>
  <r>
    <n v="1115"/>
    <n v="1115"/>
    <n v="10"/>
    <n v="2"/>
    <s v="Three Wheelers"/>
    <s v="F2"/>
    <s v="COMMERCIAL INVOICE"/>
    <n v="1526005491"/>
    <n v="1000005724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n v="5094050850"/>
    <s v="02.05.2026"/>
  </r>
  <r>
    <n v="1115"/>
    <n v="1115"/>
    <n v="10"/>
    <n v="2"/>
    <s v="Three Wheelers"/>
    <s v="F2"/>
    <s v="COMMERCIAL INVOICE"/>
    <n v="1526005490"/>
    <n v="1000005723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0852"/>
    <s v="02.05.2026"/>
  </r>
  <r>
    <n v="1115"/>
    <n v="1115"/>
    <n v="10"/>
    <n v="2"/>
    <s v="Three Wheelers"/>
    <s v="F2"/>
    <s v="COMMERCIAL INVOICE"/>
    <n v="1526005489"/>
    <n v="1000005722"/>
    <m/>
    <m/>
    <x v="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53824"/>
    <s v="02.05.2026"/>
  </r>
  <r>
    <n v="1115"/>
    <n v="1115"/>
    <n v="10"/>
    <n v="2"/>
    <s v="Three Wheelers"/>
    <s v="F2"/>
    <s v="COMMERCIAL INVOICE"/>
    <n v="1526005487"/>
    <n v="1000005720"/>
    <m/>
    <m/>
    <x v="2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7.85"/>
    <s v="INR"/>
    <n v="60942"/>
    <n v="0"/>
    <n v="60942"/>
    <n v="0"/>
    <n v="0"/>
    <n v="0"/>
    <n v="0"/>
    <n v="60942"/>
    <n v="0"/>
    <n v="0"/>
    <n v="0"/>
    <n v="0"/>
    <n v="0"/>
    <n v="0"/>
    <n v="0"/>
    <n v="0"/>
    <n v="60942"/>
    <n v="0"/>
    <n v="0"/>
    <n v="311000"/>
    <s v="SALE FINISHED GOODS"/>
    <n v="2.27"/>
    <n v="2.27"/>
    <n v="0"/>
    <s v="52BA0833"/>
    <n v="1511"/>
    <s v="FG Loose 3WH"/>
    <n v="5094052541"/>
    <s v="02.05.2026"/>
  </r>
  <r>
    <n v="1115"/>
    <n v="1115"/>
    <n v="10"/>
    <n v="2"/>
    <s v="Three Wheelers"/>
    <s v="F2"/>
    <s v="COMMERCIAL INVOICE"/>
    <n v="1526005486"/>
    <n v="1000005719"/>
    <m/>
    <m/>
    <x v="2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7.85"/>
    <s v="INR"/>
    <n v="60942"/>
    <n v="0"/>
    <n v="60942"/>
    <n v="0"/>
    <n v="0"/>
    <n v="0"/>
    <n v="0"/>
    <n v="60942"/>
    <n v="0"/>
    <n v="0"/>
    <n v="0"/>
    <n v="0"/>
    <n v="0"/>
    <n v="0"/>
    <n v="0"/>
    <n v="0"/>
    <n v="60942"/>
    <n v="0"/>
    <n v="0"/>
    <n v="311000"/>
    <s v="SALE FINISHED GOODS"/>
    <n v="2.27"/>
    <n v="2.27"/>
    <n v="0"/>
    <s v="52BA0832"/>
    <n v="1511"/>
    <s v="FG Loose 3WH"/>
    <n v="5094052542"/>
    <s v="02.05.2026"/>
  </r>
  <r>
    <n v="1115"/>
    <n v="1115"/>
    <n v="10"/>
    <n v="2"/>
    <s v="Three Wheelers"/>
    <s v="F2"/>
    <s v="COMMERCIAL INVOICE"/>
    <n v="1526005776"/>
    <n v="1000006033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85355"/>
    <s v="04.05.2026"/>
  </r>
  <r>
    <n v="1115"/>
    <n v="1115"/>
    <n v="10"/>
    <n v="2"/>
    <s v="Three Wheelers"/>
    <s v="F2"/>
    <s v="COMMERCIAL INVOICE"/>
    <n v="1526005775"/>
    <n v="1000006032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97480"/>
    <s v="04.05.2026"/>
  </r>
  <r>
    <n v="1115"/>
    <n v="1115"/>
    <n v="10"/>
    <n v="2"/>
    <s v="Three Wheelers"/>
    <s v="F2"/>
    <s v="COMMERCIAL INVOICE"/>
    <n v="1526005773"/>
    <n v="1000006028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82659"/>
    <s v="03.05.2026"/>
  </r>
  <r>
    <n v="1115"/>
    <n v="1115"/>
    <n v="10"/>
    <n v="2"/>
    <s v="Three Wheelers"/>
    <s v="F2"/>
    <s v="COMMERCIAL INVOICE"/>
    <n v="1526005772"/>
    <n v="1000006027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2"/>
    <s v="EA"/>
    <n v="9566.51"/>
    <s v="INR"/>
    <n v="19133.02"/>
    <n v="0"/>
    <n v="19133.02"/>
    <n v="0"/>
    <n v="0"/>
    <n v="0"/>
    <n v="0"/>
    <n v="19133.02"/>
    <n v="0"/>
    <n v="0"/>
    <n v="0"/>
    <n v="0"/>
    <n v="0"/>
    <n v="0"/>
    <n v="0"/>
    <n v="0"/>
    <n v="19133.02"/>
    <n v="0"/>
    <n v="0"/>
    <n v="311000"/>
    <s v="SALE FINISHED GOODS"/>
    <n v="0"/>
    <n v="61"/>
    <n v="-61"/>
    <s v="52AH0692"/>
    <n v="1509"/>
    <s v="FG Body"/>
    <n v="5094094205"/>
    <s v="04.05.2026"/>
  </r>
  <r>
    <n v="1115"/>
    <n v="1115"/>
    <n v="10"/>
    <n v="2"/>
    <s v="Three Wheelers"/>
    <s v="F2"/>
    <s v="COMMERCIAL INVOICE"/>
    <n v="1526005771"/>
    <n v="1000006023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8"/>
    <s v="EA"/>
    <n v="9566.51"/>
    <s v="INR"/>
    <n v="76532.08"/>
    <n v="0"/>
    <n v="76532.08"/>
    <n v="0"/>
    <n v="0"/>
    <n v="0"/>
    <n v="0"/>
    <n v="76532.08"/>
    <n v="0"/>
    <n v="0"/>
    <n v="0"/>
    <n v="0"/>
    <n v="0"/>
    <n v="0"/>
    <n v="0"/>
    <n v="0"/>
    <n v="76532.08"/>
    <n v="0"/>
    <n v="0"/>
    <n v="311000"/>
    <s v="SALE FINISHED GOODS"/>
    <n v="0"/>
    <n v="61"/>
    <n v="-61"/>
    <s v="52AH0692"/>
    <n v="1509"/>
    <s v="FG Body"/>
    <n v="5094082623"/>
    <s v="03.05.2026"/>
  </r>
  <r>
    <n v="1115"/>
    <n v="1115"/>
    <n v="10"/>
    <n v="2"/>
    <s v="Three Wheelers"/>
    <s v="F2"/>
    <s v="COMMERCIAL INVOICE"/>
    <n v="1526005770"/>
    <n v="1000006022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8"/>
    <s v="EA"/>
    <n v="9566.51"/>
    <s v="INR"/>
    <n v="76532.08"/>
    <n v="0"/>
    <n v="76532.08"/>
    <n v="0"/>
    <n v="0"/>
    <n v="0"/>
    <n v="0"/>
    <n v="76532.08"/>
    <n v="0"/>
    <n v="0"/>
    <n v="0"/>
    <n v="0"/>
    <n v="0"/>
    <n v="0"/>
    <n v="0"/>
    <n v="0"/>
    <n v="76532.08"/>
    <n v="0"/>
    <n v="0"/>
    <n v="311000"/>
    <s v="SALE FINISHED GOODS"/>
    <n v="0"/>
    <n v="61"/>
    <n v="-61"/>
    <s v="52AH0692"/>
    <n v="1509"/>
    <s v="FG Body"/>
    <n v="5094084716"/>
    <s v="03.05.2026"/>
  </r>
  <r>
    <n v="1115"/>
    <n v="1115"/>
    <n v="10"/>
    <n v="2"/>
    <s v="Three Wheelers"/>
    <s v="F2"/>
    <s v="COMMERCIAL INVOICE"/>
    <n v="1526005769"/>
    <n v="1000006021"/>
    <m/>
    <m/>
    <x v="4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1280"/>
    <s v="EA"/>
    <n v="174.11"/>
    <s v="INR"/>
    <n v="222860.79999999999"/>
    <n v="0"/>
    <n v="222860.79999999999"/>
    <n v="0"/>
    <n v="0"/>
    <n v="0"/>
    <n v="0"/>
    <n v="222860.79999999999"/>
    <n v="0"/>
    <n v="0"/>
    <n v="0"/>
    <n v="0"/>
    <n v="0"/>
    <n v="0"/>
    <n v="0"/>
    <n v="0"/>
    <n v="222860.79999999999"/>
    <n v="0"/>
    <n v="0"/>
    <n v="311000"/>
    <s v="SALE FINISHED GOODS"/>
    <n v="2.573"/>
    <n v="1.4910000000000001"/>
    <n v="1.0820000000000001"/>
    <s v="AA161289"/>
    <n v="1511"/>
    <s v="FG Loose 3WH"/>
    <n v="5094085354"/>
    <s v="04.05.2026"/>
  </r>
  <r>
    <n v="1115"/>
    <n v="1115"/>
    <n v="10"/>
    <n v="2"/>
    <s v="Three Wheelers"/>
    <s v="F2"/>
    <s v="COMMERCIAL INVOICE"/>
    <n v="1526005766"/>
    <n v="1000006020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97433"/>
    <s v="04.05.2026"/>
  </r>
  <r>
    <n v="1115"/>
    <n v="1115"/>
    <n v="10"/>
    <n v="2"/>
    <s v="Three Wheelers"/>
    <s v="F2"/>
    <s v="COMMERCIAL INVOICE"/>
    <n v="1526005764"/>
    <n v="1000006018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85536"/>
    <s v="04.05.2026"/>
  </r>
  <r>
    <n v="1115"/>
    <n v="1115"/>
    <n v="10"/>
    <n v="2"/>
    <s v="Three Wheelers"/>
    <s v="F2"/>
    <s v="COMMERCIAL INVOICE"/>
    <n v="1526005763"/>
    <n v="1000006017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85348"/>
    <s v="04.05.2026"/>
  </r>
  <r>
    <n v="1115"/>
    <n v="1115"/>
    <n v="10"/>
    <n v="2"/>
    <s v="Three Wheelers"/>
    <s v="F2"/>
    <s v="COMMERCIAL INVOICE"/>
    <n v="1526005761"/>
    <n v="1000006015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95905"/>
    <s v="04.05.2026"/>
  </r>
  <r>
    <n v="1115"/>
    <n v="1115"/>
    <n v="10"/>
    <n v="2"/>
    <s v="Three Wheelers"/>
    <s v="F2"/>
    <s v="COMMERCIAL INVOICE"/>
    <n v="1526005760"/>
    <n v="1000006014"/>
    <m/>
    <m/>
    <x v="4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331"/>
    <s v="EA"/>
    <n v="136.6"/>
    <s v="INR"/>
    <n v="45214.6"/>
    <n v="0"/>
    <n v="45214.6"/>
    <n v="0"/>
    <n v="0"/>
    <n v="0"/>
    <n v="0"/>
    <n v="45214.6"/>
    <n v="0"/>
    <n v="0"/>
    <n v="0"/>
    <n v="0"/>
    <n v="0"/>
    <n v="0"/>
    <n v="0"/>
    <n v="0"/>
    <n v="45214.6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5755"/>
    <n v="1000006010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8"/>
    <s v="EA"/>
    <n v="9566.51"/>
    <s v="INR"/>
    <n v="76532.08"/>
    <n v="0"/>
    <n v="76532.08"/>
    <n v="0"/>
    <n v="0"/>
    <n v="0"/>
    <n v="0"/>
    <n v="76532.08"/>
    <n v="0"/>
    <n v="0"/>
    <n v="0"/>
    <n v="0"/>
    <n v="0"/>
    <n v="0"/>
    <n v="0"/>
    <n v="0"/>
    <n v="76532.08"/>
    <n v="0"/>
    <n v="0"/>
    <n v="311000"/>
    <s v="SALE FINISHED GOODS"/>
    <n v="0"/>
    <n v="61"/>
    <n v="-61"/>
    <s v="52AH0692"/>
    <n v="1509"/>
    <s v="FG Body"/>
    <n v="5094082641"/>
    <s v="03.05.2026"/>
  </r>
  <r>
    <n v="1115"/>
    <n v="1115"/>
    <n v="10"/>
    <n v="2"/>
    <s v="Three Wheelers"/>
    <s v="F2"/>
    <s v="COMMERCIAL INVOICE"/>
    <n v="1526005754"/>
    <n v="1000006009"/>
    <m/>
    <m/>
    <x v="4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80565"/>
    <s v="03.05.2026"/>
  </r>
  <r>
    <n v="1115"/>
    <n v="1115"/>
    <n v="10"/>
    <n v="2"/>
    <s v="Three Wheelers"/>
    <s v="F2"/>
    <s v="COMMERCIAL INVOICE"/>
    <n v="1526005753"/>
    <n v="1000006008"/>
    <m/>
    <m/>
    <x v="4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79490"/>
    <s v="03.05.2026"/>
  </r>
  <r>
    <n v="1115"/>
    <n v="1115"/>
    <n v="10"/>
    <n v="2"/>
    <s v="Three Wheelers"/>
    <s v="F2"/>
    <s v="COMMERCIAL INVOICE"/>
    <n v="1526005751"/>
    <n v="1000006007"/>
    <m/>
    <m/>
    <x v="4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79489"/>
    <s v="03.05.2026"/>
  </r>
  <r>
    <n v="1115"/>
    <n v="1115"/>
    <n v="10"/>
    <n v="2"/>
    <s v="Three Wheelers"/>
    <s v="F2"/>
    <s v="COMMERCIAL INVOICE"/>
    <n v="1526005750"/>
    <n v="1000006006"/>
    <m/>
    <m/>
    <x v="4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20"/>
    <s v="EA"/>
    <n v="291.27999999999997"/>
    <s v="INR"/>
    <n v="34953.599999999999"/>
    <n v="0"/>
    <n v="34953.599999999999"/>
    <n v="0"/>
    <n v="0"/>
    <n v="0"/>
    <n v="0"/>
    <n v="34953.599999999999"/>
    <n v="0"/>
    <n v="0"/>
    <n v="0"/>
    <n v="0"/>
    <n v="0"/>
    <n v="0"/>
    <n v="0"/>
    <n v="0"/>
    <n v="34953.599999999999"/>
    <n v="0"/>
    <n v="0"/>
    <n v="311000"/>
    <s v="SALE FINISHED GOODS"/>
    <n v="2.37"/>
    <n v="2.37"/>
    <n v="0"/>
    <s v="AH115161"/>
    <n v="1511"/>
    <s v="FG Loose 3WH"/>
    <n v="5094083380"/>
    <s v="03.05.2026"/>
  </r>
  <r>
    <n v="1115"/>
    <n v="1115"/>
    <n v="10"/>
    <n v="2"/>
    <s v="Three Wheelers"/>
    <s v="F2"/>
    <s v="COMMERCIAL INVOICE"/>
    <n v="1526005749"/>
    <n v="1000006005"/>
    <m/>
    <m/>
    <x v="4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288"/>
    <s v="EA"/>
    <n v="290.89999999999998"/>
    <s v="INR"/>
    <n v="83779.199999999997"/>
    <n v="0"/>
    <n v="83779.199999999997"/>
    <n v="0"/>
    <n v="0"/>
    <n v="0"/>
    <n v="0"/>
    <n v="83779.199999999997"/>
    <n v="0"/>
    <n v="0"/>
    <n v="0"/>
    <n v="0"/>
    <n v="0"/>
    <n v="0"/>
    <n v="0"/>
    <n v="0"/>
    <n v="83779.199999999997"/>
    <n v="0"/>
    <n v="0"/>
    <n v="311000"/>
    <s v="SALE FINISHED GOODS"/>
    <n v="4.5"/>
    <n v="4.5"/>
    <n v="0"/>
    <s v="AZ111331"/>
    <n v="1511"/>
    <s v="FG Loose 3WH"/>
    <n v="5094083381"/>
    <s v="03.05.2026"/>
  </r>
  <r>
    <n v="1115"/>
    <n v="1115"/>
    <n v="10"/>
    <n v="2"/>
    <s v="Three Wheelers"/>
    <s v="F2"/>
    <s v="COMMERCIAL INVOICE"/>
    <n v="1526005748"/>
    <n v="1000006004"/>
    <m/>
    <m/>
    <x v="4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720"/>
    <s v="EA"/>
    <n v="134.19999999999999"/>
    <s v="INR"/>
    <n v="96624"/>
    <n v="0"/>
    <n v="96624"/>
    <n v="0"/>
    <n v="0"/>
    <n v="0"/>
    <n v="0"/>
    <n v="96624"/>
    <n v="0"/>
    <n v="0"/>
    <n v="0"/>
    <n v="0"/>
    <n v="0"/>
    <n v="0"/>
    <n v="0"/>
    <n v="0"/>
    <n v="96624"/>
    <n v="0"/>
    <n v="0"/>
    <n v="311000"/>
    <s v="SALE FINISHED GOODS"/>
    <n v="1.19"/>
    <n v="1.19"/>
    <n v="0"/>
    <s v="AF231720"/>
    <n v="1511"/>
    <s v="FG Loose 3WH"/>
    <n v="5094079980"/>
    <s v="03.05.2026"/>
  </r>
  <r>
    <n v="1115"/>
    <n v="1115"/>
    <n v="10"/>
    <n v="2"/>
    <s v="Three Wheelers"/>
    <s v="F2"/>
    <s v="COMMERCIAL INVOICE"/>
    <n v="1526005747"/>
    <n v="1000006003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46"/>
    <n v="1000006002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45"/>
    <n v="1000006001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44"/>
    <n v="1000006000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43"/>
    <n v="1000005999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42"/>
    <n v="1000005998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41"/>
    <n v="1000005997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40"/>
    <n v="1000005995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39"/>
    <n v="1000005994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38"/>
    <n v="1000005993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84276"/>
    <s v="03.05.2026"/>
  </r>
  <r>
    <n v="1115"/>
    <n v="1115"/>
    <n v="10"/>
    <n v="2"/>
    <s v="Three Wheelers"/>
    <s v="F2"/>
    <s v="COMMERCIAL INVOICE"/>
    <n v="1526005737"/>
    <n v="1000005992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36"/>
    <n v="1000005991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82547"/>
    <s v="03.05.2026"/>
  </r>
  <r>
    <n v="1115"/>
    <n v="1115"/>
    <n v="10"/>
    <n v="2"/>
    <s v="Three Wheelers"/>
    <s v="F2"/>
    <s v="COMMERCIAL INVOICE"/>
    <n v="1526005735"/>
    <n v="1000005990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84272"/>
    <s v="03.05.2026"/>
  </r>
  <r>
    <n v="1115"/>
    <n v="1115"/>
    <n v="10"/>
    <n v="2"/>
    <s v="Three Wheelers"/>
    <s v="F2"/>
    <s v="COMMERCIAL INVOICE"/>
    <n v="1526005734"/>
    <n v="1000005989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33"/>
    <n v="1000005988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84271"/>
    <s v="03.05.2026"/>
  </r>
  <r>
    <n v="1115"/>
    <n v="1115"/>
    <n v="10"/>
    <n v="2"/>
    <s v="Three Wheelers"/>
    <s v="F2"/>
    <s v="COMMERCIAL INVOICE"/>
    <n v="1526005732"/>
    <n v="1000005987"/>
    <m/>
    <m/>
    <x v="4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5731"/>
    <n v="1000005986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84269"/>
    <s v="03.05.2026"/>
  </r>
  <r>
    <n v="1115"/>
    <n v="1115"/>
    <n v="10"/>
    <n v="2"/>
    <s v="Three Wheelers"/>
    <s v="F2"/>
    <s v="COMMERCIAL INVOICE"/>
    <n v="1526005729"/>
    <n v="1000005985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85399"/>
    <s v="04.05.2026"/>
  </r>
  <r>
    <n v="1115"/>
    <n v="1115"/>
    <n v="10"/>
    <n v="2"/>
    <s v="Three Wheelers"/>
    <s v="F2"/>
    <s v="COMMERCIAL INVOICE"/>
    <n v="1526005728"/>
    <n v="1000005984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85404"/>
    <s v="04.05.2026"/>
  </r>
  <r>
    <n v="1115"/>
    <n v="1115"/>
    <n v="10"/>
    <n v="2"/>
    <s v="Three Wheelers"/>
    <s v="F2"/>
    <s v="COMMERCIAL INVOICE"/>
    <n v="1526005723"/>
    <n v="1000005980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79840"/>
    <s v="03.05.2026"/>
  </r>
  <r>
    <n v="1115"/>
    <n v="1115"/>
    <n v="10"/>
    <n v="2"/>
    <s v="Three Wheelers"/>
    <s v="F2"/>
    <s v="COMMERCIAL INVOICE"/>
    <n v="1526005777"/>
    <n v="1000006034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95977"/>
    <s v="04.05.2026"/>
  </r>
  <r>
    <n v="1115"/>
    <n v="1115"/>
    <n v="10"/>
    <n v="2"/>
    <s v="Three Wheelers"/>
    <s v="F2"/>
    <s v="COMMERCIAL INVOICE"/>
    <n v="1526005816"/>
    <n v="1000006073"/>
    <m/>
    <m/>
    <x v="0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100863"/>
    <s v="04.05.2026"/>
  </r>
  <r>
    <n v="1115"/>
    <n v="1115"/>
    <n v="10"/>
    <n v="2"/>
    <s v="Three Wheelers"/>
    <s v="F2"/>
    <s v="COMMERCIAL INVOICE"/>
    <n v="1526005815"/>
    <n v="1000006072"/>
    <m/>
    <m/>
    <x v="0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100862"/>
    <s v="04.05.2026"/>
  </r>
  <r>
    <n v="1115"/>
    <n v="1115"/>
    <n v="10"/>
    <n v="2"/>
    <s v="Three Wheelers"/>
    <s v="F2"/>
    <s v="COMMERCIAL INVOICE"/>
    <n v="1526005814"/>
    <n v="1000006071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8"/>
    <s v="EA"/>
    <n v="9566.51"/>
    <s v="INR"/>
    <n v="76532.08"/>
    <n v="0"/>
    <n v="76532.08"/>
    <n v="0"/>
    <n v="0"/>
    <n v="0"/>
    <n v="0"/>
    <n v="76532.08"/>
    <n v="0"/>
    <n v="0"/>
    <n v="0"/>
    <n v="0"/>
    <n v="0"/>
    <n v="0"/>
    <n v="0"/>
    <n v="0"/>
    <n v="76532.08"/>
    <n v="0"/>
    <n v="0"/>
    <n v="311000"/>
    <s v="SALE FINISHED GOODS"/>
    <n v="0"/>
    <n v="61"/>
    <n v="-61"/>
    <s v="52AH0692"/>
    <n v="1509"/>
    <s v="FG Body"/>
    <n v="5094094282"/>
    <s v="04.05.2026"/>
  </r>
  <r>
    <n v="1115"/>
    <n v="1115"/>
    <n v="10"/>
    <n v="2"/>
    <s v="Three Wheelers"/>
    <s v="F2"/>
    <s v="COMMERCIAL INVOICE"/>
    <n v="1526005813"/>
    <n v="1000006070"/>
    <m/>
    <m/>
    <x v="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94928"/>
    <s v="04.05.2026"/>
  </r>
  <r>
    <n v="1115"/>
    <n v="1115"/>
    <n v="10"/>
    <n v="2"/>
    <s v="Three Wheelers"/>
    <s v="F2"/>
    <s v="COMMERCIAL INVOICE"/>
    <n v="1526005812"/>
    <n v="1000006069"/>
    <m/>
    <m/>
    <x v="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94961"/>
    <s v="04.05.2026"/>
  </r>
  <r>
    <n v="1115"/>
    <n v="1115"/>
    <n v="10"/>
    <n v="2"/>
    <s v="Three Wheelers"/>
    <s v="F2"/>
    <s v="COMMERCIAL INVOICE"/>
    <n v="1526005811"/>
    <n v="1000006068"/>
    <m/>
    <m/>
    <x v="0"/>
    <n v="5100001100"/>
    <s v="ZSCH"/>
    <s v="Normal Sales"/>
    <n v="4110004652"/>
    <s v="01.07.2017"/>
    <n v="5000"/>
    <s v="BAJAJ AUTO LIMITED (WALUJ)"/>
    <m/>
    <m/>
    <s v="27340676530V"/>
    <n v="1502040126"/>
    <s v="BB231369-COVER REAR LH FL"/>
    <x v="8"/>
    <n v="87082900"/>
    <n v="55"/>
    <s v="EA"/>
    <n v="155.58000000000001"/>
    <s v="INR"/>
    <n v="8556.9"/>
    <n v="0"/>
    <n v="8556.9"/>
    <n v="0"/>
    <n v="0"/>
    <n v="0"/>
    <n v="0"/>
    <n v="8556.9"/>
    <n v="0"/>
    <n v="0"/>
    <n v="0"/>
    <n v="0"/>
    <n v="0"/>
    <n v="0"/>
    <n v="0"/>
    <n v="0"/>
    <n v="8556.9"/>
    <n v="0"/>
    <n v="0"/>
    <n v="311000"/>
    <s v="SALE FINISHED GOODS"/>
    <n v="1.1850000000000001"/>
    <n v="1.1850000000000001"/>
    <n v="0"/>
    <s v="BB231369"/>
    <n v="1511"/>
    <s v="FG Loose 3WH"/>
    <n v="5094115327"/>
    <s v="05.05.2026"/>
  </r>
  <r>
    <n v="1115"/>
    <n v="1115"/>
    <n v="10"/>
    <n v="2"/>
    <s v="Three Wheelers"/>
    <s v="F2"/>
    <s v="COMMERCIAL INVOICE"/>
    <n v="1526005810"/>
    <n v="1000006067"/>
    <m/>
    <m/>
    <x v="0"/>
    <n v="5100001100"/>
    <s v="ZSCH"/>
    <s v="Normal Sales"/>
    <n v="4110004652"/>
    <s v="01.07.2017"/>
    <n v="5000"/>
    <s v="BAJAJ AUTO LIMITED (WALUJ)"/>
    <m/>
    <m/>
    <s v="27340676530V"/>
    <n v="1502040125"/>
    <s v="BB231370-COVER REAR RH FL"/>
    <x v="8"/>
    <n v="87082900"/>
    <n v="55"/>
    <s v="EA"/>
    <n v="160.44999999999999"/>
    <s v="INR"/>
    <n v="8824.75"/>
    <n v="0"/>
    <n v="8824.75"/>
    <n v="0"/>
    <n v="0"/>
    <n v="0"/>
    <n v="0"/>
    <n v="8824.75"/>
    <n v="0"/>
    <n v="0"/>
    <n v="0"/>
    <n v="0"/>
    <n v="0"/>
    <n v="0"/>
    <n v="0"/>
    <n v="0"/>
    <n v="8824.75"/>
    <n v="0"/>
    <n v="0"/>
    <n v="311000"/>
    <s v="SALE FINISHED GOODS"/>
    <n v="1.1850000000000001"/>
    <n v="1.1850000000000001"/>
    <n v="0"/>
    <s v="BB231370"/>
    <n v="1511"/>
    <s v="FG Loose 3WH"/>
    <n v="5094115396"/>
    <s v="05.05.2026"/>
  </r>
  <r>
    <n v="1115"/>
    <n v="1115"/>
    <n v="10"/>
    <n v="2"/>
    <s v="Three Wheelers"/>
    <s v="F2"/>
    <s v="COMMERCIAL INVOICE"/>
    <n v="1526005809"/>
    <n v="1000006066"/>
    <m/>
    <m/>
    <x v="0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087799"/>
    <s v="04.05.2026"/>
  </r>
  <r>
    <n v="1115"/>
    <n v="1115"/>
    <n v="10"/>
    <n v="2"/>
    <s v="Three Wheelers"/>
    <s v="F2"/>
    <s v="COMMERCIAL INVOICE"/>
    <n v="1526005808"/>
    <n v="1000006065"/>
    <m/>
    <m/>
    <x v="0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087694"/>
    <s v="04.05.2026"/>
  </r>
  <r>
    <n v="1115"/>
    <n v="1115"/>
    <n v="10"/>
    <n v="2"/>
    <s v="Three Wheelers"/>
    <s v="F2"/>
    <s v="COMMERCIAL INVOICE"/>
    <n v="1526005807"/>
    <n v="1000006064"/>
    <m/>
    <m/>
    <x v="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85585"/>
    <s v="04.05.2026"/>
  </r>
  <r>
    <n v="1115"/>
    <n v="1115"/>
    <n v="10"/>
    <n v="2"/>
    <s v="Three Wheelers"/>
    <s v="F2"/>
    <s v="COMMERCIAL INVOICE"/>
    <n v="1526005806"/>
    <n v="1000006063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2900"/>
    <s v="04.05.2026"/>
  </r>
  <r>
    <n v="1115"/>
    <n v="1115"/>
    <n v="10"/>
    <n v="2"/>
    <s v="Three Wheelers"/>
    <s v="F2"/>
    <s v="COMMERCIAL INVOICE"/>
    <n v="1526005805"/>
    <n v="1000006062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7071"/>
    <s v="04.05.2026"/>
  </r>
  <r>
    <n v="1115"/>
    <n v="1115"/>
    <n v="10"/>
    <n v="2"/>
    <s v="Three Wheelers"/>
    <s v="F2"/>
    <s v="COMMERCIAL INVOICE"/>
    <n v="1526005804"/>
    <n v="1000006061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92762"/>
    <s v="04.05.2026"/>
  </r>
  <r>
    <n v="1115"/>
    <n v="1115"/>
    <n v="10"/>
    <n v="2"/>
    <s v="Three Wheelers"/>
    <s v="F2"/>
    <s v="COMMERCIAL INVOICE"/>
    <n v="1526005803"/>
    <n v="1000006060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7121"/>
    <s v="04.05.2026"/>
  </r>
  <r>
    <n v="1115"/>
    <n v="1115"/>
    <n v="10"/>
    <n v="2"/>
    <s v="Three Wheelers"/>
    <s v="F2"/>
    <s v="COMMERCIAL INVOICE"/>
    <n v="1526005802"/>
    <n v="1000006059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5682"/>
    <s v="04.05.2026"/>
  </r>
  <r>
    <n v="1115"/>
    <n v="1115"/>
    <n v="10"/>
    <n v="2"/>
    <s v="Three Wheelers"/>
    <s v="F2"/>
    <s v="COMMERCIAL INVOICE"/>
    <n v="1526005801"/>
    <n v="1000006058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5570"/>
    <s v="04.05.2026"/>
  </r>
  <r>
    <n v="1115"/>
    <n v="1115"/>
    <n v="10"/>
    <n v="2"/>
    <s v="Three Wheelers"/>
    <s v="F2"/>
    <s v="COMMERCIAL INVOICE"/>
    <n v="1526005800"/>
    <n v="1000006057"/>
    <m/>
    <m/>
    <x v="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85681"/>
    <s v="04.05.2026"/>
  </r>
  <r>
    <n v="1115"/>
    <n v="1115"/>
    <n v="10"/>
    <n v="2"/>
    <s v="Three Wheelers"/>
    <s v="F2"/>
    <s v="COMMERCIAL INVOICE"/>
    <n v="1526005799"/>
    <n v="1000006056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5680"/>
    <s v="04.05.2026"/>
  </r>
  <r>
    <n v="1115"/>
    <n v="1115"/>
    <n v="10"/>
    <n v="2"/>
    <s v="Three Wheelers"/>
    <s v="F2"/>
    <s v="COMMERCIAL INVOICE"/>
    <n v="1526005798"/>
    <n v="1000006055"/>
    <m/>
    <m/>
    <x v="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5679"/>
    <s v="04.05.2026"/>
  </r>
  <r>
    <n v="1115"/>
    <n v="1115"/>
    <n v="10"/>
    <n v="2"/>
    <s v="Three Wheelers"/>
    <s v="F2"/>
    <s v="COMMERCIAL INVOICE"/>
    <n v="1526005797"/>
    <n v="1000006054"/>
    <m/>
    <m/>
    <x v="4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300"/>
    <s v="EA"/>
    <n v="136.6"/>
    <s v="INR"/>
    <n v="40980"/>
    <n v="0"/>
    <n v="40980"/>
    <n v="0"/>
    <n v="0"/>
    <n v="0"/>
    <n v="0"/>
    <n v="40980"/>
    <n v="0"/>
    <n v="0"/>
    <n v="0"/>
    <n v="0"/>
    <n v="0"/>
    <n v="0"/>
    <n v="0"/>
    <n v="0"/>
    <n v="40980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5796"/>
    <n v="1000006053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5474"/>
    <s v="04.05.2026"/>
  </r>
  <r>
    <n v="1115"/>
    <n v="1115"/>
    <n v="10"/>
    <n v="2"/>
    <s v="Three Wheelers"/>
    <s v="F2"/>
    <s v="COMMERCIAL INVOICE"/>
    <n v="1526005795"/>
    <n v="1000006052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5063"/>
    <s v="04.05.2026"/>
  </r>
  <r>
    <n v="1115"/>
    <n v="1115"/>
    <n v="10"/>
    <n v="2"/>
    <s v="Three Wheelers"/>
    <s v="F2"/>
    <s v="COMMERCIAL INVOICE"/>
    <n v="1526005794"/>
    <n v="1000006051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5010"/>
    <s v="04.05.2026"/>
  </r>
  <r>
    <n v="1115"/>
    <n v="1115"/>
    <n v="10"/>
    <n v="2"/>
    <s v="Three Wheelers"/>
    <s v="F2"/>
    <s v="COMMERCIAL INVOICE"/>
    <n v="1526005793"/>
    <n v="1000006050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89238"/>
    <s v="04.05.2026"/>
  </r>
  <r>
    <n v="1115"/>
    <n v="1115"/>
    <n v="10"/>
    <n v="2"/>
    <s v="Three Wheelers"/>
    <s v="F2"/>
    <s v="COMMERCIAL INVOICE"/>
    <n v="1526005792"/>
    <n v="1000006049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98125"/>
    <s v="04.05.2026"/>
  </r>
  <r>
    <n v="1115"/>
    <n v="1115"/>
    <n v="10"/>
    <n v="2"/>
    <s v="Three Wheelers"/>
    <s v="F2"/>
    <s v="COMMERCIAL INVOICE"/>
    <n v="1526005791"/>
    <n v="1000006048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97752"/>
    <s v="04.05.2026"/>
  </r>
  <r>
    <n v="1115"/>
    <n v="1115"/>
    <n v="10"/>
    <n v="2"/>
    <s v="Three Wheelers"/>
    <s v="F2"/>
    <s v="COMMERCIAL INVOICE"/>
    <n v="1526005790"/>
    <n v="1000006047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97359"/>
    <s v="04.05.2026"/>
  </r>
  <r>
    <n v="1115"/>
    <n v="1115"/>
    <n v="10"/>
    <n v="2"/>
    <s v="Three Wheelers"/>
    <s v="F2"/>
    <s v="COMMERCIAL INVOICE"/>
    <n v="1526005789"/>
    <n v="1000006046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89280"/>
    <s v="04.05.2026"/>
  </r>
  <r>
    <n v="1115"/>
    <n v="1115"/>
    <n v="10"/>
    <n v="2"/>
    <s v="Three Wheelers"/>
    <s v="F2"/>
    <s v="COMMERCIAL INVOICE"/>
    <n v="1526005788"/>
    <n v="1000006045"/>
    <m/>
    <m/>
    <x v="4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084656"/>
    <s v="03.05.2026"/>
  </r>
  <r>
    <n v="1115"/>
    <n v="1115"/>
    <n v="10"/>
    <n v="2"/>
    <s v="Three Wheelers"/>
    <s v="F2"/>
    <s v="COMMERCIAL INVOICE"/>
    <n v="1526005787"/>
    <n v="1000006044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4715"/>
    <s v="03.05.2026"/>
  </r>
  <r>
    <n v="1115"/>
    <n v="1115"/>
    <n v="10"/>
    <n v="2"/>
    <s v="Three Wheelers"/>
    <s v="F2"/>
    <s v="COMMERCIAL INVOICE"/>
    <n v="1526005786"/>
    <n v="1000006043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4538"/>
    <s v="03.05.2026"/>
  </r>
  <r>
    <n v="1115"/>
    <n v="1115"/>
    <n v="10"/>
    <n v="2"/>
    <s v="Three Wheelers"/>
    <s v="F2"/>
    <s v="COMMERCIAL INVOICE"/>
    <n v="1526005785"/>
    <n v="1000006042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2604"/>
    <s v="03.05.2026"/>
  </r>
  <r>
    <n v="1115"/>
    <n v="1115"/>
    <n v="10"/>
    <n v="2"/>
    <s v="Three Wheelers"/>
    <s v="F2"/>
    <s v="COMMERCIAL INVOICE"/>
    <n v="1526005784"/>
    <n v="1000006041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89016"/>
    <s v="04.05.2026"/>
  </r>
  <r>
    <n v="1115"/>
    <n v="1115"/>
    <n v="10"/>
    <n v="2"/>
    <s v="Three Wheelers"/>
    <s v="F2"/>
    <s v="COMMERCIAL INVOICE"/>
    <n v="1526005783"/>
    <n v="1000006040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85535"/>
    <s v="04.05.2026"/>
  </r>
  <r>
    <n v="1115"/>
    <n v="1115"/>
    <n v="10"/>
    <n v="2"/>
    <s v="Three Wheelers"/>
    <s v="F2"/>
    <s v="COMMERCIAL INVOICE"/>
    <n v="1526005782"/>
    <n v="1000006039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89125"/>
    <s v="04.05.2026"/>
  </r>
  <r>
    <n v="1115"/>
    <n v="1115"/>
    <n v="10"/>
    <n v="2"/>
    <s v="Three Wheelers"/>
    <s v="F2"/>
    <s v="COMMERCIAL INVOICE"/>
    <n v="1526005781"/>
    <n v="1000006038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85303"/>
    <s v="04.05.2026"/>
  </r>
  <r>
    <n v="1115"/>
    <n v="1115"/>
    <n v="10"/>
    <n v="2"/>
    <s v="Three Wheelers"/>
    <s v="F2"/>
    <s v="COMMERCIAL INVOICE"/>
    <n v="1526005780"/>
    <n v="1000006037"/>
    <m/>
    <m/>
    <x v="4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085306"/>
    <s v="04.05.2026"/>
  </r>
  <r>
    <n v="1115"/>
    <n v="1115"/>
    <n v="10"/>
    <n v="2"/>
    <s v="Three Wheelers"/>
    <s v="F2"/>
    <s v="COMMERCIAL INVOICE"/>
    <n v="1526005779"/>
    <n v="1000006036"/>
    <m/>
    <m/>
    <x v="4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n v="5094084721"/>
    <s v="03.05.2026"/>
  </r>
  <r>
    <n v="1115"/>
    <n v="1115"/>
    <n v="10"/>
    <n v="2"/>
    <s v="Three Wheelers"/>
    <s v="F2"/>
    <s v="COMMERCIAL INVOICE"/>
    <n v="1526005778"/>
    <n v="1000006035"/>
    <m/>
    <m/>
    <x v="4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n v="5094084720"/>
    <s v="03.05.2026"/>
  </r>
  <r>
    <n v="1115"/>
    <n v="1115"/>
    <n v="10"/>
    <n v="2"/>
    <s v="Three Wheelers"/>
    <s v="F2"/>
    <s v="COMMERCIAL INVOICE"/>
    <n v="1526005722"/>
    <n v="1000005979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79828"/>
    <s v="03.05.2026"/>
  </r>
  <r>
    <n v="1115"/>
    <n v="1115"/>
    <n v="10"/>
    <n v="2"/>
    <s v="Three Wheelers"/>
    <s v="F2"/>
    <s v="COMMERCIAL INVOICE"/>
    <n v="1526005672"/>
    <n v="1000005918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4029"/>
    <s v="03.05.2026"/>
  </r>
  <r>
    <n v="1115"/>
    <n v="1115"/>
    <n v="10"/>
    <n v="2"/>
    <s v="Three Wheelers"/>
    <s v="F2"/>
    <s v="COMMERCIAL INVOICE"/>
    <n v="1526005671"/>
    <n v="1000005917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5092"/>
    <s v="03.05.2026"/>
  </r>
  <r>
    <n v="1115"/>
    <n v="1115"/>
    <n v="10"/>
    <n v="2"/>
    <s v="Three Wheelers"/>
    <s v="F2"/>
    <s v="COMMERCIAL INVOICE"/>
    <n v="1526005670"/>
    <n v="1000005916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5137"/>
    <s v="03.05.2026"/>
  </r>
  <r>
    <n v="1115"/>
    <n v="1115"/>
    <n v="10"/>
    <n v="2"/>
    <s v="Three Wheelers"/>
    <s v="F2"/>
    <s v="COMMERCIAL INVOICE"/>
    <n v="1526005669"/>
    <n v="1000005915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5544"/>
    <s v="03.05.2026"/>
  </r>
  <r>
    <n v="1115"/>
    <n v="1115"/>
    <n v="10"/>
    <n v="2"/>
    <s v="Three Wheelers"/>
    <s v="F2"/>
    <s v="COMMERCIAL INVOICE"/>
    <n v="1526005668"/>
    <n v="1000005914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5048"/>
    <s v="03.05.2026"/>
  </r>
  <r>
    <n v="1115"/>
    <n v="1115"/>
    <n v="10"/>
    <n v="2"/>
    <s v="Three Wheelers"/>
    <s v="F2"/>
    <s v="COMMERCIAL INVOICE"/>
    <n v="1526005667"/>
    <n v="1000005913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6643"/>
    <s v="03.05.2026"/>
  </r>
  <r>
    <n v="1115"/>
    <n v="1115"/>
    <n v="10"/>
    <n v="2"/>
    <s v="Three Wheelers"/>
    <s v="F2"/>
    <s v="COMMERCIAL INVOICE"/>
    <n v="1526005666"/>
    <n v="1000005912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9251"/>
    <s v="03.05.2026"/>
  </r>
  <r>
    <n v="1115"/>
    <n v="1115"/>
    <n v="10"/>
    <n v="2"/>
    <s v="Three Wheelers"/>
    <s v="F2"/>
    <s v="COMMERCIAL INVOICE"/>
    <n v="1526005665"/>
    <n v="1000005911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9704"/>
    <s v="03.05.2026"/>
  </r>
  <r>
    <n v="1115"/>
    <n v="1115"/>
    <n v="10"/>
    <n v="2"/>
    <s v="Three Wheelers"/>
    <s v="F2"/>
    <s v="COMMERCIAL INVOICE"/>
    <n v="1526005664"/>
    <n v="1000005910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2601"/>
    <s v="03.05.2026"/>
  </r>
  <r>
    <n v="1115"/>
    <n v="1115"/>
    <n v="10"/>
    <n v="2"/>
    <s v="Three Wheelers"/>
    <s v="F2"/>
    <s v="COMMERCIAL INVOICE"/>
    <n v="1526005663"/>
    <n v="1000005909"/>
    <m/>
    <m/>
    <x v="4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300"/>
    <s v="EA"/>
    <n v="136.6"/>
    <s v="INR"/>
    <n v="40980"/>
    <n v="0"/>
    <n v="40980"/>
    <n v="0"/>
    <n v="0"/>
    <n v="0"/>
    <n v="0"/>
    <n v="40980"/>
    <n v="0"/>
    <n v="0"/>
    <n v="0"/>
    <n v="0"/>
    <n v="0"/>
    <n v="0"/>
    <n v="0"/>
    <n v="0"/>
    <n v="40980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5662"/>
    <n v="1000005908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1465"/>
    <s v="03.05.2026"/>
  </r>
  <r>
    <n v="1115"/>
    <n v="1115"/>
    <n v="10"/>
    <n v="2"/>
    <s v="Three Wheelers"/>
    <s v="F2"/>
    <s v="COMMERCIAL INVOICE"/>
    <n v="1526005661"/>
    <n v="1000005907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2636"/>
    <s v="03.05.2026"/>
  </r>
  <r>
    <n v="1115"/>
    <n v="1115"/>
    <n v="10"/>
    <n v="2"/>
    <s v="Three Wheelers"/>
    <s v="F2"/>
    <s v="COMMERCIAL INVOICE"/>
    <n v="1526005660"/>
    <n v="1000005906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1543"/>
    <s v="03.05.2026"/>
  </r>
  <r>
    <n v="1115"/>
    <n v="1115"/>
    <n v="10"/>
    <n v="2"/>
    <s v="Three Wheelers"/>
    <s v="F2"/>
    <s v="COMMERCIAL INVOICE"/>
    <n v="1526005659"/>
    <n v="1000005905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1528"/>
    <s v="03.05.2026"/>
  </r>
  <r>
    <n v="1115"/>
    <n v="1115"/>
    <n v="10"/>
    <n v="2"/>
    <s v="Three Wheelers"/>
    <s v="F2"/>
    <s v="COMMERCIAL INVOICE"/>
    <n v="1526005658"/>
    <n v="1000005904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521"/>
    <s v="03.05.2026"/>
  </r>
  <r>
    <n v="1115"/>
    <n v="1115"/>
    <n v="10"/>
    <n v="2"/>
    <s v="Three Wheelers"/>
    <s v="F2"/>
    <s v="COMMERCIAL INVOICE"/>
    <n v="1526005657"/>
    <n v="1000005903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4950"/>
    <s v="03.05.2026"/>
  </r>
  <r>
    <n v="1115"/>
    <n v="1115"/>
    <n v="10"/>
    <n v="2"/>
    <s v="Three Wheelers"/>
    <s v="F2"/>
    <s v="COMMERCIAL INVOICE"/>
    <n v="1526005656"/>
    <n v="1000005902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500"/>
    <s v="03.05.2026"/>
  </r>
  <r>
    <n v="1115"/>
    <n v="1115"/>
    <n v="10"/>
    <n v="2"/>
    <s v="Three Wheelers"/>
    <s v="F2"/>
    <s v="COMMERCIAL INVOICE"/>
    <n v="1526005655"/>
    <n v="1000005901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5002"/>
    <s v="03.05.2026"/>
  </r>
  <r>
    <n v="1115"/>
    <n v="1115"/>
    <n v="10"/>
    <n v="2"/>
    <s v="Three Wheelers"/>
    <s v="F2"/>
    <s v="COMMERCIAL INVOICE"/>
    <n v="1526005654"/>
    <n v="1000005900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463"/>
    <s v="03.05.2026"/>
  </r>
  <r>
    <n v="1115"/>
    <n v="1115"/>
    <n v="10"/>
    <n v="2"/>
    <s v="Three Wheelers"/>
    <s v="F2"/>
    <s v="COMMERCIAL INVOICE"/>
    <n v="1526005653"/>
    <n v="1000005899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8992"/>
    <s v="03.05.2026"/>
  </r>
  <r>
    <n v="1115"/>
    <n v="1115"/>
    <n v="10"/>
    <n v="2"/>
    <s v="Three Wheelers"/>
    <s v="F2"/>
    <s v="COMMERCIAL INVOICE"/>
    <n v="1526005652"/>
    <n v="1000005898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8988"/>
    <s v="03.05.2026"/>
  </r>
  <r>
    <n v="1115"/>
    <n v="1115"/>
    <n v="10"/>
    <n v="2"/>
    <s v="Three Wheelers"/>
    <s v="F2"/>
    <s v="COMMERCIAL INVOICE"/>
    <n v="1526005651"/>
    <n v="1000005897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9568"/>
    <s v="03.05.2026"/>
  </r>
  <r>
    <n v="1115"/>
    <n v="1115"/>
    <n v="10"/>
    <n v="2"/>
    <s v="Three Wheelers"/>
    <s v="F2"/>
    <s v="COMMERCIAL INVOICE"/>
    <n v="1526005650"/>
    <n v="1000005896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84315"/>
    <s v="03.05.2026"/>
  </r>
  <r>
    <n v="1115"/>
    <n v="1115"/>
    <n v="10"/>
    <n v="2"/>
    <s v="Three Wheelers"/>
    <s v="F2"/>
    <s v="COMMERCIAL INVOICE"/>
    <n v="1526005649"/>
    <n v="1000005895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969"/>
    <s v="03.05.2026"/>
  </r>
  <r>
    <n v="1115"/>
    <n v="1115"/>
    <n v="10"/>
    <n v="2"/>
    <s v="Three Wheelers"/>
    <s v="F2"/>
    <s v="COMMERCIAL INVOICE"/>
    <n v="1526005648"/>
    <n v="1000005894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983"/>
    <s v="03.05.2026"/>
  </r>
  <r>
    <n v="1115"/>
    <n v="1115"/>
    <n v="10"/>
    <n v="2"/>
    <s v="Three Wheelers"/>
    <s v="F2"/>
    <s v="COMMERCIAL INVOICE"/>
    <n v="1526005647"/>
    <n v="1000005893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868"/>
    <s v="03.05.2026"/>
  </r>
  <r>
    <n v="1115"/>
    <n v="1115"/>
    <n v="10"/>
    <n v="2"/>
    <s v="Three Wheelers"/>
    <s v="F2"/>
    <s v="COMMERCIAL INVOICE"/>
    <n v="1526005646"/>
    <n v="1000005892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457"/>
    <s v="03.05.2026"/>
  </r>
  <r>
    <n v="1115"/>
    <n v="1115"/>
    <n v="10"/>
    <n v="2"/>
    <s v="Three Wheelers"/>
    <s v="F2"/>
    <s v="COMMERCIAL INVOICE"/>
    <n v="1526005645"/>
    <n v="1000005891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71525"/>
    <s v="03.05.2026"/>
  </r>
  <r>
    <n v="1115"/>
    <n v="1115"/>
    <n v="10"/>
    <n v="2"/>
    <s v="Three Wheelers"/>
    <s v="F2"/>
    <s v="COMMERCIAL INVOICE"/>
    <n v="1526005644"/>
    <n v="1000005890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71415"/>
    <s v="03.05.2026"/>
  </r>
  <r>
    <n v="1115"/>
    <n v="1115"/>
    <n v="10"/>
    <n v="2"/>
    <s v="Three Wheelers"/>
    <s v="F2"/>
    <s v="COMMERCIAL INVOICE"/>
    <n v="1526005643"/>
    <n v="1000005889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79703"/>
    <s v="03.05.2026"/>
  </r>
  <r>
    <n v="1115"/>
    <n v="1115"/>
    <n v="10"/>
    <n v="2"/>
    <s v="Three Wheelers"/>
    <s v="F2"/>
    <s v="COMMERCIAL INVOICE"/>
    <n v="1526005642"/>
    <n v="1000005888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2544"/>
    <s v="03.05.2026"/>
  </r>
  <r>
    <n v="1115"/>
    <n v="1115"/>
    <n v="10"/>
    <n v="2"/>
    <s v="Three Wheelers"/>
    <s v="F2"/>
    <s v="COMMERCIAL INVOICE"/>
    <n v="1526005640"/>
    <n v="1000005887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737"/>
    <s v="03.05.2026"/>
  </r>
  <r>
    <n v="1115"/>
    <n v="1115"/>
    <n v="10"/>
    <n v="2"/>
    <s v="Three Wheelers"/>
    <s v="F2"/>
    <s v="COMMERCIAL INVOICE"/>
    <n v="1526005639"/>
    <n v="1000005886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889"/>
    <s v="03.05.2026"/>
  </r>
  <r>
    <n v="1115"/>
    <n v="1115"/>
    <n v="10"/>
    <n v="2"/>
    <s v="Three Wheelers"/>
    <s v="F2"/>
    <s v="COMMERCIAL INVOICE"/>
    <n v="1526005638"/>
    <n v="1000005885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893"/>
    <s v="03.05.2026"/>
  </r>
  <r>
    <n v="1115"/>
    <n v="1115"/>
    <n v="10"/>
    <n v="2"/>
    <s v="Three Wheelers"/>
    <s v="F2"/>
    <s v="COMMERCIAL INVOICE"/>
    <n v="1526005637"/>
    <n v="1000005884"/>
    <m/>
    <m/>
    <x v="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1738"/>
    <s v="03.05.2026"/>
  </r>
  <r>
    <n v="1115"/>
    <n v="1115"/>
    <n v="10"/>
    <n v="2"/>
    <s v="Three Wheelers"/>
    <s v="F2"/>
    <s v="COMMERCIAL INVOICE"/>
    <n v="1526005636"/>
    <n v="1000005883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71253"/>
    <s v="03.05.2026"/>
  </r>
  <r>
    <n v="1115"/>
    <n v="1115"/>
    <n v="10"/>
    <n v="2"/>
    <s v="Three Wheelers"/>
    <s v="F2"/>
    <s v="COMMERCIAL INVOICE"/>
    <n v="1526005635"/>
    <n v="1000005882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90048"/>
    <s v="04.05.2026"/>
  </r>
  <r>
    <n v="1115"/>
    <n v="1115"/>
    <n v="10"/>
    <n v="2"/>
    <s v="Three Wheelers"/>
    <s v="F2"/>
    <s v="COMMERCIAL INVOICE"/>
    <n v="1526005634"/>
    <n v="1000005881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73669"/>
    <s v="03.05.2026"/>
  </r>
  <r>
    <n v="1115"/>
    <n v="1115"/>
    <n v="10"/>
    <n v="2"/>
    <s v="Three Wheelers"/>
    <s v="F2"/>
    <s v="COMMERCIAL INVOICE"/>
    <n v="1526005633"/>
    <n v="1000005880"/>
    <m/>
    <m/>
    <x v="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76507"/>
    <s v="03.05.2026"/>
  </r>
  <r>
    <n v="1115"/>
    <n v="1115"/>
    <n v="10"/>
    <n v="2"/>
    <s v="Three Wheelers"/>
    <s v="F2"/>
    <s v="COMMERCIAL INVOICE"/>
    <n v="1526005673"/>
    <n v="1000005919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4734"/>
    <s v="03.05.2026"/>
  </r>
  <r>
    <n v="1115"/>
    <n v="1115"/>
    <n v="10"/>
    <n v="2"/>
    <s v="Three Wheelers"/>
    <s v="F2"/>
    <s v="COMMERCIAL INVOICE"/>
    <n v="1526005721"/>
    <n v="1000005978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79820"/>
    <s v="03.05.2026"/>
  </r>
  <r>
    <n v="1115"/>
    <n v="1115"/>
    <n v="10"/>
    <n v="2"/>
    <s v="Three Wheelers"/>
    <s v="F2"/>
    <s v="COMMERCIAL INVOICE"/>
    <n v="1526005720"/>
    <n v="1000005977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79819"/>
    <s v="03.05.2026"/>
  </r>
  <r>
    <n v="1115"/>
    <n v="1115"/>
    <n v="10"/>
    <n v="2"/>
    <s v="Three Wheelers"/>
    <s v="F2"/>
    <s v="COMMERCIAL INVOICE"/>
    <n v="1526005717"/>
    <n v="1000005968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83334"/>
    <s v="03.05.2026"/>
  </r>
  <r>
    <n v="1115"/>
    <n v="1115"/>
    <n v="10"/>
    <n v="2"/>
    <s v="Three Wheelers"/>
    <s v="F2"/>
    <s v="COMMERCIAL INVOICE"/>
    <n v="1526005716"/>
    <n v="1000005967"/>
    <m/>
    <m/>
    <x v="4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288"/>
    <s v="EA"/>
    <n v="174.61"/>
    <s v="INR"/>
    <n v="50287.68"/>
    <n v="0"/>
    <n v="50287.68"/>
    <n v="0"/>
    <n v="0"/>
    <n v="0"/>
    <n v="0"/>
    <n v="50287.68"/>
    <n v="0"/>
    <n v="0"/>
    <n v="0"/>
    <n v="0"/>
    <n v="0"/>
    <n v="0"/>
    <n v="0"/>
    <n v="0"/>
    <n v="50287.68"/>
    <n v="0"/>
    <n v="0"/>
    <n v="311000"/>
    <s v="SALE FINISHED GOODS"/>
    <n v="0"/>
    <n v="0"/>
    <n v="0"/>
    <s v="AF232042"/>
    <n v="1511"/>
    <s v="FG Loose 3WH"/>
    <n v="5094077888"/>
    <s v="03.05.2026"/>
  </r>
  <r>
    <n v="1115"/>
    <n v="1115"/>
    <n v="10"/>
    <n v="2"/>
    <s v="Three Wheelers"/>
    <s v="F2"/>
    <s v="COMMERCIAL INVOICE"/>
    <n v="1526005715"/>
    <n v="1000005966"/>
    <m/>
    <m/>
    <x v="4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200"/>
    <s v="EA"/>
    <n v="174.61"/>
    <s v="INR"/>
    <n v="34922"/>
    <n v="0"/>
    <n v="34922"/>
    <n v="0"/>
    <n v="0"/>
    <n v="0"/>
    <n v="0"/>
    <n v="34922"/>
    <n v="0"/>
    <n v="0"/>
    <n v="0"/>
    <n v="0"/>
    <n v="0"/>
    <n v="0"/>
    <n v="0"/>
    <n v="0"/>
    <n v="34922"/>
    <n v="0"/>
    <n v="0"/>
    <n v="311000"/>
    <s v="SALE FINISHED GOODS"/>
    <n v="0"/>
    <n v="0"/>
    <n v="0"/>
    <s v="AF232042"/>
    <n v="1511"/>
    <s v="FG Loose 3WH"/>
    <n v="5094075720"/>
    <s v="03.05.2026"/>
  </r>
  <r>
    <n v="1115"/>
    <n v="1115"/>
    <n v="10"/>
    <n v="2"/>
    <s v="Three Wheelers"/>
    <s v="F2"/>
    <s v="COMMERCIAL INVOICE"/>
    <n v="1526005714"/>
    <n v="1000005965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9372"/>
    <s v="03.05.2026"/>
  </r>
  <r>
    <n v="1115"/>
    <n v="1115"/>
    <n v="10"/>
    <n v="2"/>
    <s v="Three Wheelers"/>
    <s v="F2"/>
    <s v="COMMERCIAL INVOICE"/>
    <n v="1526005713"/>
    <n v="1000005964"/>
    <m/>
    <m/>
    <x v="4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079072"/>
    <s v="03.05.2026"/>
  </r>
  <r>
    <n v="1115"/>
    <n v="1115"/>
    <n v="10"/>
    <n v="2"/>
    <s v="Three Wheelers"/>
    <s v="F2"/>
    <s v="COMMERCIAL INVOICE"/>
    <n v="1526005712"/>
    <n v="1000005963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6339"/>
    <s v="03.05.2026"/>
  </r>
  <r>
    <n v="1115"/>
    <n v="1115"/>
    <n v="10"/>
    <n v="2"/>
    <s v="Three Wheelers"/>
    <s v="F2"/>
    <s v="COMMERCIAL INVOICE"/>
    <n v="1526005711"/>
    <n v="1000005962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079708"/>
    <s v="03.05.2026"/>
  </r>
  <r>
    <n v="1115"/>
    <n v="1115"/>
    <n v="10"/>
    <n v="2"/>
    <s v="Three Wheelers"/>
    <s v="F2"/>
    <s v="COMMERCIAL INVOICE"/>
    <n v="1526005710"/>
    <n v="1000005961"/>
    <m/>
    <m/>
    <x v="4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8"/>
    <s v="EA"/>
    <n v="9397.5"/>
    <s v="INR"/>
    <n v="75180"/>
    <n v="0"/>
    <n v="75180"/>
    <n v="0"/>
    <n v="0"/>
    <n v="0"/>
    <n v="0"/>
    <n v="75180"/>
    <n v="0"/>
    <n v="0"/>
    <n v="0"/>
    <n v="0"/>
    <n v="0"/>
    <n v="0"/>
    <n v="0"/>
    <n v="0"/>
    <n v="75180"/>
    <n v="0"/>
    <n v="0"/>
    <n v="311000"/>
    <s v="SALE FINISHED GOODS"/>
    <n v="69.5"/>
    <n v="69.5"/>
    <n v="0"/>
    <s v="52AZ0184"/>
    <n v="1509"/>
    <s v="FG Body"/>
    <n v="5094076948"/>
    <s v="03.05.2026"/>
  </r>
  <r>
    <n v="1115"/>
    <n v="1115"/>
    <n v="10"/>
    <n v="2"/>
    <s v="Three Wheelers"/>
    <s v="F2"/>
    <s v="COMMERCIAL INVOICE"/>
    <n v="1526005709"/>
    <n v="1000005960"/>
    <m/>
    <m/>
    <x v="4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80"/>
    <s v="EA"/>
    <n v="380.93"/>
    <s v="INR"/>
    <n v="30474.400000000001"/>
    <n v="0"/>
    <n v="30474.400000000001"/>
    <n v="0"/>
    <n v="0"/>
    <n v="0"/>
    <n v="0"/>
    <n v="30474.400000000001"/>
    <n v="0"/>
    <n v="0"/>
    <n v="0"/>
    <n v="0"/>
    <n v="0"/>
    <n v="0"/>
    <n v="0"/>
    <n v="0"/>
    <n v="30474.400000000001"/>
    <n v="0"/>
    <n v="0"/>
    <n v="311000"/>
    <s v="SALE FINISHED GOODS"/>
    <n v="2.13"/>
    <n v="2.13"/>
    <n v="0"/>
    <s v="AH111571"/>
    <n v="1511"/>
    <s v="FG Loose 3WH"/>
    <n v="5094076290"/>
    <s v="03.05.2026"/>
  </r>
  <r>
    <n v="1115"/>
    <n v="1115"/>
    <n v="10"/>
    <n v="2"/>
    <s v="Three Wheelers"/>
    <s v="F2"/>
    <s v="COMMERCIAL INVOICE"/>
    <n v="1526005708"/>
    <n v="1000005959"/>
    <m/>
    <m/>
    <x v="4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080014"/>
    <s v="03.05.2026"/>
  </r>
  <r>
    <n v="1115"/>
    <n v="1115"/>
    <n v="10"/>
    <n v="2"/>
    <s v="Three Wheelers"/>
    <s v="F2"/>
    <s v="COMMERCIAL INVOICE"/>
    <n v="1526005706"/>
    <n v="1000005956"/>
    <m/>
    <m/>
    <x v="4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180"/>
    <s v="EA"/>
    <n v="217.33"/>
    <s v="INR"/>
    <n v="39119.4"/>
    <n v="0"/>
    <n v="39119.4"/>
    <n v="0"/>
    <n v="0"/>
    <n v="0"/>
    <n v="0"/>
    <n v="39119.4"/>
    <n v="0"/>
    <n v="0"/>
    <n v="0"/>
    <n v="0"/>
    <n v="0"/>
    <n v="0"/>
    <n v="0"/>
    <n v="0"/>
    <n v="39119.4"/>
    <n v="0"/>
    <n v="0"/>
    <n v="311000"/>
    <s v="SALE FINISHED GOODS"/>
    <n v="1.19"/>
    <n v="1.19"/>
    <n v="0"/>
    <s v="AA102281"/>
    <n v="1511"/>
    <s v="FG Loose 3WH"/>
    <n v="5094076453"/>
    <s v="03.05.2026"/>
  </r>
  <r>
    <n v="1115"/>
    <n v="1115"/>
    <n v="10"/>
    <n v="2"/>
    <s v="Three Wheelers"/>
    <s v="F2"/>
    <s v="COMMERCIAL INVOICE"/>
    <n v="1526005702"/>
    <n v="1000005946"/>
    <m/>
    <m/>
    <x v="4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00"/>
    <s v="EA"/>
    <n v="506.59"/>
    <s v="INR"/>
    <n v="50659"/>
    <n v="0"/>
    <n v="50659"/>
    <n v="0"/>
    <n v="0"/>
    <n v="0"/>
    <n v="0"/>
    <n v="50659"/>
    <n v="0"/>
    <n v="0"/>
    <n v="0"/>
    <n v="0"/>
    <n v="0"/>
    <n v="0"/>
    <n v="0"/>
    <n v="0"/>
    <n v="50659"/>
    <n v="0"/>
    <n v="0"/>
    <n v="311000"/>
    <s v="SALE FINISHED GOODS"/>
    <n v="2.27"/>
    <n v="2.27"/>
    <n v="0"/>
    <s v="52BA0832"/>
    <n v="1511"/>
    <s v="FG Loose 3WH"/>
    <n v="5094084719"/>
    <s v="03.05.2026"/>
  </r>
  <r>
    <n v="1115"/>
    <n v="1115"/>
    <n v="10"/>
    <n v="2"/>
    <s v="Three Wheelers"/>
    <s v="F2"/>
    <s v="COMMERCIAL INVOICE"/>
    <n v="1526005701"/>
    <n v="1000005945"/>
    <m/>
    <m/>
    <x v="4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084698"/>
    <s v="03.05.2026"/>
  </r>
  <r>
    <n v="1115"/>
    <n v="1115"/>
    <n v="10"/>
    <n v="2"/>
    <s v="Three Wheelers"/>
    <s v="F2"/>
    <s v="COMMERCIAL INVOICE"/>
    <n v="1526005700"/>
    <n v="1000005944"/>
    <m/>
    <m/>
    <x v="4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20"/>
    <s v="EA"/>
    <n v="506.59"/>
    <s v="INR"/>
    <n v="10131.799999999999"/>
    <n v="0"/>
    <n v="10131.799999999999"/>
    <n v="0"/>
    <n v="0"/>
    <n v="0"/>
    <n v="0"/>
    <n v="10131.799999999999"/>
    <n v="0"/>
    <n v="0"/>
    <n v="0"/>
    <n v="0"/>
    <n v="0"/>
    <n v="0"/>
    <n v="0"/>
    <n v="0"/>
    <n v="10131.799999999999"/>
    <n v="0"/>
    <n v="0"/>
    <n v="311000"/>
    <s v="SALE FINISHED GOODS"/>
    <n v="2.27"/>
    <n v="2.27"/>
    <n v="0"/>
    <s v="52BA0832"/>
    <n v="1511"/>
    <s v="FG Loose 3WH"/>
    <n v="5094084690"/>
    <s v="03.05.2026"/>
  </r>
  <r>
    <n v="1115"/>
    <n v="1115"/>
    <n v="10"/>
    <n v="2"/>
    <s v="Three Wheelers"/>
    <s v="F2"/>
    <s v="COMMERCIAL INVOICE"/>
    <n v="1526005699"/>
    <n v="1000005943"/>
    <m/>
    <m/>
    <x v="4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n v="5094074508"/>
    <s v="03.05.2026"/>
  </r>
  <r>
    <n v="1115"/>
    <n v="1115"/>
    <n v="10"/>
    <n v="2"/>
    <s v="Three Wheelers"/>
    <s v="F2"/>
    <s v="COMMERCIAL INVOICE"/>
    <n v="1526005697"/>
    <n v="1000005942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83467"/>
    <s v="03.05.2026"/>
  </r>
  <r>
    <n v="1115"/>
    <n v="1115"/>
    <n v="10"/>
    <n v="2"/>
    <s v="Three Wheelers"/>
    <s v="F2"/>
    <s v="COMMERCIAL INVOICE"/>
    <n v="1526005696"/>
    <n v="1000005941"/>
    <m/>
    <m/>
    <x v="4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079705"/>
    <s v="03.05.2026"/>
  </r>
  <r>
    <n v="1115"/>
    <n v="1115"/>
    <n v="10"/>
    <n v="2"/>
    <s v="Three Wheelers"/>
    <s v="F2"/>
    <s v="COMMERCIAL INVOICE"/>
    <n v="1526005695"/>
    <n v="1000005940"/>
    <m/>
    <m/>
    <x v="4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96616"/>
    <s v="04.05.2026"/>
  </r>
  <r>
    <n v="1115"/>
    <n v="1115"/>
    <n v="10"/>
    <n v="2"/>
    <s v="Three Wheelers"/>
    <s v="F2"/>
    <s v="COMMERCIAL INVOICE"/>
    <n v="1526005694"/>
    <n v="1000005939"/>
    <m/>
    <m/>
    <x v="4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101782"/>
    <s v="04.05.2026"/>
  </r>
  <r>
    <n v="1115"/>
    <n v="1115"/>
    <n v="10"/>
    <n v="2"/>
    <s v="Three Wheelers"/>
    <s v="F2"/>
    <s v="COMMERCIAL INVOICE"/>
    <n v="1526005693"/>
    <n v="1000005938"/>
    <m/>
    <m/>
    <x v="4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092874"/>
    <s v="04.05.2026"/>
  </r>
  <r>
    <n v="1115"/>
    <n v="1115"/>
    <n v="10"/>
    <n v="2"/>
    <s v="Three Wheelers"/>
    <s v="F2"/>
    <s v="COMMERCIAL INVOICE"/>
    <n v="1526005691"/>
    <n v="1000005936"/>
    <m/>
    <m/>
    <x v="4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084691"/>
    <s v="03.05.2026"/>
  </r>
  <r>
    <n v="1115"/>
    <n v="1115"/>
    <n v="10"/>
    <n v="2"/>
    <s v="Three Wheelers"/>
    <s v="F2"/>
    <s v="COMMERCIAL INVOICE"/>
    <n v="1526005690"/>
    <n v="1000005935"/>
    <m/>
    <m/>
    <x v="4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084692"/>
    <s v="03.05.2026"/>
  </r>
  <r>
    <n v="1115"/>
    <n v="1115"/>
    <n v="10"/>
    <n v="2"/>
    <s v="Three Wheelers"/>
    <s v="F2"/>
    <s v="COMMERCIAL INVOICE"/>
    <n v="1526005688"/>
    <n v="1000005934"/>
    <m/>
    <m/>
    <x v="4"/>
    <n v="5100001096"/>
    <s v="ZSCH"/>
    <s v="Normal Sales"/>
    <n v="4110004645"/>
    <s v="01.07.2017"/>
    <n v="5000"/>
    <s v="BAJAJ AUTO LIMITED (WALUJ)"/>
    <m/>
    <m/>
    <s v="27340676530V"/>
    <n v="1502040061"/>
    <s v="ASSLY FOR ISOLATOR BLOCK LH"/>
    <x v="13"/>
    <n v="87082900"/>
    <n v="72"/>
    <s v="EA"/>
    <n v="228.28"/>
    <s v="INR"/>
    <n v="16436.16"/>
    <n v="0"/>
    <n v="16436.16"/>
    <n v="0"/>
    <n v="0"/>
    <n v="0"/>
    <n v="0"/>
    <n v="16436.16"/>
    <n v="0"/>
    <n v="0"/>
    <n v="0"/>
    <n v="0"/>
    <n v="0"/>
    <n v="0"/>
    <n v="0"/>
    <n v="0"/>
    <n v="16436.16"/>
    <n v="0"/>
    <n v="0"/>
    <n v="311000"/>
    <s v="SALE FINISHED GOODS"/>
    <n v="1.68"/>
    <n v="1.68"/>
    <n v="0"/>
    <s v="52BA0209"/>
    <n v="1511"/>
    <s v="FG Loose 3WH"/>
    <n v="5094074917"/>
    <s v="03.05.2026"/>
  </r>
  <r>
    <n v="1115"/>
    <n v="1115"/>
    <n v="10"/>
    <n v="2"/>
    <s v="Three Wheelers"/>
    <s v="F2"/>
    <s v="COMMERCIAL INVOICE"/>
    <n v="1526005687"/>
    <n v="1000005933"/>
    <m/>
    <m/>
    <x v="4"/>
    <n v="5100001096"/>
    <s v="ZSCH"/>
    <s v="Normal Sales"/>
    <n v="4110004645"/>
    <s v="01.07.2017"/>
    <n v="5000"/>
    <s v="BAJAJ AUTO LIMITED (WALUJ)"/>
    <m/>
    <m/>
    <s v="27340676530V"/>
    <n v="1502040068"/>
    <s v="PART FOR ENG FOUNDATION BKT RH"/>
    <x v="15"/>
    <n v="87082900"/>
    <n v="72"/>
    <s v="EA"/>
    <n v="237.64"/>
    <s v="INR"/>
    <n v="17110.080000000002"/>
    <n v="0"/>
    <n v="17110.080000000002"/>
    <n v="0"/>
    <n v="0"/>
    <n v="0"/>
    <n v="0"/>
    <n v="17110.080000000002"/>
    <n v="0"/>
    <n v="0"/>
    <n v="0"/>
    <n v="0"/>
    <n v="0"/>
    <n v="0"/>
    <n v="0"/>
    <n v="0"/>
    <n v="17110.080000000002"/>
    <n v="0"/>
    <n v="0"/>
    <n v="311000"/>
    <s v="SALE FINISHED GOODS"/>
    <n v="1.68"/>
    <n v="1.68"/>
    <n v="0"/>
    <s v="52BA0101"/>
    <n v="1511"/>
    <s v="FG Loose 3WH"/>
    <n v="5094074936"/>
    <s v="03.05.2026"/>
  </r>
  <r>
    <n v="1115"/>
    <n v="1115"/>
    <n v="10"/>
    <n v="2"/>
    <s v="Three Wheelers"/>
    <s v="F2"/>
    <s v="COMMERCIAL INVOICE"/>
    <n v="1526005686"/>
    <n v="1000005932"/>
    <m/>
    <m/>
    <x v="4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079669"/>
    <s v="03.05.2026"/>
  </r>
  <r>
    <n v="1115"/>
    <n v="1115"/>
    <n v="10"/>
    <n v="2"/>
    <s v="Three Wheelers"/>
    <s v="F2"/>
    <s v="COMMERCIAL INVOICE"/>
    <n v="1526005685"/>
    <n v="1000005931"/>
    <m/>
    <m/>
    <x v="4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77606"/>
    <s v="03.05.2026"/>
  </r>
  <r>
    <n v="1115"/>
    <n v="1115"/>
    <n v="10"/>
    <n v="2"/>
    <s v="Three Wheelers"/>
    <s v="F2"/>
    <s v="COMMERCIAL INVOICE"/>
    <n v="1526005684"/>
    <n v="1000005930"/>
    <m/>
    <m/>
    <x v="4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74900"/>
    <s v="03.05.2026"/>
  </r>
  <r>
    <n v="1115"/>
    <n v="1115"/>
    <n v="10"/>
    <n v="2"/>
    <s v="Three Wheelers"/>
    <s v="F2"/>
    <s v="COMMERCIAL INVOICE"/>
    <n v="1526005683"/>
    <n v="1000005929"/>
    <m/>
    <m/>
    <x v="4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075168"/>
    <s v="03.05.2026"/>
  </r>
  <r>
    <n v="1115"/>
    <n v="1115"/>
    <n v="10"/>
    <n v="2"/>
    <s v="Three Wheelers"/>
    <s v="F2"/>
    <s v="COMMERCIAL INVOICE"/>
    <n v="1526005682"/>
    <n v="1000005928"/>
    <m/>
    <m/>
    <x v="4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077650"/>
    <s v="03.05.2026"/>
  </r>
  <r>
    <n v="1115"/>
    <n v="1115"/>
    <n v="10"/>
    <n v="2"/>
    <s v="Three Wheelers"/>
    <s v="F2"/>
    <s v="COMMERCIAL INVOICE"/>
    <n v="1526005681"/>
    <n v="1000005927"/>
    <m/>
    <m/>
    <x v="4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077583"/>
    <s v="03.05.2026"/>
  </r>
  <r>
    <n v="1115"/>
    <n v="1115"/>
    <n v="10"/>
    <n v="2"/>
    <s v="Three Wheelers"/>
    <s v="F2"/>
    <s v="COMMERCIAL INVOICE"/>
    <n v="1526005680"/>
    <n v="1000005926"/>
    <m/>
    <m/>
    <x v="4"/>
    <n v="5100001100"/>
    <s v="ZSCH"/>
    <s v="Normal Sales"/>
    <n v="4110004652"/>
    <s v="01.07.2017"/>
    <n v="5000"/>
    <s v="BAJAJ AUTO LIMITED (WALUJ)"/>
    <m/>
    <m/>
    <s v="27340676530V"/>
    <n v="1502040165"/>
    <s v="52BB0126 REAR COVER ASSLY GREEN RH"/>
    <x v="8"/>
    <n v="87082900"/>
    <n v="55"/>
    <s v="EA"/>
    <n v="165.65"/>
    <s v="INR"/>
    <n v="9110.75"/>
    <n v="0"/>
    <n v="9110.75"/>
    <n v="0"/>
    <n v="0"/>
    <n v="0"/>
    <n v="0"/>
    <n v="9110.75"/>
    <n v="0"/>
    <n v="0"/>
    <n v="0"/>
    <n v="0"/>
    <n v="0"/>
    <n v="0"/>
    <n v="0"/>
    <n v="0"/>
    <n v="9110.75"/>
    <n v="0"/>
    <n v="0"/>
    <n v="311000"/>
    <s v="SALE FINISHED GOODS"/>
    <n v="1.248"/>
    <n v="1.248"/>
    <n v="0"/>
    <s v="52BB0126"/>
    <n v="1511"/>
    <s v="FG Loose 3WH"/>
    <n v="5094081584"/>
    <s v="03.05.2026"/>
  </r>
  <r>
    <n v="1115"/>
    <n v="1115"/>
    <n v="10"/>
    <n v="2"/>
    <s v="Three Wheelers"/>
    <s v="F2"/>
    <s v="COMMERCIAL INVOICE"/>
    <n v="1526005679"/>
    <n v="1000005925"/>
    <m/>
    <m/>
    <x v="4"/>
    <n v="5100001100"/>
    <s v="ZSCH"/>
    <s v="Normal Sales"/>
    <n v="4110004652"/>
    <s v="01.07.2017"/>
    <n v="5000"/>
    <s v="BAJAJ AUTO LIMITED (WALUJ)"/>
    <m/>
    <m/>
    <s v="27340676530V"/>
    <n v="1502040164"/>
    <s v="52BB0125 REAR COVER ASSLY GREEN LH"/>
    <x v="8"/>
    <n v="87082900"/>
    <n v="55"/>
    <s v="EA"/>
    <n v="160.52000000000001"/>
    <s v="INR"/>
    <n v="8828.6"/>
    <n v="0"/>
    <n v="8828.6"/>
    <n v="0"/>
    <n v="0"/>
    <n v="0"/>
    <n v="0"/>
    <n v="8828.6"/>
    <n v="0"/>
    <n v="0"/>
    <n v="0"/>
    <n v="0"/>
    <n v="0"/>
    <n v="0"/>
    <n v="0"/>
    <n v="0"/>
    <n v="8828.6"/>
    <n v="0"/>
    <n v="0"/>
    <n v="311000"/>
    <s v="SALE FINISHED GOODS"/>
    <n v="1.1659999999999999"/>
    <n v="1.1659999999999999"/>
    <n v="0"/>
    <s v="52BB0125"/>
    <n v="1511"/>
    <s v="FG Loose 3WH"/>
    <n v="5094081603"/>
    <s v="03.05.2026"/>
  </r>
  <r>
    <n v="1115"/>
    <n v="1115"/>
    <n v="10"/>
    <n v="2"/>
    <s v="Three Wheelers"/>
    <s v="F2"/>
    <s v="COMMERCIAL INVOICE"/>
    <n v="1526005678"/>
    <n v="1000005924"/>
    <m/>
    <m/>
    <x v="4"/>
    <n v="5100001100"/>
    <s v="ZSCH"/>
    <s v="Normal Sales"/>
    <n v="4110004652"/>
    <s v="01.07.2017"/>
    <n v="5000"/>
    <s v="BAJAJ AUTO LIMITED (WALUJ)"/>
    <m/>
    <m/>
    <s v="27340676530V"/>
    <n v="1502040126"/>
    <s v="BB231369-COVER REAR LH FL"/>
    <x v="8"/>
    <n v="87082900"/>
    <n v="55"/>
    <s v="EA"/>
    <n v="155.58000000000001"/>
    <s v="INR"/>
    <n v="8556.9"/>
    <n v="0"/>
    <n v="8556.9"/>
    <n v="0"/>
    <n v="0"/>
    <n v="0"/>
    <n v="0"/>
    <n v="8556.9"/>
    <n v="0"/>
    <n v="0"/>
    <n v="0"/>
    <n v="0"/>
    <n v="0"/>
    <n v="0"/>
    <n v="0"/>
    <n v="0"/>
    <n v="8556.9"/>
    <n v="0"/>
    <n v="0"/>
    <n v="311000"/>
    <s v="SALE FINISHED GOODS"/>
    <n v="1.1850000000000001"/>
    <n v="1.1850000000000001"/>
    <n v="0"/>
    <s v="BB231369"/>
    <n v="1511"/>
    <s v="FG Loose 3WH"/>
    <n v="5094075879"/>
    <s v="03.05.2026"/>
  </r>
  <r>
    <n v="1115"/>
    <n v="1115"/>
    <n v="10"/>
    <n v="2"/>
    <s v="Three Wheelers"/>
    <s v="F2"/>
    <s v="COMMERCIAL INVOICE"/>
    <n v="1526005677"/>
    <n v="1000005923"/>
    <m/>
    <m/>
    <x v="4"/>
    <n v="5100001100"/>
    <s v="ZSCH"/>
    <s v="Normal Sales"/>
    <n v="4110004652"/>
    <s v="01.07.2017"/>
    <n v="5000"/>
    <s v="BAJAJ AUTO LIMITED (WALUJ)"/>
    <m/>
    <m/>
    <s v="27340676530V"/>
    <n v="1502040125"/>
    <s v="BB231370-COVER REAR RH FL"/>
    <x v="8"/>
    <n v="87082900"/>
    <n v="55"/>
    <s v="EA"/>
    <n v="160.44999999999999"/>
    <s v="INR"/>
    <n v="8824.75"/>
    <n v="0"/>
    <n v="8824.75"/>
    <n v="0"/>
    <n v="0"/>
    <n v="0"/>
    <n v="0"/>
    <n v="8824.75"/>
    <n v="0"/>
    <n v="0"/>
    <n v="0"/>
    <n v="0"/>
    <n v="0"/>
    <n v="0"/>
    <n v="0"/>
    <n v="0"/>
    <n v="8824.75"/>
    <n v="0"/>
    <n v="0"/>
    <n v="311000"/>
    <s v="SALE FINISHED GOODS"/>
    <n v="1.1850000000000001"/>
    <n v="1.1850000000000001"/>
    <n v="0"/>
    <s v="BB231370"/>
    <n v="1511"/>
    <s v="FG Loose 3WH"/>
    <n v="5094075827"/>
    <s v="03.05.2026"/>
  </r>
  <r>
    <n v="1115"/>
    <n v="1115"/>
    <n v="10"/>
    <n v="2"/>
    <s v="Three Wheelers"/>
    <s v="F2"/>
    <s v="COMMERCIAL INVOICE"/>
    <n v="1526005676"/>
    <n v="1000005922"/>
    <m/>
    <m/>
    <x v="4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082622"/>
    <s v="03.05.2026"/>
  </r>
  <r>
    <n v="1115"/>
    <n v="1115"/>
    <n v="10"/>
    <n v="2"/>
    <s v="Three Wheelers"/>
    <s v="F2"/>
    <s v="COMMERCIAL INVOICE"/>
    <n v="1526005675"/>
    <n v="1000005921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9954"/>
    <s v="03.05.2026"/>
  </r>
  <r>
    <n v="1115"/>
    <n v="1115"/>
    <n v="10"/>
    <n v="2"/>
    <s v="Three Wheelers"/>
    <s v="F2"/>
    <s v="COMMERCIAL INVOICE"/>
    <n v="1526005674"/>
    <n v="1000005920"/>
    <m/>
    <m/>
    <x v="4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075150"/>
    <s v="03.05.2026"/>
  </r>
  <r>
    <n v="1115"/>
    <n v="1115"/>
    <n v="10"/>
    <n v="2"/>
    <s v="Three Wheelers"/>
    <s v="F2"/>
    <s v="COMMERCIAL INVOICE"/>
    <n v="1526006332"/>
    <n v="1000006605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31"/>
    <n v="1000006604"/>
    <m/>
    <m/>
    <x v="5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1280"/>
    <s v="EA"/>
    <n v="174.11"/>
    <s v="INR"/>
    <n v="222860.79999999999"/>
    <n v="0"/>
    <n v="222860.79999999999"/>
    <n v="0"/>
    <n v="0"/>
    <n v="0"/>
    <n v="0"/>
    <n v="222860.79999999999"/>
    <n v="0"/>
    <n v="0"/>
    <n v="0"/>
    <n v="0"/>
    <n v="0"/>
    <n v="0"/>
    <n v="0"/>
    <n v="0"/>
    <n v="222860.79999999999"/>
    <n v="0"/>
    <n v="0"/>
    <n v="311000"/>
    <s v="SALE FINISHED GOODS"/>
    <n v="2.573"/>
    <n v="1.4910000000000001"/>
    <n v="1.0820000000000001"/>
    <s v="AA161289"/>
    <n v="1511"/>
    <s v="FG Loose 3WH"/>
    <s v="PENDING"/>
    <s v="Pending"/>
  </r>
  <r>
    <n v="1115"/>
    <n v="1115"/>
    <n v="10"/>
    <n v="2"/>
    <s v="Three Wheelers"/>
    <s v="F2"/>
    <s v="COMMERCIAL INVOICE"/>
    <n v="1526006329"/>
    <n v="1000006601"/>
    <m/>
    <m/>
    <x v="5"/>
    <n v="5100001445"/>
    <s v="ZSCH"/>
    <s v="Normal Sales"/>
    <n v="4110021696"/>
    <s v="08.08.2019"/>
    <n v="5000"/>
    <s v="BAJAJ AUTO LIMITED (WALUJ)"/>
    <m/>
    <m/>
    <s v="27340676530V"/>
    <n v="1502040233"/>
    <s v="BB161099 MUDGUARD FRONT REFL"/>
    <x v="3"/>
    <n v="87082900"/>
    <n v="800"/>
    <s v="EA"/>
    <n v="317.45999999999998"/>
    <s v="INR"/>
    <n v="253968"/>
    <n v="0"/>
    <n v="253968"/>
    <n v="0"/>
    <n v="0"/>
    <n v="0"/>
    <n v="0"/>
    <n v="253968"/>
    <n v="0"/>
    <n v="0"/>
    <n v="0"/>
    <n v="0"/>
    <n v="0"/>
    <n v="0"/>
    <n v="0"/>
    <n v="0"/>
    <n v="253968"/>
    <n v="0"/>
    <n v="0"/>
    <n v="311000"/>
    <s v="SALE FINISHED GOODS"/>
    <n v="3.4"/>
    <n v="2"/>
    <n v="1.4"/>
    <s v="BB161099"/>
    <n v="1511"/>
    <s v="FG Loose 3WH"/>
    <s v="PENDING"/>
    <s v="Pending"/>
  </r>
  <r>
    <n v="1115"/>
    <n v="1115"/>
    <n v="10"/>
    <n v="2"/>
    <s v="Three Wheelers"/>
    <s v="F2"/>
    <s v="COMMERCIAL INVOICE"/>
    <n v="1526006328"/>
    <n v="1000006600"/>
    <m/>
    <m/>
    <x v="5"/>
    <n v="5100001915"/>
    <s v="ZSCH"/>
    <s v="Normal Sales"/>
    <n v="4110052347"/>
    <s v="24.05.2024"/>
    <n v="5000"/>
    <s v="BAJAJ AUTO LIMITED (WALUJ)"/>
    <m/>
    <m/>
    <s v="27340676530V"/>
    <n v="1502040299"/>
    <s v="52BK0102 PANEL ASLY BODY RH OCEAN BLUEAF"/>
    <x v="4"/>
    <n v="87082900"/>
    <n v="80"/>
    <s v="EA"/>
    <n v="166.23"/>
    <s v="INR"/>
    <n v="13298.4"/>
    <n v="0"/>
    <n v="13298.4"/>
    <n v="0"/>
    <n v="0"/>
    <n v="0"/>
    <n v="0"/>
    <n v="13298.4"/>
    <n v="0"/>
    <n v="0"/>
    <n v="0"/>
    <n v="0"/>
    <n v="0"/>
    <n v="0"/>
    <n v="0"/>
    <n v="0"/>
    <n v="13298.4"/>
    <n v="0"/>
    <n v="0"/>
    <n v="311000"/>
    <s v="SALE FINISHED GOODS"/>
    <n v="0"/>
    <n v="0"/>
    <n v="0"/>
    <s v="52BK0102"/>
    <n v="1511"/>
    <s v="FG Loose 3WH"/>
    <s v="PENDING"/>
    <s v="Pending"/>
  </r>
  <r>
    <n v="1115"/>
    <n v="1115"/>
    <n v="10"/>
    <n v="2"/>
    <s v="Three Wheelers"/>
    <s v="F2"/>
    <s v="COMMERCIAL INVOICE"/>
    <n v="1526006327"/>
    <n v="1000006599"/>
    <m/>
    <m/>
    <x v="5"/>
    <n v="5100001915"/>
    <s v="ZSCH"/>
    <s v="Normal Sales"/>
    <n v="4110052347"/>
    <s v="24.05.2024"/>
    <n v="5000"/>
    <s v="BAJAJ AUTO LIMITED (WALUJ)"/>
    <m/>
    <m/>
    <s v="27340676530V"/>
    <n v="1502040298"/>
    <s v="52BK0108 PANEL ASLY BODY LH OCEAN BLUEAF"/>
    <x v="4"/>
    <n v="87082900"/>
    <n v="80"/>
    <s v="EA"/>
    <n v="213.14"/>
    <s v="INR"/>
    <n v="17051.2"/>
    <n v="0"/>
    <n v="17051.2"/>
    <n v="0"/>
    <n v="0"/>
    <n v="0"/>
    <n v="0"/>
    <n v="17051.2"/>
    <n v="0"/>
    <n v="0"/>
    <n v="0"/>
    <n v="0"/>
    <n v="0"/>
    <n v="0"/>
    <n v="0"/>
    <n v="0"/>
    <n v="17051.2"/>
    <n v="0"/>
    <n v="0"/>
    <n v="311000"/>
    <s v="SALE FINISHED GOODS"/>
    <n v="0"/>
    <n v="0"/>
    <n v="0"/>
    <s v="52BK0108"/>
    <n v="1511"/>
    <s v="FG Loose 3WH"/>
    <s v="PENDING"/>
    <s v="Pending"/>
  </r>
  <r>
    <n v="1115"/>
    <n v="1115"/>
    <n v="10"/>
    <n v="2"/>
    <s v="Three Wheelers"/>
    <s v="F2"/>
    <s v="COMMERCIAL INVOICE"/>
    <n v="1526006326"/>
    <n v="1000006598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25"/>
    <n v="1000006597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24"/>
    <n v="1000006596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21"/>
    <n v="1000006593"/>
    <m/>
    <m/>
    <x v="5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320"/>
    <n v="1000006592"/>
    <m/>
    <m/>
    <x v="5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319"/>
    <n v="1000006591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18"/>
    <n v="1000006590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17"/>
    <n v="1000006589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16"/>
    <n v="1000006588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15"/>
    <n v="1000006587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14"/>
    <n v="1000006586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13"/>
    <n v="1000006585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12"/>
    <n v="1000006584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10"/>
    <n v="1000006582"/>
    <m/>
    <m/>
    <x v="5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720"/>
    <s v="EA"/>
    <n v="134.19999999999999"/>
    <s v="INR"/>
    <n v="96624"/>
    <n v="0"/>
    <n v="96624"/>
    <n v="0"/>
    <n v="0"/>
    <n v="0"/>
    <n v="0"/>
    <n v="96624"/>
    <n v="0"/>
    <n v="0"/>
    <n v="0"/>
    <n v="0"/>
    <n v="0"/>
    <n v="0"/>
    <n v="0"/>
    <n v="0"/>
    <n v="96624"/>
    <n v="0"/>
    <n v="0"/>
    <n v="311000"/>
    <s v="SALE FINISHED GOODS"/>
    <n v="1.19"/>
    <n v="1.19"/>
    <n v="0"/>
    <s v="AF231720"/>
    <n v="1511"/>
    <s v="FG Loose 3WH"/>
    <s v="PENDING"/>
    <s v="Pending"/>
  </r>
  <r>
    <n v="1115"/>
    <n v="1115"/>
    <n v="10"/>
    <n v="2"/>
    <s v="Three Wheelers"/>
    <s v="F2"/>
    <s v="COMMERCIAL INVOICE"/>
    <n v="1526006304"/>
    <n v="1000006580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03"/>
    <n v="1000006577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02"/>
    <n v="1000006576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6"/>
    <s v="Input Mat-RM"/>
    <s v="F2"/>
    <s v="COMMERCIAL INVOICE"/>
    <n v="1526006301"/>
    <n v="1000006573"/>
    <m/>
    <m/>
    <x v="5"/>
    <n v="5900001676"/>
    <s v="ZINP"/>
    <s v="Input Clearnce Sales"/>
    <n v="5500001142"/>
    <s v="21.03.2025"/>
    <n v="5356"/>
    <s v="LUMINAZ SAFETY GLASS PVT. LTD."/>
    <m/>
    <m/>
    <m/>
    <n v="1104012289"/>
    <s v="AA161413-BRACKET TANK FUEL FRONT"/>
    <x v="14"/>
    <n v="87141090"/>
    <n v="200"/>
    <s v="EA"/>
    <n v="35.22"/>
    <s v="INR"/>
    <n v="7044"/>
    <n v="0"/>
    <n v="7044"/>
    <n v="0"/>
    <n v="0"/>
    <n v="0"/>
    <n v="0"/>
    <n v="7044"/>
    <n v="0"/>
    <n v="0"/>
    <n v="0"/>
    <n v="0"/>
    <n v="0"/>
    <n v="0"/>
    <n v="0"/>
    <n v="0"/>
    <n v="7044"/>
    <n v="0"/>
    <n v="0"/>
    <n v="311003"/>
    <s v="SALE RAW MATERIAL"/>
    <n v="0.436"/>
    <n v="0.25900000000000001"/>
    <n v="0.17699999999999999"/>
    <n v="2000000542"/>
    <n v="1123"/>
    <s v="RM Comp. Press"/>
    <s v="PENDING"/>
    <s v="Pending"/>
  </r>
  <r>
    <n v="1115"/>
    <n v="1115"/>
    <n v="10"/>
    <n v="2"/>
    <s v="Three Wheelers"/>
    <s v="F2"/>
    <s v="COMMERCIAL INVOICE"/>
    <n v="1526006300"/>
    <n v="1000006571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99"/>
    <n v="1000006570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98"/>
    <n v="1000006569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6"/>
    <s v="EA"/>
    <n v="6585.55"/>
    <s v="INR"/>
    <n v="39513.300000000003"/>
    <n v="0"/>
    <n v="39513.300000000003"/>
    <n v="0"/>
    <n v="0"/>
    <n v="0"/>
    <n v="0"/>
    <n v="39513.300000000003"/>
    <n v="0"/>
    <n v="0"/>
    <n v="0"/>
    <n v="0"/>
    <n v="0"/>
    <n v="0"/>
    <n v="0"/>
    <n v="0"/>
    <n v="39513.300000000003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97"/>
    <n v="1000006568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9"/>
    <s v="EA"/>
    <n v="6500.18"/>
    <s v="INR"/>
    <n v="58501.62"/>
    <n v="0"/>
    <n v="58501.62"/>
    <n v="0"/>
    <n v="0"/>
    <n v="0"/>
    <n v="0"/>
    <n v="58501.62"/>
    <n v="0"/>
    <n v="0"/>
    <n v="0"/>
    <n v="0"/>
    <n v="0"/>
    <n v="0"/>
    <n v="0"/>
    <n v="0"/>
    <n v="58501.62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295"/>
    <n v="1000006566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94"/>
    <n v="1000006565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93"/>
    <n v="1000006564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92"/>
    <n v="1000006563"/>
    <m/>
    <m/>
    <x v="5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291"/>
    <n v="1000006562"/>
    <m/>
    <m/>
    <x v="5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290"/>
    <n v="1000006560"/>
    <m/>
    <m/>
    <x v="5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288"/>
    <n v="1000006558"/>
    <m/>
    <m/>
    <x v="5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286"/>
    <n v="1000006555"/>
    <m/>
    <m/>
    <x v="5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285"/>
    <n v="1000006554"/>
    <m/>
    <m/>
    <x v="5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284"/>
    <n v="1000006553"/>
    <m/>
    <m/>
    <x v="5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283"/>
    <n v="1000006552"/>
    <m/>
    <m/>
    <x v="5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282"/>
    <n v="1000006551"/>
    <m/>
    <m/>
    <x v="5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281"/>
    <n v="1000006550"/>
    <m/>
    <m/>
    <x v="5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280"/>
    <n v="1000006549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78"/>
    <n v="1000006650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77"/>
    <n v="1000006649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76"/>
    <n v="1000006648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75"/>
    <n v="1000006647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74"/>
    <n v="1000006646"/>
    <m/>
    <m/>
    <x v="5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2"/>
    <s v="EA"/>
    <n v="6570.77"/>
    <s v="INR"/>
    <n v="78849.240000000005"/>
    <n v="0"/>
    <n v="78849.240000000005"/>
    <n v="0"/>
    <n v="0"/>
    <n v="0"/>
    <n v="0"/>
    <n v="78849.240000000005"/>
    <n v="0"/>
    <n v="0"/>
    <n v="0"/>
    <n v="0"/>
    <n v="0"/>
    <n v="0"/>
    <n v="0"/>
    <n v="0"/>
    <n v="78849.24000000000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372"/>
    <n v="1000006645"/>
    <m/>
    <m/>
    <x v="5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371"/>
    <n v="1000006644"/>
    <m/>
    <m/>
    <x v="5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370"/>
    <n v="1000006643"/>
    <m/>
    <m/>
    <x v="5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369"/>
    <n v="1000006642"/>
    <m/>
    <m/>
    <x v="5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368"/>
    <n v="1000006641"/>
    <m/>
    <m/>
    <x v="5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367"/>
    <n v="1000006640"/>
    <m/>
    <m/>
    <x v="5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366"/>
    <n v="1000006639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65"/>
    <n v="1000006638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64"/>
    <n v="1000006637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63"/>
    <n v="1000006636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62"/>
    <n v="1000006635"/>
    <m/>
    <m/>
    <x v="5"/>
    <n v="5100001946"/>
    <s v="ZSCH"/>
    <s v="Normal Sales"/>
    <n v="4110063010"/>
    <s v="27.11.2025"/>
    <n v="5000"/>
    <s v="BAJAJ AUTO LIMITED (WALUJ)"/>
    <m/>
    <m/>
    <s v="27340676530V"/>
    <n v="1502040308"/>
    <s v="AH181453 MUDGUARD ASSEMBLY FRONT"/>
    <x v="3"/>
    <n v="87082900"/>
    <n v="59"/>
    <s v="EA"/>
    <n v="427.17"/>
    <s v="INR"/>
    <n v="25203.03"/>
    <n v="0"/>
    <n v="25203.03"/>
    <n v="0"/>
    <n v="0"/>
    <n v="0"/>
    <n v="0"/>
    <n v="25203.03"/>
    <n v="0"/>
    <n v="0"/>
    <n v="0"/>
    <n v="0"/>
    <n v="0"/>
    <n v="0"/>
    <n v="0"/>
    <n v="0"/>
    <n v="25203.03"/>
    <n v="0"/>
    <n v="0"/>
    <n v="311000"/>
    <s v="SALE FINISHED GOODS"/>
    <n v="2.504"/>
    <n v="2.5"/>
    <n v="4.0000000000000001E-3"/>
    <s v="AH181453"/>
    <n v="1511"/>
    <s v="FG Loose 3WH"/>
    <s v="PENDING"/>
    <s v="Pending"/>
  </r>
  <r>
    <n v="1115"/>
    <n v="1115"/>
    <n v="10"/>
    <n v="2"/>
    <s v="Three Wheelers"/>
    <s v="F2"/>
    <s v="COMMERCIAL INVOICE"/>
    <n v="1526006361"/>
    <n v="1000006634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60"/>
    <n v="1000006633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59"/>
    <n v="1000006632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58"/>
    <n v="1000006631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57"/>
    <n v="1000006630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356"/>
    <n v="1000006629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355"/>
    <n v="1000006628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354"/>
    <n v="1000006627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353"/>
    <n v="1000006626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52"/>
    <n v="1000006625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51"/>
    <n v="1000006624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50"/>
    <n v="1000006623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49"/>
    <n v="1000006622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48"/>
    <n v="1000006621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47"/>
    <n v="1000006620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46"/>
    <n v="1000006619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45"/>
    <n v="1000006618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6"/>
    <s v="Input Mat-RM"/>
    <s v="F2"/>
    <s v="COMMERCIAL INVOICE"/>
    <n v="1526006344"/>
    <n v="1000006617"/>
    <m/>
    <m/>
    <x v="5"/>
    <n v="5900001676"/>
    <s v="ZINP"/>
    <s v="Input Clearnce Sales"/>
    <n v="5500001142"/>
    <s v="21.03.2025"/>
    <n v="5356"/>
    <s v="LUMINAZ SAFETY GLASS PVT. LTD."/>
    <m/>
    <m/>
    <m/>
    <n v="1104012289"/>
    <s v="AA161413-BRACKET TANK FUEL FRONT"/>
    <x v="14"/>
    <n v="87141090"/>
    <n v="100"/>
    <s v="EA"/>
    <n v="35.22"/>
    <s v="INR"/>
    <n v="3522"/>
    <n v="0"/>
    <n v="3522"/>
    <n v="0"/>
    <n v="0"/>
    <n v="0"/>
    <n v="0"/>
    <n v="3522"/>
    <n v="0"/>
    <n v="0"/>
    <n v="0"/>
    <n v="0"/>
    <n v="0"/>
    <n v="0"/>
    <n v="0"/>
    <n v="0"/>
    <n v="3522"/>
    <n v="0"/>
    <n v="0"/>
    <n v="311003"/>
    <s v="SALE RAW MATERIAL"/>
    <n v="0.436"/>
    <n v="0.25900000000000001"/>
    <n v="0.17699999999999999"/>
    <n v="2000000542"/>
    <n v="1123"/>
    <s v="RM Comp. Press"/>
    <s v="PENDING"/>
    <s v="Pending"/>
  </r>
  <r>
    <n v="1115"/>
    <n v="1115"/>
    <n v="10"/>
    <n v="2"/>
    <s v="Three Wheelers"/>
    <s v="F2"/>
    <s v="COMMERCIAL INVOICE"/>
    <n v="1526006343"/>
    <n v="1000006616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42"/>
    <n v="1000006615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337"/>
    <n v="1000006611"/>
    <m/>
    <m/>
    <x v="5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50"/>
    <s v="EA"/>
    <n v="380.93"/>
    <s v="INR"/>
    <n v="57139.5"/>
    <n v="0"/>
    <n v="57139.5"/>
    <n v="0"/>
    <n v="0"/>
    <n v="0"/>
    <n v="0"/>
    <n v="57139.5"/>
    <n v="0"/>
    <n v="0"/>
    <n v="0"/>
    <n v="0"/>
    <n v="0"/>
    <n v="0"/>
    <n v="0"/>
    <n v="0"/>
    <n v="57139.5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6336"/>
    <n v="1000006610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335"/>
    <n v="1000006609"/>
    <m/>
    <m/>
    <x v="5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50"/>
    <s v="EA"/>
    <n v="291.27999999999997"/>
    <s v="INR"/>
    <n v="43692"/>
    <n v="0"/>
    <n v="43692"/>
    <n v="0"/>
    <n v="0"/>
    <n v="0"/>
    <n v="0"/>
    <n v="43692"/>
    <n v="0"/>
    <n v="0"/>
    <n v="0"/>
    <n v="0"/>
    <n v="0"/>
    <n v="0"/>
    <n v="0"/>
    <n v="0"/>
    <n v="43692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334"/>
    <n v="1000006608"/>
    <m/>
    <m/>
    <x v="5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256"/>
    <s v="EA"/>
    <n v="290.89999999999998"/>
    <s v="INR"/>
    <n v="74470.399999999994"/>
    <n v="0"/>
    <n v="74470.399999999994"/>
    <n v="0"/>
    <n v="0"/>
    <n v="0"/>
    <n v="0"/>
    <n v="74470.399999999994"/>
    <n v="0"/>
    <n v="0"/>
    <n v="0"/>
    <n v="0"/>
    <n v="0"/>
    <n v="0"/>
    <n v="0"/>
    <n v="0"/>
    <n v="74470.399999999994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333"/>
    <n v="1000006607"/>
    <m/>
    <m/>
    <x v="5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197"/>
    <s v="EA"/>
    <n v="136.6"/>
    <s v="INR"/>
    <n v="26910.2"/>
    <n v="0"/>
    <n v="26910.2"/>
    <n v="0"/>
    <n v="0"/>
    <n v="0"/>
    <n v="0"/>
    <n v="26910.2"/>
    <n v="0"/>
    <n v="0"/>
    <n v="0"/>
    <n v="0"/>
    <n v="0"/>
    <n v="0"/>
    <n v="0"/>
    <n v="0"/>
    <n v="26910.2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6279"/>
    <n v="1000006548"/>
    <m/>
    <m/>
    <x v="5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233"/>
    <n v="1000006495"/>
    <m/>
    <m/>
    <x v="5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6232"/>
    <n v="1000006494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6"/>
    <s v="Input Mat-RM"/>
    <s v="F2"/>
    <s v="COMMERCIAL INVOICE"/>
    <n v="1526006231"/>
    <n v="1000006493"/>
    <m/>
    <m/>
    <x v="5"/>
    <n v="5900001676"/>
    <s v="ZINP"/>
    <s v="Input Clearnce Sales"/>
    <n v="5500001142"/>
    <s v="21.03.2025"/>
    <n v="5356"/>
    <s v="LUMINAZ SAFETY GLASS PVT. LTD."/>
    <m/>
    <m/>
    <m/>
    <n v="1104012289"/>
    <s v="AA161413-BRACKET TANK FUEL FRONT"/>
    <x v="14"/>
    <n v="87141090"/>
    <n v="100"/>
    <s v="EA"/>
    <n v="35.22"/>
    <s v="INR"/>
    <n v="3522"/>
    <n v="0"/>
    <n v="3522"/>
    <n v="0"/>
    <n v="0"/>
    <n v="0"/>
    <n v="0"/>
    <n v="3522"/>
    <n v="0"/>
    <n v="0"/>
    <n v="0"/>
    <n v="0"/>
    <n v="0"/>
    <n v="0"/>
    <n v="0"/>
    <n v="0"/>
    <n v="3522"/>
    <n v="0"/>
    <n v="0"/>
    <n v="311003"/>
    <s v="SALE RAW MATERIAL"/>
    <n v="0.436"/>
    <n v="0.25900000000000001"/>
    <n v="0.17699999999999999"/>
    <n v="2000000542"/>
    <n v="1123"/>
    <s v="RM Comp. Press"/>
    <s v="PENDING"/>
    <s v="Pending"/>
  </r>
  <r>
    <n v="1115"/>
    <n v="1115"/>
    <n v="10"/>
    <n v="2"/>
    <s v="Three Wheelers"/>
    <s v="F2"/>
    <s v="COMMERCIAL INVOICE"/>
    <n v="1526006230"/>
    <n v="1000006492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225"/>
    <n v="1000006490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223"/>
    <n v="1000006489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220"/>
    <n v="1000006488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19"/>
    <n v="1000006487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18"/>
    <n v="1000006486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134577"/>
    <s v="06.05.2026"/>
  </r>
  <r>
    <n v="1115"/>
    <n v="1115"/>
    <n v="10"/>
    <n v="2"/>
    <s v="Three Wheelers"/>
    <s v="F2"/>
    <s v="COMMERCIAL INVOICE"/>
    <n v="1526006217"/>
    <n v="1000006485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16"/>
    <n v="1000006484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215"/>
    <n v="1000006483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214"/>
    <n v="1000006482"/>
    <m/>
    <m/>
    <x v="5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213"/>
    <n v="1000006481"/>
    <m/>
    <m/>
    <x v="5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212"/>
    <n v="1000006480"/>
    <m/>
    <m/>
    <x v="5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211"/>
    <n v="1000006479"/>
    <m/>
    <m/>
    <x v="5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133949"/>
    <s v="06.05.2026"/>
  </r>
  <r>
    <n v="1115"/>
    <n v="1115"/>
    <n v="10"/>
    <n v="2"/>
    <s v="Three Wheelers"/>
    <s v="F2"/>
    <s v="COMMERCIAL INVOICE"/>
    <n v="1526006210"/>
    <n v="1000006478"/>
    <m/>
    <m/>
    <x v="5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133918"/>
    <s v="06.05.2026"/>
  </r>
  <r>
    <n v="1115"/>
    <n v="1115"/>
    <n v="10"/>
    <n v="2"/>
    <s v="Three Wheelers"/>
    <s v="F2"/>
    <s v="COMMERCIAL INVOICE"/>
    <n v="1526006209"/>
    <n v="1000006477"/>
    <m/>
    <m/>
    <x v="5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208"/>
    <n v="1000006476"/>
    <m/>
    <m/>
    <x v="5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207"/>
    <n v="1000006475"/>
    <m/>
    <m/>
    <x v="5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8"/>
    <s v="EA"/>
    <n v="9397.5"/>
    <s v="INR"/>
    <n v="75180"/>
    <n v="0"/>
    <n v="75180"/>
    <n v="0"/>
    <n v="0"/>
    <n v="0"/>
    <n v="0"/>
    <n v="75180"/>
    <n v="0"/>
    <n v="0"/>
    <n v="0"/>
    <n v="0"/>
    <n v="0"/>
    <n v="0"/>
    <n v="0"/>
    <n v="0"/>
    <n v="75180"/>
    <n v="0"/>
    <n v="0"/>
    <n v="311000"/>
    <s v="SALE FINISHED GOODS"/>
    <n v="69.5"/>
    <n v="69.5"/>
    <n v="0"/>
    <s v="52AZ0184"/>
    <n v="1509"/>
    <s v="FG Body"/>
    <n v="5094131926"/>
    <s v="06.05.2026"/>
  </r>
  <r>
    <n v="1115"/>
    <n v="1115"/>
    <n v="10"/>
    <n v="2"/>
    <s v="Three Wheelers"/>
    <s v="F2"/>
    <s v="COMMERCIAL INVOICE"/>
    <n v="1526006206"/>
    <n v="1000006474"/>
    <m/>
    <m/>
    <x v="5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2247"/>
    <s v="06.05.2026"/>
  </r>
  <r>
    <n v="1115"/>
    <n v="1115"/>
    <n v="10"/>
    <n v="2"/>
    <s v="Three Wheelers"/>
    <s v="F2"/>
    <s v="COMMERCIAL INVOICE"/>
    <n v="1526006205"/>
    <n v="1000006473"/>
    <m/>
    <m/>
    <x v="5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2177"/>
    <s v="06.05.2026"/>
  </r>
  <r>
    <n v="1115"/>
    <n v="1115"/>
    <n v="10"/>
    <n v="2"/>
    <s v="Three Wheelers"/>
    <s v="F2"/>
    <s v="COMMERCIAL INVOICE"/>
    <n v="1526006204"/>
    <n v="1000006472"/>
    <m/>
    <m/>
    <x v="5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203"/>
    <n v="1000006471"/>
    <m/>
    <m/>
    <x v="5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202"/>
    <n v="1000006470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201"/>
    <n v="1000006469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200"/>
    <n v="1000006468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199"/>
    <n v="1000006467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198"/>
    <n v="1000006466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197"/>
    <n v="1000006465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196"/>
    <n v="1000006464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195"/>
    <n v="1000006463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194"/>
    <n v="1000006462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193"/>
    <n v="1000006461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192"/>
    <n v="1000006460"/>
    <m/>
    <m/>
    <x v="5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300"/>
    <s v="EA"/>
    <n v="136.6"/>
    <s v="INR"/>
    <n v="40980"/>
    <n v="0"/>
    <n v="40980"/>
    <n v="0"/>
    <n v="0"/>
    <n v="0"/>
    <n v="0"/>
    <n v="40980"/>
    <n v="0"/>
    <n v="0"/>
    <n v="0"/>
    <n v="0"/>
    <n v="0"/>
    <n v="0"/>
    <n v="0"/>
    <n v="0"/>
    <n v="40980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6191"/>
    <n v="1000006459"/>
    <m/>
    <m/>
    <x v="5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531"/>
    <s v="06.05.2026"/>
  </r>
  <r>
    <n v="1115"/>
    <n v="1115"/>
    <n v="10"/>
    <n v="2"/>
    <s v="Three Wheelers"/>
    <s v="F2"/>
    <s v="COMMERCIAL INVOICE"/>
    <n v="1526006190"/>
    <n v="1000006458"/>
    <m/>
    <m/>
    <x v="5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530"/>
    <s v="06.05.2026"/>
  </r>
  <r>
    <n v="1115"/>
    <n v="1115"/>
    <n v="10"/>
    <n v="2"/>
    <s v="Three Wheelers"/>
    <s v="F2"/>
    <s v="COMMERCIAL INVOICE"/>
    <n v="1526006189"/>
    <n v="1000006457"/>
    <m/>
    <m/>
    <x v="5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363"/>
    <s v="06.05.2026"/>
  </r>
  <r>
    <n v="1115"/>
    <n v="1115"/>
    <n v="10"/>
    <n v="2"/>
    <s v="Three Wheelers"/>
    <s v="F2"/>
    <s v="COMMERCIAL INVOICE"/>
    <n v="1526006188"/>
    <n v="1000006456"/>
    <m/>
    <m/>
    <x v="5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131529"/>
    <s v="06.05.2026"/>
  </r>
  <r>
    <n v="1115"/>
    <n v="1115"/>
    <n v="10"/>
    <n v="2"/>
    <s v="Three Wheelers"/>
    <s v="F2"/>
    <s v="COMMERCIAL INVOICE"/>
    <n v="1526006187"/>
    <n v="1000006455"/>
    <m/>
    <m/>
    <x v="5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90"/>
    <s v="EA"/>
    <n v="291.27999999999997"/>
    <s v="INR"/>
    <n v="26215.200000000001"/>
    <n v="0"/>
    <n v="26215.200000000001"/>
    <n v="0"/>
    <n v="0"/>
    <n v="0"/>
    <n v="0"/>
    <n v="26215.200000000001"/>
    <n v="0"/>
    <n v="0"/>
    <n v="0"/>
    <n v="0"/>
    <n v="0"/>
    <n v="0"/>
    <n v="0"/>
    <n v="0"/>
    <n v="26215.200000000001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186"/>
    <n v="1000006454"/>
    <m/>
    <m/>
    <x v="5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320"/>
    <s v="EA"/>
    <n v="290.89999999999998"/>
    <s v="INR"/>
    <n v="93088"/>
    <n v="0"/>
    <n v="93088"/>
    <n v="0"/>
    <n v="0"/>
    <n v="0"/>
    <n v="0"/>
    <n v="93088"/>
    <n v="0"/>
    <n v="0"/>
    <n v="0"/>
    <n v="0"/>
    <n v="0"/>
    <n v="0"/>
    <n v="0"/>
    <n v="0"/>
    <n v="93088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278"/>
    <n v="1000006547"/>
    <m/>
    <m/>
    <x v="5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288"/>
    <s v="EA"/>
    <n v="174.61"/>
    <s v="INR"/>
    <n v="50287.68"/>
    <n v="0"/>
    <n v="50287.68"/>
    <n v="0"/>
    <n v="0"/>
    <n v="0"/>
    <n v="0"/>
    <n v="50287.68"/>
    <n v="0"/>
    <n v="0"/>
    <n v="0"/>
    <n v="0"/>
    <n v="0"/>
    <n v="0"/>
    <n v="0"/>
    <n v="0"/>
    <n v="50287.68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6277"/>
    <n v="1000006546"/>
    <m/>
    <m/>
    <x v="5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200"/>
    <s v="EA"/>
    <n v="174.61"/>
    <s v="INR"/>
    <n v="34922"/>
    <n v="0"/>
    <n v="34922"/>
    <n v="0"/>
    <n v="0"/>
    <n v="0"/>
    <n v="0"/>
    <n v="34922"/>
    <n v="0"/>
    <n v="0"/>
    <n v="0"/>
    <n v="0"/>
    <n v="0"/>
    <n v="0"/>
    <n v="0"/>
    <n v="0"/>
    <n v="34922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6275"/>
    <n v="1000006544"/>
    <m/>
    <m/>
    <x v="5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274"/>
    <n v="1000006543"/>
    <m/>
    <m/>
    <x v="5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273"/>
    <n v="1000006542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272"/>
    <n v="1000006541"/>
    <m/>
    <m/>
    <x v="5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50"/>
    <s v="EA"/>
    <n v="380.93"/>
    <s v="INR"/>
    <n v="57139.5"/>
    <n v="0"/>
    <n v="57139.5"/>
    <n v="0"/>
    <n v="0"/>
    <n v="0"/>
    <n v="0"/>
    <n v="57139.5"/>
    <n v="0"/>
    <n v="0"/>
    <n v="0"/>
    <n v="0"/>
    <n v="0"/>
    <n v="0"/>
    <n v="0"/>
    <n v="0"/>
    <n v="57139.5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6271"/>
    <n v="1000006540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70"/>
    <n v="1000006539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69"/>
    <n v="1000006538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68"/>
    <n v="1000006537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67"/>
    <n v="1000006535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266"/>
    <n v="1000006534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265"/>
    <n v="1000006533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63"/>
    <n v="1000006528"/>
    <m/>
    <m/>
    <x v="5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s v="PENDING"/>
    <s v="Pending"/>
  </r>
  <r>
    <n v="1115"/>
    <n v="1115"/>
    <n v="10"/>
    <n v="2"/>
    <s v="Three Wheelers"/>
    <s v="F2"/>
    <s v="COMMERCIAL INVOICE"/>
    <n v="1526006261"/>
    <n v="1000006527"/>
    <m/>
    <m/>
    <x v="5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s v="PENDING"/>
    <s v="Pending"/>
  </r>
  <r>
    <n v="1115"/>
    <n v="1115"/>
    <n v="10"/>
    <n v="2"/>
    <s v="Three Wheelers"/>
    <s v="F2"/>
    <s v="COMMERCIAL INVOICE"/>
    <n v="1526006260"/>
    <n v="1000006526"/>
    <m/>
    <m/>
    <x v="5"/>
    <n v="5100001100"/>
    <s v="ZSCH"/>
    <s v="Normal Sales"/>
    <n v="4110004652"/>
    <s v="01.07.2017"/>
    <n v="5000"/>
    <s v="BAJAJ AUTO LIMITED (WALUJ)"/>
    <m/>
    <m/>
    <s v="27340676530V"/>
    <n v="1502040126"/>
    <s v="BB231369-COVER REAR LH FL"/>
    <x v="8"/>
    <n v="87082900"/>
    <n v="55"/>
    <s v="EA"/>
    <n v="155.58000000000001"/>
    <s v="INR"/>
    <n v="8556.9"/>
    <n v="0"/>
    <n v="8556.9"/>
    <n v="0"/>
    <n v="0"/>
    <n v="0"/>
    <n v="0"/>
    <n v="8556.9"/>
    <n v="0"/>
    <n v="0"/>
    <n v="0"/>
    <n v="0"/>
    <n v="0"/>
    <n v="0"/>
    <n v="0"/>
    <n v="0"/>
    <n v="8556.9"/>
    <n v="0"/>
    <n v="0"/>
    <n v="311000"/>
    <s v="SALE FINISHED GOODS"/>
    <n v="1.1850000000000001"/>
    <n v="1.1850000000000001"/>
    <n v="0"/>
    <s v="BB231369"/>
    <n v="1511"/>
    <s v="FG Loose 3WH"/>
    <s v="PENDING"/>
    <s v="Pending"/>
  </r>
  <r>
    <n v="1115"/>
    <n v="1115"/>
    <n v="10"/>
    <n v="2"/>
    <s v="Three Wheelers"/>
    <s v="F2"/>
    <s v="COMMERCIAL INVOICE"/>
    <n v="1526006259"/>
    <n v="1000006525"/>
    <m/>
    <m/>
    <x v="5"/>
    <n v="5100001100"/>
    <s v="ZSCH"/>
    <s v="Normal Sales"/>
    <n v="4110004652"/>
    <s v="01.07.2017"/>
    <n v="5000"/>
    <s v="BAJAJ AUTO LIMITED (WALUJ)"/>
    <m/>
    <m/>
    <s v="27340676530V"/>
    <n v="1502040125"/>
    <s v="BB231370-COVER REAR RH FL"/>
    <x v="8"/>
    <n v="87082900"/>
    <n v="55"/>
    <s v="EA"/>
    <n v="160.44999999999999"/>
    <s v="INR"/>
    <n v="8824.75"/>
    <n v="0"/>
    <n v="8824.75"/>
    <n v="0"/>
    <n v="0"/>
    <n v="0"/>
    <n v="0"/>
    <n v="8824.75"/>
    <n v="0"/>
    <n v="0"/>
    <n v="0"/>
    <n v="0"/>
    <n v="0"/>
    <n v="0"/>
    <n v="0"/>
    <n v="0"/>
    <n v="8824.75"/>
    <n v="0"/>
    <n v="0"/>
    <n v="311000"/>
    <s v="SALE FINISHED GOODS"/>
    <n v="1.1850000000000001"/>
    <n v="1.1850000000000001"/>
    <n v="0"/>
    <s v="BB231370"/>
    <n v="1511"/>
    <s v="FG Loose 3WH"/>
    <s v="PENDING"/>
    <s v="Pending"/>
  </r>
  <r>
    <n v="1115"/>
    <n v="1115"/>
    <n v="10"/>
    <n v="2"/>
    <s v="Three Wheelers"/>
    <s v="F2"/>
    <s v="COMMERCIAL INVOICE"/>
    <n v="1526006258"/>
    <n v="1000006524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57"/>
    <n v="1000006522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56"/>
    <n v="1000006521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55"/>
    <n v="1000006519"/>
    <m/>
    <m/>
    <x v="5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324"/>
    <s v="EA"/>
    <n v="136.6"/>
    <s v="INR"/>
    <n v="44258.400000000001"/>
    <n v="0"/>
    <n v="44258.400000000001"/>
    <n v="0"/>
    <n v="0"/>
    <n v="0"/>
    <n v="0"/>
    <n v="44258.400000000001"/>
    <n v="0"/>
    <n v="0"/>
    <n v="0"/>
    <n v="0"/>
    <n v="0"/>
    <n v="0"/>
    <n v="0"/>
    <n v="0"/>
    <n v="44258.400000000001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6254"/>
    <n v="1000006518"/>
    <m/>
    <m/>
    <x v="5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253"/>
    <n v="1000006517"/>
    <m/>
    <m/>
    <x v="5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252"/>
    <n v="1000006516"/>
    <m/>
    <m/>
    <x v="5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251"/>
    <n v="1000006515"/>
    <m/>
    <m/>
    <x v="5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250"/>
    <n v="1000006514"/>
    <m/>
    <m/>
    <x v="5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249"/>
    <n v="1000006512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48"/>
    <n v="1000006511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47"/>
    <n v="1000006510"/>
    <m/>
    <m/>
    <x v="5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245"/>
    <n v="1000006509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244"/>
    <n v="1000006508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243"/>
    <n v="1000006506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42"/>
    <n v="1000006504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41"/>
    <n v="1000006503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40"/>
    <n v="1000006502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239"/>
    <n v="1000006501"/>
    <m/>
    <m/>
    <x v="5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20"/>
    <s v="EA"/>
    <n v="291.27999999999997"/>
    <s v="INR"/>
    <n v="34953.599999999999"/>
    <n v="0"/>
    <n v="34953.599999999999"/>
    <n v="0"/>
    <n v="0"/>
    <n v="0"/>
    <n v="0"/>
    <n v="34953.599999999999"/>
    <n v="0"/>
    <n v="0"/>
    <n v="0"/>
    <n v="0"/>
    <n v="0"/>
    <n v="0"/>
    <n v="0"/>
    <n v="0"/>
    <n v="34953.599999999999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238"/>
    <n v="1000006500"/>
    <m/>
    <m/>
    <x v="5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288"/>
    <s v="EA"/>
    <n v="290.89999999999998"/>
    <s v="INR"/>
    <n v="83779.199999999997"/>
    <n v="0"/>
    <n v="83779.199999999997"/>
    <n v="0"/>
    <n v="0"/>
    <n v="0"/>
    <n v="0"/>
    <n v="83779.199999999997"/>
    <n v="0"/>
    <n v="0"/>
    <n v="0"/>
    <n v="0"/>
    <n v="0"/>
    <n v="0"/>
    <n v="0"/>
    <n v="0"/>
    <n v="83779.199999999997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237"/>
    <n v="1000006499"/>
    <m/>
    <m/>
    <x v="5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236"/>
    <n v="1000006498"/>
    <m/>
    <m/>
    <x v="5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235"/>
    <n v="1000006497"/>
    <m/>
    <m/>
    <x v="5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60"/>
    <s v="EA"/>
    <n v="380.93"/>
    <s v="INR"/>
    <n v="22855.8"/>
    <n v="0"/>
    <n v="22855.8"/>
    <n v="0"/>
    <n v="0"/>
    <n v="0"/>
    <n v="0"/>
    <n v="22855.8"/>
    <n v="0"/>
    <n v="0"/>
    <n v="0"/>
    <n v="0"/>
    <n v="0"/>
    <n v="0"/>
    <n v="0"/>
    <n v="0"/>
    <n v="22855.8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6234"/>
    <n v="1000006496"/>
    <m/>
    <m/>
    <x v="5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27"/>
    <n v="1000006806"/>
    <m/>
    <m/>
    <x v="6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525"/>
    <n v="1000006805"/>
    <m/>
    <m/>
    <x v="6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288"/>
    <s v="EA"/>
    <n v="134.19999999999999"/>
    <s v="INR"/>
    <n v="38649.599999999999"/>
    <n v="0"/>
    <n v="38649.599999999999"/>
    <n v="0"/>
    <n v="0"/>
    <n v="0"/>
    <n v="0"/>
    <n v="38649.599999999999"/>
    <n v="0"/>
    <n v="0"/>
    <n v="0"/>
    <n v="0"/>
    <n v="0"/>
    <n v="0"/>
    <n v="0"/>
    <n v="0"/>
    <n v="38649.599999999999"/>
    <n v="0"/>
    <n v="0"/>
    <n v="311000"/>
    <s v="SALE FINISHED GOODS"/>
    <n v="1.19"/>
    <n v="1.19"/>
    <n v="0"/>
    <s v="AF231720"/>
    <n v="1511"/>
    <s v="FG Loose 3WH"/>
    <s v="PENDING"/>
    <s v="Pending"/>
  </r>
  <r>
    <n v="1115"/>
    <n v="1115"/>
    <n v="10"/>
    <n v="2"/>
    <s v="Three Wheelers"/>
    <s v="F2"/>
    <s v="COMMERCIAL INVOICE"/>
    <n v="1526006522"/>
    <n v="1000006803"/>
    <m/>
    <m/>
    <x v="6"/>
    <n v="5100001100"/>
    <s v="ZSCH"/>
    <s v="Normal Sales"/>
    <n v="4110004652"/>
    <s v="01.07.2017"/>
    <n v="5000"/>
    <s v="BAJAJ AUTO LIMITED (WALUJ)"/>
    <m/>
    <m/>
    <s v="27340676530V"/>
    <n v="1502040165"/>
    <s v="52BB0126 REAR COVER ASSLY GREEN RH"/>
    <x v="8"/>
    <n v="87082900"/>
    <n v="55"/>
    <s v="EA"/>
    <n v="165.65"/>
    <s v="INR"/>
    <n v="9110.75"/>
    <n v="0"/>
    <n v="9110.75"/>
    <n v="0"/>
    <n v="0"/>
    <n v="0"/>
    <n v="0"/>
    <n v="9110.75"/>
    <n v="0"/>
    <n v="0"/>
    <n v="0"/>
    <n v="0"/>
    <n v="0"/>
    <n v="0"/>
    <n v="0"/>
    <n v="0"/>
    <n v="9110.75"/>
    <n v="0"/>
    <n v="0"/>
    <n v="311000"/>
    <s v="SALE FINISHED GOODS"/>
    <n v="1.248"/>
    <n v="1.248"/>
    <n v="0"/>
    <s v="52BB0126"/>
    <n v="1511"/>
    <s v="FG Loose 3WH"/>
    <s v="PENDING"/>
    <s v="Pending"/>
  </r>
  <r>
    <n v="1115"/>
    <n v="1115"/>
    <n v="10"/>
    <n v="2"/>
    <s v="Three Wheelers"/>
    <s v="F2"/>
    <s v="COMMERCIAL INVOICE"/>
    <n v="1526006521"/>
    <n v="1000006802"/>
    <m/>
    <m/>
    <x v="6"/>
    <n v="5100001100"/>
    <s v="ZSCH"/>
    <s v="Normal Sales"/>
    <n v="4110004652"/>
    <s v="01.07.2017"/>
    <n v="5000"/>
    <s v="BAJAJ AUTO LIMITED (WALUJ)"/>
    <m/>
    <m/>
    <s v="27340676530V"/>
    <n v="1502040164"/>
    <s v="52BB0125 REAR COVER ASSLY GREEN LH"/>
    <x v="8"/>
    <n v="87082900"/>
    <n v="55"/>
    <s v="EA"/>
    <n v="160.52000000000001"/>
    <s v="INR"/>
    <n v="8828.6"/>
    <n v="0"/>
    <n v="8828.6"/>
    <n v="0"/>
    <n v="0"/>
    <n v="0"/>
    <n v="0"/>
    <n v="8828.6"/>
    <n v="0"/>
    <n v="0"/>
    <n v="0"/>
    <n v="0"/>
    <n v="0"/>
    <n v="0"/>
    <n v="0"/>
    <n v="0"/>
    <n v="8828.6"/>
    <n v="0"/>
    <n v="0"/>
    <n v="311000"/>
    <s v="SALE FINISHED GOODS"/>
    <n v="1.1659999999999999"/>
    <n v="1.1659999999999999"/>
    <n v="0"/>
    <s v="52BB0125"/>
    <n v="1511"/>
    <s v="FG Loose 3WH"/>
    <s v="PENDING"/>
    <s v="Pending"/>
  </r>
  <r>
    <n v="1115"/>
    <n v="1115"/>
    <n v="10"/>
    <n v="2"/>
    <s v="Three Wheelers"/>
    <s v="F2"/>
    <s v="COMMERCIAL INVOICE"/>
    <n v="1526006517"/>
    <n v="1000006800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516"/>
    <n v="1000006799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515"/>
    <n v="1000006798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514"/>
    <n v="1000006797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513"/>
    <n v="1000006796"/>
    <m/>
    <m/>
    <x v="6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s v="PENDING"/>
    <s v="Pending"/>
  </r>
  <r>
    <n v="1115"/>
    <n v="1115"/>
    <n v="10"/>
    <n v="2"/>
    <s v="Three Wheelers"/>
    <s v="F2"/>
    <s v="COMMERCIAL INVOICE"/>
    <n v="1526006511"/>
    <n v="1000006794"/>
    <m/>
    <m/>
    <x v="6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s v="PENDING"/>
    <s v="Pending"/>
  </r>
  <r>
    <n v="1115"/>
    <n v="1115"/>
    <n v="10"/>
    <n v="2"/>
    <s v="Three Wheelers"/>
    <s v="F2"/>
    <s v="COMMERCIAL INVOICE"/>
    <n v="1526006504"/>
    <n v="1000006788"/>
    <m/>
    <m/>
    <x v="6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20"/>
    <s v="EA"/>
    <n v="291.27999999999997"/>
    <s v="INR"/>
    <n v="34953.599999999999"/>
    <n v="0"/>
    <n v="34953.599999999999"/>
    <n v="0"/>
    <n v="0"/>
    <n v="0"/>
    <n v="0"/>
    <n v="34953.599999999999"/>
    <n v="0"/>
    <n v="0"/>
    <n v="0"/>
    <n v="0"/>
    <n v="0"/>
    <n v="0"/>
    <n v="0"/>
    <n v="0"/>
    <n v="34953.599999999999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503"/>
    <n v="1000006787"/>
    <m/>
    <m/>
    <x v="6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384"/>
    <s v="EA"/>
    <n v="290.89999999999998"/>
    <s v="INR"/>
    <n v="111705.60000000001"/>
    <n v="0"/>
    <n v="111705.60000000001"/>
    <n v="0"/>
    <n v="0"/>
    <n v="0"/>
    <n v="0"/>
    <n v="111705.60000000001"/>
    <n v="0"/>
    <n v="0"/>
    <n v="0"/>
    <n v="0"/>
    <n v="0"/>
    <n v="0"/>
    <n v="0"/>
    <n v="0"/>
    <n v="111705.60000000001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502"/>
    <n v="1000006784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501"/>
    <n v="1000006783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500"/>
    <n v="1000006782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499"/>
    <n v="1000006780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98"/>
    <n v="1000006779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97"/>
    <n v="1000006778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96"/>
    <n v="1000006777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95"/>
    <n v="1000006776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94"/>
    <n v="1000006775"/>
    <m/>
    <m/>
    <x v="6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493"/>
    <n v="1000006774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492"/>
    <n v="1000006773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491"/>
    <n v="1000006772"/>
    <m/>
    <m/>
    <x v="6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490"/>
    <n v="1000006771"/>
    <m/>
    <m/>
    <x v="6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488"/>
    <n v="1000006769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87"/>
    <n v="1000006766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86"/>
    <n v="1000006765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85"/>
    <n v="1000006764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84"/>
    <n v="1000006763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83"/>
    <n v="1000006762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82"/>
    <n v="1000006761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481"/>
    <n v="1000006760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480"/>
    <n v="1000006759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479"/>
    <n v="1000006758"/>
    <m/>
    <m/>
    <x v="6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6477"/>
    <n v="1000006756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76"/>
    <n v="1000006755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75"/>
    <n v="1000006754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74"/>
    <n v="1000006753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73"/>
    <n v="1000006751"/>
    <m/>
    <m/>
    <x v="6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72"/>
    <n v="1000006750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580"/>
    <n v="1000006855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79"/>
    <n v="1000006854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78"/>
    <n v="1000006853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77"/>
    <n v="1000006852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76"/>
    <n v="1000006851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75"/>
    <n v="1000006850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74"/>
    <n v="1000006849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73"/>
    <n v="1000006848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72"/>
    <n v="1000006847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70"/>
    <n v="1000006846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69"/>
    <n v="1000006845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68"/>
    <n v="1000006844"/>
    <m/>
    <m/>
    <x v="6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20"/>
    <s v="EA"/>
    <n v="291.27999999999997"/>
    <s v="INR"/>
    <n v="34953.599999999999"/>
    <n v="0"/>
    <n v="34953.599999999999"/>
    <n v="0"/>
    <n v="0"/>
    <n v="0"/>
    <n v="0"/>
    <n v="34953.599999999999"/>
    <n v="0"/>
    <n v="0"/>
    <n v="0"/>
    <n v="0"/>
    <n v="0"/>
    <n v="0"/>
    <n v="0"/>
    <n v="0"/>
    <n v="34953.599999999999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567"/>
    <n v="1000006843"/>
    <m/>
    <m/>
    <x v="6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384"/>
    <s v="EA"/>
    <n v="290.89999999999998"/>
    <s v="INR"/>
    <n v="111705.60000000001"/>
    <n v="0"/>
    <n v="111705.60000000001"/>
    <n v="0"/>
    <n v="0"/>
    <n v="0"/>
    <n v="0"/>
    <n v="111705.60000000001"/>
    <n v="0"/>
    <n v="0"/>
    <n v="0"/>
    <n v="0"/>
    <n v="0"/>
    <n v="0"/>
    <n v="0"/>
    <n v="0"/>
    <n v="111705.60000000001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566"/>
    <n v="1000006842"/>
    <m/>
    <m/>
    <x v="6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s v="PENDING"/>
    <s v="Pending"/>
  </r>
  <r>
    <n v="1115"/>
    <n v="1115"/>
    <n v="10"/>
    <n v="2"/>
    <s v="Three Wheelers"/>
    <s v="F2"/>
    <s v="COMMERCIAL INVOICE"/>
    <n v="1526006565"/>
    <n v="1000006841"/>
    <m/>
    <m/>
    <x v="6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s v="PENDING"/>
    <s v="Pending"/>
  </r>
  <r>
    <n v="1115"/>
    <n v="1115"/>
    <n v="10"/>
    <n v="2"/>
    <s v="Three Wheelers"/>
    <s v="F2"/>
    <s v="COMMERCIAL INVOICE"/>
    <n v="1526006564"/>
    <n v="1000006840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63"/>
    <n v="1000006839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62"/>
    <n v="1000006838"/>
    <m/>
    <m/>
    <x v="6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6"/>
    <s v="EA"/>
    <n v="6500.18"/>
    <s v="INR"/>
    <n v="39001.08"/>
    <n v="0"/>
    <n v="39001.08"/>
    <n v="0"/>
    <n v="0"/>
    <n v="0"/>
    <n v="0"/>
    <n v="39001.08"/>
    <n v="0"/>
    <n v="0"/>
    <n v="0"/>
    <n v="0"/>
    <n v="0"/>
    <n v="0"/>
    <n v="0"/>
    <n v="0"/>
    <n v="39001.08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561"/>
    <n v="1000006837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9"/>
    <s v="EA"/>
    <n v="6570.77"/>
    <s v="INR"/>
    <n v="59136.93"/>
    <n v="0"/>
    <n v="59136.93"/>
    <n v="0"/>
    <n v="0"/>
    <n v="0"/>
    <n v="0"/>
    <n v="59136.93"/>
    <n v="0"/>
    <n v="0"/>
    <n v="0"/>
    <n v="0"/>
    <n v="0"/>
    <n v="0"/>
    <n v="0"/>
    <n v="0"/>
    <n v="59136.93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560"/>
    <n v="1000006836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59"/>
    <n v="1000006835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58"/>
    <n v="1000006834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56"/>
    <n v="1000006832"/>
    <m/>
    <m/>
    <x v="6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6"/>
    <s v="EA"/>
    <n v="8350.51"/>
    <s v="INR"/>
    <n v="50103.06"/>
    <n v="0"/>
    <n v="50103.06"/>
    <n v="0"/>
    <n v="0"/>
    <n v="0"/>
    <n v="0"/>
    <n v="50103.06"/>
    <n v="0"/>
    <n v="0"/>
    <n v="0"/>
    <n v="0"/>
    <n v="0"/>
    <n v="0"/>
    <n v="0"/>
    <n v="0"/>
    <n v="50103.06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555"/>
    <n v="1000006831"/>
    <m/>
    <m/>
    <x v="6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50"/>
    <s v="EA"/>
    <n v="380.93"/>
    <s v="INR"/>
    <n v="57139.5"/>
    <n v="0"/>
    <n v="57139.5"/>
    <n v="0"/>
    <n v="0"/>
    <n v="0"/>
    <n v="0"/>
    <n v="57139.5"/>
    <n v="0"/>
    <n v="0"/>
    <n v="0"/>
    <n v="0"/>
    <n v="0"/>
    <n v="0"/>
    <n v="0"/>
    <n v="0"/>
    <n v="57139.5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6554"/>
    <n v="1000006830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53"/>
    <n v="1000006829"/>
    <m/>
    <m/>
    <x v="6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552"/>
    <n v="1000006828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51"/>
    <n v="1000006827"/>
    <m/>
    <m/>
    <x v="6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1280"/>
    <s v="EA"/>
    <n v="174.11"/>
    <s v="INR"/>
    <n v="222860.79999999999"/>
    <n v="0"/>
    <n v="222860.79999999999"/>
    <n v="0"/>
    <n v="0"/>
    <n v="0"/>
    <n v="0"/>
    <n v="222860.79999999999"/>
    <n v="0"/>
    <n v="0"/>
    <n v="0"/>
    <n v="0"/>
    <n v="0"/>
    <n v="0"/>
    <n v="0"/>
    <n v="0"/>
    <n v="222860.79999999999"/>
    <n v="0"/>
    <n v="0"/>
    <n v="311000"/>
    <s v="SALE FINISHED GOODS"/>
    <n v="2.573"/>
    <n v="1.4910000000000001"/>
    <n v="1.0820000000000001"/>
    <s v="AA161289"/>
    <n v="1511"/>
    <s v="FG Loose 3WH"/>
    <s v="PENDING"/>
    <s v="Pending"/>
  </r>
  <r>
    <n v="1115"/>
    <n v="1115"/>
    <n v="10"/>
    <n v="2"/>
    <s v="Three Wheelers"/>
    <s v="F2"/>
    <s v="COMMERCIAL INVOICE"/>
    <n v="1526006549"/>
    <n v="1000006826"/>
    <m/>
    <m/>
    <x v="6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96"/>
    <s v="EA"/>
    <n v="290.89999999999998"/>
    <s v="INR"/>
    <n v="27926.400000000001"/>
    <n v="0"/>
    <n v="27926.400000000001"/>
    <n v="0"/>
    <n v="0"/>
    <n v="0"/>
    <n v="0"/>
    <n v="27926.400000000001"/>
    <n v="0"/>
    <n v="0"/>
    <n v="0"/>
    <n v="0"/>
    <n v="0"/>
    <n v="0"/>
    <n v="0"/>
    <n v="0"/>
    <n v="27926.400000000001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548"/>
    <n v="1000006825"/>
    <m/>
    <m/>
    <x v="6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96"/>
    <s v="EA"/>
    <n v="290.89999999999998"/>
    <s v="INR"/>
    <n v="27926.400000000001"/>
    <n v="0"/>
    <n v="27926.400000000001"/>
    <n v="0"/>
    <n v="0"/>
    <n v="0"/>
    <n v="0"/>
    <n v="27926.400000000001"/>
    <n v="0"/>
    <n v="0"/>
    <n v="0"/>
    <n v="0"/>
    <n v="0"/>
    <n v="0"/>
    <n v="0"/>
    <n v="0"/>
    <n v="27926.400000000001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546"/>
    <n v="1000006822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45"/>
    <n v="1000006821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44"/>
    <n v="1000006820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43"/>
    <n v="1000006819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42"/>
    <n v="1000006818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537"/>
    <n v="1000006814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36"/>
    <n v="1000006813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32"/>
    <n v="1000006811"/>
    <m/>
    <m/>
    <x v="6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20"/>
    <s v="EA"/>
    <n v="380.93"/>
    <s v="INR"/>
    <n v="45711.6"/>
    <n v="0"/>
    <n v="45711.6"/>
    <n v="0"/>
    <n v="0"/>
    <n v="0"/>
    <n v="0"/>
    <n v="45711.6"/>
    <n v="0"/>
    <n v="0"/>
    <n v="0"/>
    <n v="0"/>
    <n v="0"/>
    <n v="0"/>
    <n v="0"/>
    <n v="0"/>
    <n v="45711.6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6531"/>
    <n v="1000006810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530"/>
    <n v="1000006809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529"/>
    <n v="1000006808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528"/>
    <n v="1000006807"/>
    <m/>
    <m/>
    <x v="6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420"/>
    <n v="1000006692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419"/>
    <n v="1000006691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418"/>
    <n v="1000006690"/>
    <m/>
    <m/>
    <x v="6"/>
    <n v="5100001795"/>
    <s v="ZSCH"/>
    <s v="Normal Sales"/>
    <n v="4110032503"/>
    <s v="31.08.2021"/>
    <n v="5000"/>
    <s v="BAJAJ AUTO LIMITED (WALUJ)"/>
    <m/>
    <m/>
    <s v="27340676530V"/>
    <n v="1502010016"/>
    <s v="PLATE CHECK FRONT MUD MOUNTING"/>
    <x v="13"/>
    <n v="87082900"/>
    <n v="2000"/>
    <s v="EA"/>
    <n v="8.4600000000000009"/>
    <s v="INR"/>
    <n v="16920"/>
    <n v="0"/>
    <n v="16920"/>
    <n v="0"/>
    <n v="0"/>
    <n v="0"/>
    <n v="0"/>
    <n v="16920"/>
    <n v="0"/>
    <n v="0"/>
    <n v="0"/>
    <n v="0"/>
    <n v="0"/>
    <n v="0"/>
    <n v="0"/>
    <n v="0"/>
    <n v="16920"/>
    <n v="0"/>
    <n v="0"/>
    <n v="311000"/>
    <s v="SALE FINISHED GOODS"/>
    <n v="0.08"/>
    <n v="6.3E-2"/>
    <n v="1.7000000000000001E-2"/>
    <s v="AB161182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417"/>
    <n v="1000006689"/>
    <m/>
    <m/>
    <x v="6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416"/>
    <n v="1000006688"/>
    <m/>
    <m/>
    <x v="6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415"/>
    <n v="1000006687"/>
    <m/>
    <m/>
    <x v="6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414"/>
    <n v="1000006686"/>
    <m/>
    <m/>
    <x v="6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s v="PENDING"/>
    <s v="Pending"/>
  </r>
  <r>
    <n v="1115"/>
    <n v="1115"/>
    <n v="10"/>
    <n v="2"/>
    <s v="Three Wheelers"/>
    <s v="F2"/>
    <s v="COMMERCIAL INVOICE"/>
    <n v="1526006413"/>
    <n v="1000006685"/>
    <m/>
    <m/>
    <x v="6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s v="PENDING"/>
    <s v="Pending"/>
  </r>
  <r>
    <n v="1115"/>
    <n v="1115"/>
    <n v="10"/>
    <n v="2"/>
    <s v="Three Wheelers"/>
    <s v="F2"/>
    <s v="COMMERCIAL INVOICE"/>
    <n v="1526006412"/>
    <n v="1000006684"/>
    <m/>
    <m/>
    <x v="6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411"/>
    <n v="1000006683"/>
    <m/>
    <m/>
    <x v="6"/>
    <n v="5100001100"/>
    <s v="ZSCH"/>
    <s v="Normal Sales"/>
    <n v="4110004652"/>
    <s v="01.07.2017"/>
    <n v="5000"/>
    <s v="BAJAJ AUTO LIMITED (WALUJ)"/>
    <m/>
    <m/>
    <s v="27340676530V"/>
    <n v="1502040126"/>
    <s v="BB231369-COVER REAR LH FL"/>
    <x v="8"/>
    <n v="87082900"/>
    <n v="55"/>
    <s v="EA"/>
    <n v="155.58000000000001"/>
    <s v="INR"/>
    <n v="8556.9"/>
    <n v="0"/>
    <n v="8556.9"/>
    <n v="0"/>
    <n v="0"/>
    <n v="0"/>
    <n v="0"/>
    <n v="8556.9"/>
    <n v="0"/>
    <n v="0"/>
    <n v="0"/>
    <n v="0"/>
    <n v="0"/>
    <n v="0"/>
    <n v="0"/>
    <n v="0"/>
    <n v="8556.9"/>
    <n v="0"/>
    <n v="0"/>
    <n v="311000"/>
    <s v="SALE FINISHED GOODS"/>
    <n v="1.1850000000000001"/>
    <n v="1.1850000000000001"/>
    <n v="0"/>
    <s v="BB231369"/>
    <n v="1511"/>
    <s v="FG Loose 3WH"/>
    <s v="PENDING"/>
    <s v="Pending"/>
  </r>
  <r>
    <n v="1115"/>
    <n v="1115"/>
    <n v="10"/>
    <n v="2"/>
    <s v="Three Wheelers"/>
    <s v="F2"/>
    <s v="COMMERCIAL INVOICE"/>
    <n v="1526006410"/>
    <n v="1000006682"/>
    <m/>
    <m/>
    <x v="6"/>
    <n v="5100001096"/>
    <s v="ZSCH"/>
    <s v="Normal Sales"/>
    <n v="4110004645"/>
    <s v="01.07.2017"/>
    <n v="5000"/>
    <s v="BAJAJ AUTO LIMITED (WALUJ)"/>
    <m/>
    <m/>
    <s v="27340676530V"/>
    <n v="1502040061"/>
    <s v="ASSLY FOR ISOLATOR BLOCK LH"/>
    <x v="13"/>
    <n v="87082900"/>
    <n v="84"/>
    <s v="EA"/>
    <n v="228.28"/>
    <s v="INR"/>
    <n v="19175.52"/>
    <n v="0"/>
    <n v="19175.52"/>
    <n v="0"/>
    <n v="0"/>
    <n v="0"/>
    <n v="0"/>
    <n v="19175.52"/>
    <n v="0"/>
    <n v="0"/>
    <n v="0"/>
    <n v="0"/>
    <n v="0"/>
    <n v="0"/>
    <n v="0"/>
    <n v="0"/>
    <n v="19175.52"/>
    <n v="0"/>
    <n v="0"/>
    <n v="311000"/>
    <s v="SALE FINISHED GOODS"/>
    <n v="1.68"/>
    <n v="1.68"/>
    <n v="0"/>
    <s v="52BA0209"/>
    <n v="1511"/>
    <s v="FG Loose 3WH"/>
    <s v="PENDING"/>
    <s v="Pending"/>
  </r>
  <r>
    <n v="1115"/>
    <n v="1115"/>
    <n v="10"/>
    <n v="2"/>
    <s v="Three Wheelers"/>
    <s v="F2"/>
    <s v="COMMERCIAL INVOICE"/>
    <n v="1526006409"/>
    <n v="1000006681"/>
    <m/>
    <m/>
    <x v="6"/>
    <n v="5100001100"/>
    <s v="ZSCH"/>
    <s v="Normal Sales"/>
    <n v="4110004652"/>
    <s v="01.07.2017"/>
    <n v="5000"/>
    <s v="BAJAJ AUTO LIMITED (WALUJ)"/>
    <m/>
    <m/>
    <s v="27340676530V"/>
    <n v="1502040125"/>
    <s v="BB231370-COVER REAR RH FL"/>
    <x v="8"/>
    <n v="87082900"/>
    <n v="55"/>
    <s v="EA"/>
    <n v="160.44999999999999"/>
    <s v="INR"/>
    <n v="8824.75"/>
    <n v="0"/>
    <n v="8824.75"/>
    <n v="0"/>
    <n v="0"/>
    <n v="0"/>
    <n v="0"/>
    <n v="8824.75"/>
    <n v="0"/>
    <n v="0"/>
    <n v="0"/>
    <n v="0"/>
    <n v="0"/>
    <n v="0"/>
    <n v="0"/>
    <n v="0"/>
    <n v="8824.75"/>
    <n v="0"/>
    <n v="0"/>
    <n v="311000"/>
    <s v="SALE FINISHED GOODS"/>
    <n v="1.1850000000000001"/>
    <n v="1.1850000000000001"/>
    <n v="0"/>
    <s v="BB231370"/>
    <n v="1511"/>
    <s v="FG Loose 3WH"/>
    <s v="PENDING"/>
    <s v="Pending"/>
  </r>
  <r>
    <n v="1115"/>
    <n v="1115"/>
    <n v="10"/>
    <n v="2"/>
    <s v="Three Wheelers"/>
    <s v="F2"/>
    <s v="COMMERCIAL INVOICE"/>
    <n v="1526006408"/>
    <n v="1000006680"/>
    <m/>
    <m/>
    <x v="6"/>
    <n v="5100001096"/>
    <s v="ZSCH"/>
    <s v="Normal Sales"/>
    <n v="4110004645"/>
    <s v="01.07.2017"/>
    <n v="5000"/>
    <s v="BAJAJ AUTO LIMITED (WALUJ)"/>
    <m/>
    <m/>
    <s v="27340676530V"/>
    <n v="1502040068"/>
    <s v="PART FOR ENG FOUNDATION BKT RH"/>
    <x v="15"/>
    <n v="87082900"/>
    <n v="84"/>
    <s v="EA"/>
    <n v="237.64"/>
    <s v="INR"/>
    <n v="19961.759999999998"/>
    <n v="0"/>
    <n v="19961.759999999998"/>
    <n v="0"/>
    <n v="0"/>
    <n v="0"/>
    <n v="0"/>
    <n v="19961.759999999998"/>
    <n v="0"/>
    <n v="0"/>
    <n v="0"/>
    <n v="0"/>
    <n v="0"/>
    <n v="0"/>
    <n v="0"/>
    <n v="0"/>
    <n v="19961.759999999998"/>
    <n v="0"/>
    <n v="0"/>
    <n v="311000"/>
    <s v="SALE FINISHED GOODS"/>
    <n v="1.68"/>
    <n v="1.68"/>
    <n v="0"/>
    <s v="52BA0101"/>
    <n v="1511"/>
    <s v="FG Loose 3WH"/>
    <s v="PENDING"/>
    <s v="Pending"/>
  </r>
  <r>
    <n v="1115"/>
    <n v="1115"/>
    <n v="10"/>
    <n v="2"/>
    <s v="Three Wheelers"/>
    <s v="F2"/>
    <s v="COMMERCIAL INVOICE"/>
    <n v="1526006407"/>
    <n v="1000006679"/>
    <m/>
    <m/>
    <x v="6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406"/>
    <n v="1000006678"/>
    <m/>
    <m/>
    <x v="6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405"/>
    <n v="1000006677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2"/>
    <s v="EA"/>
    <n v="6585.55"/>
    <s v="INR"/>
    <n v="79026.600000000006"/>
    <n v="0"/>
    <n v="79026.600000000006"/>
    <n v="0"/>
    <n v="0"/>
    <n v="0"/>
    <n v="0"/>
    <n v="79026.600000000006"/>
    <n v="0"/>
    <n v="0"/>
    <n v="0"/>
    <n v="0"/>
    <n v="0"/>
    <n v="0"/>
    <n v="0"/>
    <n v="0"/>
    <n v="79026.600000000006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404"/>
    <n v="1000006676"/>
    <m/>
    <m/>
    <x v="6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6"/>
    <s v="EA"/>
    <n v="6240.88"/>
    <s v="INR"/>
    <n v="37445.279999999999"/>
    <n v="0"/>
    <n v="37445.279999999999"/>
    <n v="0"/>
    <n v="0"/>
    <n v="0"/>
    <n v="0"/>
    <n v="37445.279999999999"/>
    <n v="0"/>
    <n v="0"/>
    <n v="0"/>
    <n v="0"/>
    <n v="0"/>
    <n v="0"/>
    <n v="0"/>
    <n v="0"/>
    <n v="37445.279999999999"/>
    <n v="0"/>
    <n v="0"/>
    <n v="311000"/>
    <s v="SALE FINISHED GOODS"/>
    <n v="58"/>
    <n v="58"/>
    <n v="0"/>
    <s v="52BA0852"/>
    <n v="1509"/>
    <s v="FG Body"/>
    <s v="PENDING"/>
    <s v="Pending"/>
  </r>
  <r>
    <n v="1115"/>
    <n v="1115"/>
    <n v="10"/>
    <n v="2"/>
    <s v="Three Wheelers"/>
    <s v="F2"/>
    <s v="COMMERCIAL INVOICE"/>
    <n v="1526006403"/>
    <n v="1000006675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9"/>
    <s v="EA"/>
    <n v="6570.77"/>
    <s v="INR"/>
    <n v="59136.93"/>
    <n v="0"/>
    <n v="59136.93"/>
    <n v="0"/>
    <n v="0"/>
    <n v="0"/>
    <n v="0"/>
    <n v="59136.93"/>
    <n v="0"/>
    <n v="0"/>
    <n v="0"/>
    <n v="0"/>
    <n v="0"/>
    <n v="0"/>
    <n v="0"/>
    <n v="0"/>
    <n v="59136.93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402"/>
    <n v="1000006674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401"/>
    <n v="1000006673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400"/>
    <n v="1000006672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99"/>
    <n v="1000006671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98"/>
    <n v="1000006670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397"/>
    <n v="1000006669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396"/>
    <n v="1000006668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395"/>
    <n v="1000006667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394"/>
    <n v="1000006666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393"/>
    <n v="1000006665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392"/>
    <n v="1000006664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391"/>
    <n v="1000006663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90"/>
    <n v="1000006662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89"/>
    <n v="1000006661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88"/>
    <n v="1000006660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87"/>
    <n v="1000006659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86"/>
    <n v="1000006658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85"/>
    <n v="1000006657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84"/>
    <n v="1000006656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383"/>
    <n v="1000006655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382"/>
    <n v="1000006654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381"/>
    <n v="1000006653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380"/>
    <n v="1000006652"/>
    <m/>
    <m/>
    <x v="6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379"/>
    <n v="1000006651"/>
    <m/>
    <m/>
    <x v="6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470"/>
    <n v="1000006748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469"/>
    <n v="1000006747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68"/>
    <n v="1000006746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67"/>
    <n v="1000006745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66"/>
    <n v="1000006744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65"/>
    <n v="1000006743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63"/>
    <n v="1000006741"/>
    <m/>
    <m/>
    <x v="6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462"/>
    <n v="1000006739"/>
    <m/>
    <m/>
    <x v="6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460"/>
    <n v="1000006735"/>
    <m/>
    <m/>
    <x v="6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457"/>
    <n v="1000006733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456"/>
    <n v="1000006731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455"/>
    <n v="1000006729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454"/>
    <n v="1000006728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453"/>
    <n v="1000006725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452"/>
    <n v="1000006722"/>
    <m/>
    <m/>
    <x v="6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6450"/>
    <n v="1000006721"/>
    <m/>
    <m/>
    <x v="6"/>
    <n v="5100001924"/>
    <s v="ZSCH"/>
    <s v="Normal Sales"/>
    <n v="4110055642"/>
    <s v="09.09.2024"/>
    <n v="5000"/>
    <s v="BAJAJ AUTO LIMITED (WALUJ)"/>
    <m/>
    <m/>
    <s v="27340676530V"/>
    <n v="1502040316"/>
    <s v="52BA0857  RE DOOR ASSLY LH BLACK"/>
    <x v="4"/>
    <n v="87082900"/>
    <n v="120"/>
    <s v="EA"/>
    <n v="497.87"/>
    <s v="INR"/>
    <n v="59744.4"/>
    <n v="0"/>
    <n v="59744.4"/>
    <n v="0"/>
    <n v="0"/>
    <n v="0"/>
    <n v="0"/>
    <n v="59744.4"/>
    <n v="0"/>
    <n v="0"/>
    <n v="0"/>
    <n v="0"/>
    <n v="0"/>
    <n v="0"/>
    <n v="0"/>
    <n v="0"/>
    <n v="59744.4"/>
    <n v="0"/>
    <n v="0"/>
    <n v="311000"/>
    <s v="SALE FINISHED GOODS"/>
    <n v="2.27"/>
    <n v="2.27"/>
    <n v="0"/>
    <s v="52BA0857"/>
    <n v="1511"/>
    <s v="FG Loose 3WH"/>
    <s v="PENDING"/>
    <s v="Pending"/>
  </r>
  <r>
    <n v="1115"/>
    <n v="1115"/>
    <n v="10"/>
    <n v="2"/>
    <s v="Three Wheelers"/>
    <s v="F2"/>
    <s v="COMMERCIAL INVOICE"/>
    <n v="1526006449"/>
    <n v="1000006720"/>
    <m/>
    <m/>
    <x v="6"/>
    <n v="5100001924"/>
    <s v="ZSCH"/>
    <s v="Normal Sales"/>
    <n v="4110055642"/>
    <s v="09.09.2024"/>
    <n v="5000"/>
    <s v="BAJAJ AUTO LIMITED (WALUJ)"/>
    <m/>
    <m/>
    <s v="27340676530V"/>
    <n v="1502040315"/>
    <s v="52BA0856  RE DOOR ASSLY RH BLACK"/>
    <x v="4"/>
    <n v="87082900"/>
    <n v="120"/>
    <s v="EA"/>
    <n v="497.08"/>
    <s v="INR"/>
    <n v="59649.599999999999"/>
    <n v="0"/>
    <n v="59649.599999999999"/>
    <n v="0"/>
    <n v="0"/>
    <n v="0"/>
    <n v="0"/>
    <n v="59649.599999999999"/>
    <n v="0"/>
    <n v="0"/>
    <n v="0"/>
    <n v="0"/>
    <n v="0"/>
    <n v="0"/>
    <n v="0"/>
    <n v="0"/>
    <n v="59649.599999999999"/>
    <n v="0"/>
    <n v="0"/>
    <n v="311000"/>
    <s v="SALE FINISHED GOODS"/>
    <n v="2.27"/>
    <n v="2.27"/>
    <n v="0"/>
    <s v="52BA0856"/>
    <n v="1511"/>
    <s v="FG Loose 3WH"/>
    <s v="PENDING"/>
    <s v="Pending"/>
  </r>
  <r>
    <n v="1115"/>
    <n v="1115"/>
    <n v="10"/>
    <n v="2"/>
    <s v="Three Wheelers"/>
    <s v="F2"/>
    <s v="COMMERCIAL INVOICE"/>
    <n v="1526006448"/>
    <n v="1000006718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47"/>
    <n v="1000006717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46"/>
    <n v="1000006716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45"/>
    <n v="1000006715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44"/>
    <n v="1000006714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43"/>
    <n v="1000006713"/>
    <m/>
    <m/>
    <x v="6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441"/>
    <n v="1000006712"/>
    <m/>
    <m/>
    <x v="6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440"/>
    <n v="1000006711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439"/>
    <n v="1000006710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438"/>
    <n v="1000006709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437"/>
    <n v="1000006708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36"/>
    <n v="1000006707"/>
    <m/>
    <m/>
    <x v="6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3"/>
    <s v="EA"/>
    <n v="6570.77"/>
    <s v="INR"/>
    <n v="19712.310000000001"/>
    <n v="0"/>
    <n v="19712.310000000001"/>
    <n v="0"/>
    <n v="0"/>
    <n v="0"/>
    <n v="0"/>
    <n v="19712.310000000001"/>
    <n v="0"/>
    <n v="0"/>
    <n v="0"/>
    <n v="0"/>
    <n v="0"/>
    <n v="0"/>
    <n v="0"/>
    <n v="0"/>
    <n v="19712.310000000001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434"/>
    <n v="1000006705"/>
    <m/>
    <m/>
    <x v="6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433"/>
    <n v="1000006704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432"/>
    <n v="1000006703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431"/>
    <n v="1000006702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430"/>
    <n v="1000006701"/>
    <m/>
    <m/>
    <x v="6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429"/>
    <n v="1000006700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428"/>
    <n v="1000006699"/>
    <m/>
    <m/>
    <x v="6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427"/>
    <n v="1000006698"/>
    <m/>
    <m/>
    <x v="6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6425"/>
    <n v="1000006697"/>
    <m/>
    <m/>
    <x v="6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424"/>
    <n v="1000006696"/>
    <m/>
    <m/>
    <x v="6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422"/>
    <n v="1000006694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421"/>
    <n v="1000006693"/>
    <m/>
    <m/>
    <x v="6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28"/>
    <n v="1000007006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27"/>
    <n v="1000007005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26"/>
    <n v="1000007004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25"/>
    <n v="1000007003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24"/>
    <n v="1000007002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22"/>
    <n v="1000007001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21"/>
    <n v="1000007000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20"/>
    <n v="1000006999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18"/>
    <n v="1000006997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16"/>
    <n v="1000006995"/>
    <m/>
    <m/>
    <x v="7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715"/>
    <n v="1000006994"/>
    <m/>
    <m/>
    <x v="7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714"/>
    <n v="1000006992"/>
    <m/>
    <m/>
    <x v="7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1600"/>
    <s v="EA"/>
    <n v="174.11"/>
    <s v="INR"/>
    <n v="278576"/>
    <n v="0"/>
    <n v="278576"/>
    <n v="0"/>
    <n v="0"/>
    <n v="0"/>
    <n v="0"/>
    <n v="278576"/>
    <n v="0"/>
    <n v="0"/>
    <n v="0"/>
    <n v="0"/>
    <n v="0"/>
    <n v="0"/>
    <n v="0"/>
    <n v="0"/>
    <n v="278576"/>
    <n v="0"/>
    <n v="0"/>
    <n v="311000"/>
    <s v="SALE FINISHED GOODS"/>
    <n v="2.573"/>
    <n v="1.4910000000000001"/>
    <n v="1.0820000000000001"/>
    <s v="AA161289"/>
    <n v="1511"/>
    <s v="FG Loose 3WH"/>
    <s v="PENDING"/>
    <s v="Pending"/>
  </r>
  <r>
    <n v="1115"/>
    <n v="1115"/>
    <n v="10"/>
    <n v="2"/>
    <s v="Three Wheelers"/>
    <s v="F2"/>
    <s v="COMMERCIAL INVOICE"/>
    <n v="1526006713"/>
    <n v="1000006991"/>
    <m/>
    <m/>
    <x v="7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210"/>
    <s v="EA"/>
    <n v="380.93"/>
    <s v="INR"/>
    <n v="79995.3"/>
    <n v="0"/>
    <n v="79995.3"/>
    <n v="0"/>
    <n v="0"/>
    <n v="0"/>
    <n v="0"/>
    <n v="79995.3"/>
    <n v="0"/>
    <n v="0"/>
    <n v="0"/>
    <n v="0"/>
    <n v="0"/>
    <n v="0"/>
    <n v="0"/>
    <n v="0"/>
    <n v="79995.3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6712"/>
    <n v="1000006990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6"/>
    <s v="EA"/>
    <n v="8350.51"/>
    <s v="INR"/>
    <n v="50103.06"/>
    <n v="0"/>
    <n v="50103.06"/>
    <n v="0"/>
    <n v="0"/>
    <n v="0"/>
    <n v="0"/>
    <n v="50103.06"/>
    <n v="0"/>
    <n v="0"/>
    <n v="0"/>
    <n v="0"/>
    <n v="0"/>
    <n v="0"/>
    <n v="0"/>
    <n v="0"/>
    <n v="50103.06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10"/>
    <n v="1000006989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09"/>
    <n v="1000006988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08"/>
    <n v="1000006987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07"/>
    <n v="1000006986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06"/>
    <n v="1000006985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05"/>
    <n v="1000006984"/>
    <m/>
    <m/>
    <x v="7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288"/>
    <s v="EA"/>
    <n v="174.61"/>
    <s v="INR"/>
    <n v="50287.68"/>
    <n v="0"/>
    <n v="50287.68"/>
    <n v="0"/>
    <n v="0"/>
    <n v="0"/>
    <n v="0"/>
    <n v="50287.68"/>
    <n v="0"/>
    <n v="0"/>
    <n v="0"/>
    <n v="0"/>
    <n v="0"/>
    <n v="0"/>
    <n v="0"/>
    <n v="0"/>
    <n v="50287.68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6704"/>
    <n v="1000006983"/>
    <m/>
    <m/>
    <x v="7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703"/>
    <n v="1000006982"/>
    <m/>
    <m/>
    <x v="7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200"/>
    <s v="EA"/>
    <n v="174.61"/>
    <s v="INR"/>
    <n v="34922"/>
    <n v="0"/>
    <n v="34922"/>
    <n v="0"/>
    <n v="0"/>
    <n v="0"/>
    <n v="0"/>
    <n v="34922"/>
    <n v="0"/>
    <n v="0"/>
    <n v="0"/>
    <n v="0"/>
    <n v="0"/>
    <n v="0"/>
    <n v="0"/>
    <n v="0"/>
    <n v="34922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6702"/>
    <n v="1000006981"/>
    <m/>
    <m/>
    <x v="7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48"/>
    <s v="EA"/>
    <n v="290.89999999999998"/>
    <s v="INR"/>
    <n v="130323.2"/>
    <n v="0"/>
    <n v="130323.2"/>
    <n v="0"/>
    <n v="0"/>
    <n v="0"/>
    <n v="0"/>
    <n v="130323.2"/>
    <n v="0"/>
    <n v="0"/>
    <n v="0"/>
    <n v="0"/>
    <n v="0"/>
    <n v="0"/>
    <n v="0"/>
    <n v="0"/>
    <n v="130323.2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701"/>
    <n v="1000006980"/>
    <m/>
    <m/>
    <x v="7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700"/>
    <n v="1000006979"/>
    <m/>
    <m/>
    <x v="7"/>
    <n v="5100001445"/>
    <s v="ZSCH"/>
    <s v="Normal Sales"/>
    <n v="4110021696"/>
    <s v="08.08.2019"/>
    <n v="5000"/>
    <s v="BAJAJ AUTO LIMITED (WALUJ)"/>
    <m/>
    <m/>
    <s v="27340676530V"/>
    <n v="1502040233"/>
    <s v="BB161099 MUDGUARD FRONT REFL"/>
    <x v="3"/>
    <n v="87082900"/>
    <n v="750"/>
    <s v="EA"/>
    <n v="317.45999999999998"/>
    <s v="INR"/>
    <n v="238095"/>
    <n v="0"/>
    <n v="238095"/>
    <n v="0"/>
    <n v="0"/>
    <n v="0"/>
    <n v="0"/>
    <n v="238095"/>
    <n v="0"/>
    <n v="0"/>
    <n v="0"/>
    <n v="0"/>
    <n v="0"/>
    <n v="0"/>
    <n v="0"/>
    <n v="0"/>
    <n v="238095"/>
    <n v="0"/>
    <n v="0"/>
    <n v="311000"/>
    <s v="SALE FINISHED GOODS"/>
    <n v="3.4"/>
    <n v="2"/>
    <n v="1.4"/>
    <s v="BB161099"/>
    <n v="1511"/>
    <s v="FG Loose 3WH"/>
    <s v="PENDING"/>
    <s v="Pending"/>
  </r>
  <r>
    <n v="1115"/>
    <n v="1115"/>
    <n v="10"/>
    <n v="2"/>
    <s v="Three Wheelers"/>
    <s v="F2"/>
    <s v="COMMERCIAL INVOICE"/>
    <n v="1526006699"/>
    <n v="1000006977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98"/>
    <n v="1000006976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97"/>
    <n v="1000006975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96"/>
    <n v="1000006974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95"/>
    <n v="1000006973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94"/>
    <n v="1000006972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93"/>
    <n v="1000006971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92"/>
    <n v="1000006970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86"/>
    <n v="1000006964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85"/>
    <n v="1000006962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81"/>
    <n v="1000006959"/>
    <m/>
    <m/>
    <x v="7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15"/>
    <s v="EA"/>
    <n v="6509.4"/>
    <s v="INR"/>
    <n v="97641"/>
    <n v="0"/>
    <n v="97641"/>
    <n v="0"/>
    <n v="0"/>
    <n v="0"/>
    <n v="0"/>
    <n v="97641"/>
    <n v="0"/>
    <n v="0"/>
    <n v="0"/>
    <n v="0"/>
    <n v="0"/>
    <n v="0"/>
    <n v="0"/>
    <n v="0"/>
    <n v="97641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680"/>
    <n v="1000006958"/>
    <m/>
    <m/>
    <x v="7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9"/>
    <s v="EA"/>
    <n v="6509.4"/>
    <s v="INR"/>
    <n v="58584.6"/>
    <n v="0"/>
    <n v="58584.6"/>
    <n v="0"/>
    <n v="0"/>
    <n v="0"/>
    <n v="0"/>
    <n v="58584.6"/>
    <n v="0"/>
    <n v="0"/>
    <n v="0"/>
    <n v="0"/>
    <n v="0"/>
    <n v="0"/>
    <n v="0"/>
    <n v="0"/>
    <n v="58584.6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679"/>
    <n v="1000006957"/>
    <m/>
    <m/>
    <x v="7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676"/>
    <n v="1000006953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75"/>
    <n v="1000006952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74"/>
    <n v="1000006951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729"/>
    <n v="1000007007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73"/>
    <n v="1000007052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72"/>
    <n v="1000007051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71"/>
    <n v="1000007050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70"/>
    <n v="1000007049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69"/>
    <n v="1000007048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2"/>
    <s v="EA"/>
    <n v="6500.18"/>
    <s v="INR"/>
    <n v="78002.16"/>
    <n v="0"/>
    <n v="78002.16"/>
    <n v="0"/>
    <n v="0"/>
    <n v="0"/>
    <n v="0"/>
    <n v="78002.16"/>
    <n v="0"/>
    <n v="0"/>
    <n v="0"/>
    <n v="0"/>
    <n v="0"/>
    <n v="0"/>
    <n v="0"/>
    <n v="0"/>
    <n v="78002.16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68"/>
    <n v="1000007047"/>
    <m/>
    <m/>
    <x v="7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767"/>
    <n v="1000007046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60"/>
    <s v="EA"/>
    <n v="6500.18"/>
    <s v="INR"/>
    <n v="390010.8"/>
    <n v="0"/>
    <n v="390010.8"/>
    <n v="0"/>
    <n v="0"/>
    <n v="0"/>
    <n v="0"/>
    <n v="390010.8"/>
    <n v="0"/>
    <n v="0"/>
    <n v="0"/>
    <n v="0"/>
    <n v="0"/>
    <n v="0"/>
    <n v="0"/>
    <n v="0"/>
    <n v="390010.8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66"/>
    <n v="1000007045"/>
    <m/>
    <m/>
    <x v="7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765"/>
    <n v="1000007044"/>
    <m/>
    <m/>
    <x v="7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764"/>
    <n v="1000007043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63"/>
    <n v="1000007042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62"/>
    <n v="1000007041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61"/>
    <n v="1000007040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60"/>
    <n v="1000007039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759"/>
    <n v="1000007038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58"/>
    <n v="1000007037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57"/>
    <n v="1000007036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56"/>
    <n v="1000007035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55"/>
    <n v="1000007034"/>
    <m/>
    <m/>
    <x v="7"/>
    <n v="5100001935"/>
    <s v="ZSCH"/>
    <s v="Normal Sales"/>
    <n v="4110059361"/>
    <s v="11.03.2025"/>
    <n v="5000"/>
    <s v="BAJAJ AUTO LIMITED (WALUJ)"/>
    <m/>
    <m/>
    <s v="27340676530V"/>
    <n v="1502020125"/>
    <s v="52AF1050 BODY ASSLY RE AIR COOLED BI-FUE"/>
    <x v="1"/>
    <n v="87082900"/>
    <n v="15"/>
    <s v="EA"/>
    <n v="6435.33"/>
    <s v="INR"/>
    <n v="96529.95"/>
    <n v="0"/>
    <n v="96529.95"/>
    <n v="0"/>
    <n v="0"/>
    <n v="0"/>
    <n v="0"/>
    <n v="96529.95"/>
    <n v="0"/>
    <n v="0"/>
    <n v="0"/>
    <n v="0"/>
    <n v="0"/>
    <n v="0"/>
    <n v="0"/>
    <n v="0"/>
    <n v="96529.95"/>
    <n v="0"/>
    <n v="0"/>
    <n v="311000"/>
    <s v="SALE FINISHED GOODS"/>
    <n v="0"/>
    <n v="0"/>
    <n v="0"/>
    <s v="52AF1050"/>
    <n v="1509"/>
    <s v="FG Body"/>
    <s v="PENDING"/>
    <s v="Pending"/>
  </r>
  <r>
    <n v="1115"/>
    <n v="1115"/>
    <n v="10"/>
    <n v="2"/>
    <s v="Three Wheelers"/>
    <s v="F2"/>
    <s v="COMMERCIAL INVOICE"/>
    <n v="1526006754"/>
    <n v="1000007033"/>
    <m/>
    <m/>
    <x v="7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753"/>
    <n v="1000007032"/>
    <m/>
    <m/>
    <x v="7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752"/>
    <n v="1000007031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51"/>
    <n v="1000007030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50"/>
    <n v="1000007029"/>
    <m/>
    <m/>
    <x v="7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20"/>
    <s v="EA"/>
    <n v="380.93"/>
    <s v="INR"/>
    <n v="45711.6"/>
    <n v="0"/>
    <n v="45711.6"/>
    <n v="0"/>
    <n v="0"/>
    <n v="0"/>
    <n v="0"/>
    <n v="45711.6"/>
    <n v="0"/>
    <n v="0"/>
    <n v="0"/>
    <n v="0"/>
    <n v="0"/>
    <n v="0"/>
    <n v="0"/>
    <n v="0"/>
    <n v="45711.6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6749"/>
    <n v="1000007028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48"/>
    <n v="1000007027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47"/>
    <n v="1000007026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44"/>
    <n v="1000007024"/>
    <m/>
    <m/>
    <x v="7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743"/>
    <n v="1000007023"/>
    <m/>
    <m/>
    <x v="7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48"/>
    <s v="EA"/>
    <n v="290.89999999999998"/>
    <s v="INR"/>
    <n v="130323.2"/>
    <n v="0"/>
    <n v="130323.2"/>
    <n v="0"/>
    <n v="0"/>
    <n v="0"/>
    <n v="0"/>
    <n v="130323.2"/>
    <n v="0"/>
    <n v="0"/>
    <n v="0"/>
    <n v="0"/>
    <n v="0"/>
    <n v="0"/>
    <n v="0"/>
    <n v="0"/>
    <n v="130323.2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742"/>
    <n v="1000007022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41"/>
    <n v="1000007021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6"/>
    <s v="EA"/>
    <n v="6500.18"/>
    <s v="INR"/>
    <n v="39001.08"/>
    <n v="0"/>
    <n v="39001.08"/>
    <n v="0"/>
    <n v="0"/>
    <n v="0"/>
    <n v="0"/>
    <n v="39001.08"/>
    <n v="0"/>
    <n v="0"/>
    <n v="0"/>
    <n v="0"/>
    <n v="0"/>
    <n v="0"/>
    <n v="0"/>
    <n v="0"/>
    <n v="39001.08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40"/>
    <n v="1000007020"/>
    <m/>
    <m/>
    <x v="7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9"/>
    <s v="EA"/>
    <n v="6509.4"/>
    <s v="INR"/>
    <n v="58584.6"/>
    <n v="0"/>
    <n v="58584.6"/>
    <n v="0"/>
    <n v="0"/>
    <n v="0"/>
    <n v="0"/>
    <n v="58584.6"/>
    <n v="0"/>
    <n v="0"/>
    <n v="0"/>
    <n v="0"/>
    <n v="0"/>
    <n v="0"/>
    <n v="0"/>
    <n v="0"/>
    <n v="58584.6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739"/>
    <n v="1000007019"/>
    <m/>
    <m/>
    <x v="7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210"/>
    <s v="EA"/>
    <n v="136.6"/>
    <s v="INR"/>
    <n v="28686"/>
    <n v="0"/>
    <n v="28686"/>
    <n v="0"/>
    <n v="0"/>
    <n v="0"/>
    <n v="0"/>
    <n v="28686"/>
    <n v="0"/>
    <n v="0"/>
    <n v="0"/>
    <n v="0"/>
    <n v="0"/>
    <n v="0"/>
    <n v="0"/>
    <n v="0"/>
    <n v="28686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6738"/>
    <n v="1000007017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37"/>
    <n v="1000007016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36"/>
    <n v="1000007015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35"/>
    <n v="1000007013"/>
    <m/>
    <m/>
    <x v="7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s v="PENDING"/>
    <s v="Pending"/>
  </r>
  <r>
    <n v="1115"/>
    <n v="1115"/>
    <n v="10"/>
    <n v="2"/>
    <s v="Three Wheelers"/>
    <s v="F2"/>
    <s v="COMMERCIAL INVOICE"/>
    <n v="1526006734"/>
    <n v="1000007012"/>
    <m/>
    <m/>
    <x v="7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s v="PENDING"/>
    <s v="Pending"/>
  </r>
  <r>
    <n v="1115"/>
    <n v="1115"/>
    <n v="10"/>
    <n v="2"/>
    <s v="Three Wheelers"/>
    <s v="F2"/>
    <s v="COMMERCIAL INVOICE"/>
    <n v="1526006733"/>
    <n v="1000007011"/>
    <m/>
    <m/>
    <x v="7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8"/>
    <s v="EA"/>
    <n v="8350.51"/>
    <s v="INR"/>
    <n v="66804.08"/>
    <n v="0"/>
    <n v="66804.08"/>
    <n v="0"/>
    <n v="0"/>
    <n v="0"/>
    <n v="0"/>
    <n v="66804.08"/>
    <n v="0"/>
    <n v="0"/>
    <n v="0"/>
    <n v="0"/>
    <n v="0"/>
    <n v="0"/>
    <n v="0"/>
    <n v="0"/>
    <n v="66804.08"/>
    <n v="0"/>
    <n v="0"/>
    <n v="311000"/>
    <s v="SALE FINISHED GOODS"/>
    <n v="63"/>
    <n v="63"/>
    <n v="0"/>
    <s v="52BK0023"/>
    <n v="1509"/>
    <s v="FG Body"/>
    <s v="PENDING"/>
    <s v="Pending"/>
  </r>
  <r>
    <n v="1115"/>
    <n v="1115"/>
    <n v="10"/>
    <n v="2"/>
    <s v="Three Wheelers"/>
    <s v="F2"/>
    <s v="COMMERCIAL INVOICE"/>
    <n v="1526006731"/>
    <n v="1000007009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30"/>
    <n v="1000007008"/>
    <m/>
    <m/>
    <x v="7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673"/>
    <n v="1000006950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22"/>
    <n v="1000006897"/>
    <m/>
    <m/>
    <x v="7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621"/>
    <n v="1000006896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20"/>
    <n v="1000006895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19"/>
    <n v="1000006894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18"/>
    <n v="1000006893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17"/>
    <n v="1000006892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15"/>
    <n v="1000006890"/>
    <m/>
    <m/>
    <x v="7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614"/>
    <n v="1000006889"/>
    <m/>
    <m/>
    <x v="7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613"/>
    <n v="1000006888"/>
    <m/>
    <m/>
    <x v="7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612"/>
    <n v="1000006887"/>
    <m/>
    <m/>
    <x v="7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611"/>
    <n v="1000006886"/>
    <m/>
    <m/>
    <x v="7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610"/>
    <n v="1000006885"/>
    <m/>
    <m/>
    <x v="7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609"/>
    <n v="1000006884"/>
    <m/>
    <m/>
    <x v="7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608"/>
    <n v="1000006883"/>
    <m/>
    <m/>
    <x v="7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s v="PENDING"/>
    <s v="Pending"/>
  </r>
  <r>
    <n v="1115"/>
    <n v="1115"/>
    <n v="10"/>
    <n v="2"/>
    <s v="Three Wheelers"/>
    <s v="F2"/>
    <s v="COMMERCIAL INVOICE"/>
    <n v="1526006607"/>
    <n v="1000006882"/>
    <m/>
    <m/>
    <x v="7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s v="PENDING"/>
    <s v="Pending"/>
  </r>
  <r>
    <n v="1115"/>
    <n v="1115"/>
    <n v="10"/>
    <n v="2"/>
    <s v="Three Wheelers"/>
    <s v="F2"/>
    <s v="COMMERCIAL INVOICE"/>
    <n v="1526006606"/>
    <n v="1000006881"/>
    <m/>
    <m/>
    <x v="7"/>
    <n v="5100001100"/>
    <s v="ZSCH"/>
    <s v="Normal Sales"/>
    <n v="4110004652"/>
    <s v="01.07.2017"/>
    <n v="5000"/>
    <s v="BAJAJ AUTO LIMITED (WALUJ)"/>
    <m/>
    <m/>
    <s v="27340676530V"/>
    <n v="1502040126"/>
    <s v="BB231369-COVER REAR LH FL"/>
    <x v="8"/>
    <n v="87082900"/>
    <n v="55"/>
    <s v="EA"/>
    <n v="155.58000000000001"/>
    <s v="INR"/>
    <n v="8556.9"/>
    <n v="0"/>
    <n v="8556.9"/>
    <n v="0"/>
    <n v="0"/>
    <n v="0"/>
    <n v="0"/>
    <n v="8556.9"/>
    <n v="0"/>
    <n v="0"/>
    <n v="0"/>
    <n v="0"/>
    <n v="0"/>
    <n v="0"/>
    <n v="0"/>
    <n v="0"/>
    <n v="8556.9"/>
    <n v="0"/>
    <n v="0"/>
    <n v="311000"/>
    <s v="SALE FINISHED GOODS"/>
    <n v="1.1850000000000001"/>
    <n v="1.1850000000000001"/>
    <n v="0"/>
    <s v="BB231369"/>
    <n v="1511"/>
    <s v="FG Loose 3WH"/>
    <s v="PENDING"/>
    <s v="Pending"/>
  </r>
  <r>
    <n v="1115"/>
    <n v="1115"/>
    <n v="10"/>
    <n v="2"/>
    <s v="Three Wheelers"/>
    <s v="F2"/>
    <s v="COMMERCIAL INVOICE"/>
    <n v="1526006605"/>
    <n v="1000006880"/>
    <m/>
    <m/>
    <x v="7"/>
    <n v="5100001100"/>
    <s v="ZSCH"/>
    <s v="Normal Sales"/>
    <n v="4110004652"/>
    <s v="01.07.2017"/>
    <n v="5000"/>
    <s v="BAJAJ AUTO LIMITED (WALUJ)"/>
    <m/>
    <m/>
    <s v="27340676530V"/>
    <n v="1502040125"/>
    <s v="BB231370-COVER REAR RH FL"/>
    <x v="8"/>
    <n v="87082900"/>
    <n v="55"/>
    <s v="EA"/>
    <n v="160.44999999999999"/>
    <s v="INR"/>
    <n v="8824.75"/>
    <n v="0"/>
    <n v="8824.75"/>
    <n v="0"/>
    <n v="0"/>
    <n v="0"/>
    <n v="0"/>
    <n v="8824.75"/>
    <n v="0"/>
    <n v="0"/>
    <n v="0"/>
    <n v="0"/>
    <n v="0"/>
    <n v="0"/>
    <n v="0"/>
    <n v="0"/>
    <n v="8824.75"/>
    <n v="0"/>
    <n v="0"/>
    <n v="311000"/>
    <s v="SALE FINISHED GOODS"/>
    <n v="1.1850000000000001"/>
    <n v="1.1850000000000001"/>
    <n v="0"/>
    <s v="BB231370"/>
    <n v="1511"/>
    <s v="FG Loose 3WH"/>
    <s v="PENDING"/>
    <s v="Pending"/>
  </r>
  <r>
    <n v="1115"/>
    <n v="1115"/>
    <n v="10"/>
    <n v="2"/>
    <s v="Three Wheelers"/>
    <s v="F2"/>
    <s v="COMMERCIAL INVOICE"/>
    <n v="1526006604"/>
    <n v="1000006879"/>
    <m/>
    <m/>
    <x v="7"/>
    <n v="5100001100"/>
    <s v="ZSCH"/>
    <s v="Normal Sales"/>
    <n v="4110004652"/>
    <s v="01.07.2017"/>
    <n v="5000"/>
    <s v="BAJAJ AUTO LIMITED (WALUJ)"/>
    <m/>
    <m/>
    <s v="27340676530V"/>
    <n v="1502040165"/>
    <s v="52BB0126 REAR COVER ASSLY GREEN RH"/>
    <x v="8"/>
    <n v="87082900"/>
    <n v="55"/>
    <s v="EA"/>
    <n v="165.65"/>
    <s v="INR"/>
    <n v="9110.75"/>
    <n v="0"/>
    <n v="9110.75"/>
    <n v="0"/>
    <n v="0"/>
    <n v="0"/>
    <n v="0"/>
    <n v="9110.75"/>
    <n v="0"/>
    <n v="0"/>
    <n v="0"/>
    <n v="0"/>
    <n v="0"/>
    <n v="0"/>
    <n v="0"/>
    <n v="0"/>
    <n v="9110.75"/>
    <n v="0"/>
    <n v="0"/>
    <n v="311000"/>
    <s v="SALE FINISHED GOODS"/>
    <n v="1.248"/>
    <n v="1.248"/>
    <n v="0"/>
    <s v="52BB0126"/>
    <n v="1511"/>
    <s v="FG Loose 3WH"/>
    <s v="PENDING"/>
    <s v="Pending"/>
  </r>
  <r>
    <n v="1115"/>
    <n v="1115"/>
    <n v="10"/>
    <n v="2"/>
    <s v="Three Wheelers"/>
    <s v="F2"/>
    <s v="COMMERCIAL INVOICE"/>
    <n v="1526006603"/>
    <n v="1000006878"/>
    <m/>
    <m/>
    <x v="7"/>
    <n v="5100001100"/>
    <s v="ZSCH"/>
    <s v="Normal Sales"/>
    <n v="4110004652"/>
    <s v="01.07.2017"/>
    <n v="5000"/>
    <s v="BAJAJ AUTO LIMITED (WALUJ)"/>
    <m/>
    <m/>
    <s v="27340676530V"/>
    <n v="1502040164"/>
    <s v="52BB0125 REAR COVER ASSLY GREEN LH"/>
    <x v="8"/>
    <n v="87082900"/>
    <n v="55"/>
    <s v="EA"/>
    <n v="160.52000000000001"/>
    <s v="INR"/>
    <n v="8828.6"/>
    <n v="0"/>
    <n v="8828.6"/>
    <n v="0"/>
    <n v="0"/>
    <n v="0"/>
    <n v="0"/>
    <n v="8828.6"/>
    <n v="0"/>
    <n v="0"/>
    <n v="0"/>
    <n v="0"/>
    <n v="0"/>
    <n v="0"/>
    <n v="0"/>
    <n v="0"/>
    <n v="8828.6"/>
    <n v="0"/>
    <n v="0"/>
    <n v="311000"/>
    <s v="SALE FINISHED GOODS"/>
    <n v="1.1659999999999999"/>
    <n v="1.1659999999999999"/>
    <n v="0"/>
    <s v="52BB0125"/>
    <n v="1511"/>
    <s v="FG Loose 3WH"/>
    <s v="PENDING"/>
    <s v="Pending"/>
  </r>
  <r>
    <n v="1115"/>
    <n v="1115"/>
    <n v="10"/>
    <n v="2"/>
    <s v="Three Wheelers"/>
    <s v="F2"/>
    <s v="COMMERCIAL INVOICE"/>
    <n v="1526006602"/>
    <n v="1000006877"/>
    <m/>
    <m/>
    <x v="7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601"/>
    <n v="1000006876"/>
    <m/>
    <m/>
    <x v="7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48"/>
    <s v="EA"/>
    <n v="290.89999999999998"/>
    <s v="INR"/>
    <n v="130323.2"/>
    <n v="0"/>
    <n v="130323.2"/>
    <n v="0"/>
    <n v="0"/>
    <n v="0"/>
    <n v="0"/>
    <n v="130323.2"/>
    <n v="0"/>
    <n v="0"/>
    <n v="0"/>
    <n v="0"/>
    <n v="0"/>
    <n v="0"/>
    <n v="0"/>
    <n v="0"/>
    <n v="130323.2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600"/>
    <n v="1000006875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599"/>
    <n v="1000006874"/>
    <m/>
    <m/>
    <x v="7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598"/>
    <n v="1000006873"/>
    <m/>
    <m/>
    <x v="7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48"/>
    <s v="EA"/>
    <n v="290.89999999999998"/>
    <s v="INR"/>
    <n v="130323.2"/>
    <n v="0"/>
    <n v="130323.2"/>
    <n v="0"/>
    <n v="0"/>
    <n v="0"/>
    <n v="0"/>
    <n v="130323.2"/>
    <n v="0"/>
    <n v="0"/>
    <n v="0"/>
    <n v="0"/>
    <n v="0"/>
    <n v="0"/>
    <n v="0"/>
    <n v="0"/>
    <n v="130323.2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597"/>
    <n v="1000006872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96"/>
    <n v="1000006871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95"/>
    <n v="1000006870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94"/>
    <n v="1000006869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93"/>
    <n v="1000006868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92"/>
    <n v="1000006867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91"/>
    <n v="1000006866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90"/>
    <n v="1000006865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89"/>
    <n v="1000006864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88"/>
    <n v="1000006863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87"/>
    <n v="1000006862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86"/>
    <n v="1000006861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585"/>
    <n v="1000006860"/>
    <m/>
    <m/>
    <x v="7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84"/>
    <n v="1000006859"/>
    <m/>
    <m/>
    <x v="7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83"/>
    <n v="1000006858"/>
    <m/>
    <m/>
    <x v="7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82"/>
    <n v="1000006857"/>
    <m/>
    <m/>
    <x v="7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581"/>
    <n v="1000006856"/>
    <m/>
    <m/>
    <x v="7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623"/>
    <n v="1000006898"/>
    <m/>
    <m/>
    <x v="7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6672"/>
    <n v="1000006949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71"/>
    <n v="1000006948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70"/>
    <n v="1000006947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8"/>
    <s v="EA"/>
    <n v="9566.51"/>
    <s v="INR"/>
    <n v="76532.08"/>
    <n v="0"/>
    <n v="76532.08"/>
    <n v="0"/>
    <n v="0"/>
    <n v="0"/>
    <n v="0"/>
    <n v="76532.08"/>
    <n v="0"/>
    <n v="0"/>
    <n v="0"/>
    <n v="0"/>
    <n v="0"/>
    <n v="0"/>
    <n v="0"/>
    <n v="0"/>
    <n v="76532.08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69"/>
    <n v="1000006946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68"/>
    <n v="1000006945"/>
    <m/>
    <m/>
    <x v="7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15"/>
    <s v="EA"/>
    <n v="6509.4"/>
    <s v="INR"/>
    <n v="97641"/>
    <n v="0"/>
    <n v="97641"/>
    <n v="0"/>
    <n v="0"/>
    <n v="0"/>
    <n v="0"/>
    <n v="97641"/>
    <n v="0"/>
    <n v="0"/>
    <n v="0"/>
    <n v="0"/>
    <n v="0"/>
    <n v="0"/>
    <n v="0"/>
    <n v="0"/>
    <n v="97641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667"/>
    <n v="1000006944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66"/>
    <n v="1000006943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65"/>
    <n v="1000006942"/>
    <m/>
    <m/>
    <x v="7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63"/>
    <n v="1000006940"/>
    <m/>
    <m/>
    <x v="7"/>
    <n v="5100001099"/>
    <s v="ZSCH"/>
    <s v="Normal Sales"/>
    <n v="4110004650"/>
    <s v="01.07.2017"/>
    <n v="5000"/>
    <s v="BAJAJ AUTO LIMITED (WALUJ)"/>
    <m/>
    <m/>
    <s v="27340676530V"/>
    <n v="1502040127"/>
    <s v="BH113407 REAR ENG MTG BKT FL"/>
    <x v="15"/>
    <n v="87141090"/>
    <n v="84"/>
    <s v="EA"/>
    <n v="266.62"/>
    <s v="INR"/>
    <n v="22396.080000000002"/>
    <n v="0"/>
    <n v="22396.080000000002"/>
    <n v="0"/>
    <n v="0"/>
    <n v="0"/>
    <n v="0"/>
    <n v="22396.080000000002"/>
    <n v="0"/>
    <n v="0"/>
    <n v="0"/>
    <n v="0"/>
    <n v="0"/>
    <n v="0"/>
    <n v="0"/>
    <n v="0"/>
    <n v="22396.080000000002"/>
    <n v="0"/>
    <n v="0"/>
    <n v="311000"/>
    <s v="SALE FINISHED GOODS"/>
    <n v="1.31"/>
    <n v="1.31"/>
    <n v="0"/>
    <s v="BH113407"/>
    <n v="1511"/>
    <s v="FG Loose 3WH"/>
    <s v="PENDING"/>
    <s v="Pending"/>
  </r>
  <r>
    <n v="1115"/>
    <n v="1115"/>
    <n v="10"/>
    <n v="2"/>
    <s v="Three Wheelers"/>
    <s v="F2"/>
    <s v="COMMERCIAL INVOICE"/>
    <n v="1526006662"/>
    <n v="1000006939"/>
    <m/>
    <m/>
    <x v="7"/>
    <n v="5100001795"/>
    <s v="ZSCH"/>
    <s v="Normal Sales"/>
    <n v="4110032503"/>
    <s v="31.08.2021"/>
    <n v="5000"/>
    <s v="BAJAJ AUTO LIMITED (WALUJ)"/>
    <m/>
    <m/>
    <s v="27340676530V"/>
    <n v="1502010016"/>
    <s v="PLATE CHECK FRONT MUD MOUNTING"/>
    <x v="13"/>
    <n v="87082900"/>
    <n v="2000"/>
    <s v="EA"/>
    <n v="8.4600000000000009"/>
    <s v="INR"/>
    <n v="16920"/>
    <n v="0"/>
    <n v="16920"/>
    <n v="0"/>
    <n v="0"/>
    <n v="0"/>
    <n v="0"/>
    <n v="16920"/>
    <n v="0"/>
    <n v="0"/>
    <n v="0"/>
    <n v="0"/>
    <n v="0"/>
    <n v="0"/>
    <n v="0"/>
    <n v="0"/>
    <n v="16920"/>
    <n v="0"/>
    <n v="0"/>
    <n v="311000"/>
    <s v="SALE FINISHED GOODS"/>
    <n v="0.08"/>
    <n v="6.3E-2"/>
    <n v="1.7000000000000001E-2"/>
    <s v="AB161182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661"/>
    <n v="1000006938"/>
    <m/>
    <m/>
    <x v="7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15"/>
    <s v="EA"/>
    <n v="6509.4"/>
    <s v="INR"/>
    <n v="97641"/>
    <n v="0"/>
    <n v="97641"/>
    <n v="0"/>
    <n v="0"/>
    <n v="0"/>
    <n v="0"/>
    <n v="97641"/>
    <n v="0"/>
    <n v="0"/>
    <n v="0"/>
    <n v="0"/>
    <n v="0"/>
    <n v="0"/>
    <n v="0"/>
    <n v="0"/>
    <n v="97641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660"/>
    <n v="1000006937"/>
    <m/>
    <m/>
    <x v="7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15"/>
    <s v="EA"/>
    <n v="6509.4"/>
    <s v="INR"/>
    <n v="97641"/>
    <n v="0"/>
    <n v="97641"/>
    <n v="0"/>
    <n v="0"/>
    <n v="0"/>
    <n v="0"/>
    <n v="97641"/>
    <n v="0"/>
    <n v="0"/>
    <n v="0"/>
    <n v="0"/>
    <n v="0"/>
    <n v="0"/>
    <n v="0"/>
    <n v="0"/>
    <n v="97641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659"/>
    <n v="1000006936"/>
    <m/>
    <m/>
    <x v="7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432"/>
    <s v="EA"/>
    <n v="134.19999999999999"/>
    <s v="INR"/>
    <n v="57974.400000000001"/>
    <n v="0"/>
    <n v="57974.400000000001"/>
    <n v="0"/>
    <n v="0"/>
    <n v="0"/>
    <n v="0"/>
    <n v="57974.400000000001"/>
    <n v="0"/>
    <n v="0"/>
    <n v="0"/>
    <n v="0"/>
    <n v="0"/>
    <n v="0"/>
    <n v="0"/>
    <n v="0"/>
    <n v="57974.400000000001"/>
    <n v="0"/>
    <n v="0"/>
    <n v="311000"/>
    <s v="SALE FINISHED GOODS"/>
    <n v="1.19"/>
    <n v="1.19"/>
    <n v="0"/>
    <s v="AF231720"/>
    <n v="1511"/>
    <s v="FG Loose 3WH"/>
    <s v="PENDING"/>
    <s v="Pending"/>
  </r>
  <r>
    <n v="1115"/>
    <n v="1115"/>
    <n v="10"/>
    <n v="2"/>
    <s v="Three Wheelers"/>
    <s v="F2"/>
    <s v="COMMERCIAL INVOICE"/>
    <n v="1526006658"/>
    <n v="1000006935"/>
    <m/>
    <m/>
    <x v="7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15"/>
    <s v="EA"/>
    <n v="6509.4"/>
    <s v="INR"/>
    <n v="97641"/>
    <n v="0"/>
    <n v="97641"/>
    <n v="0"/>
    <n v="0"/>
    <n v="0"/>
    <n v="0"/>
    <n v="97641"/>
    <n v="0"/>
    <n v="0"/>
    <n v="0"/>
    <n v="0"/>
    <n v="0"/>
    <n v="0"/>
    <n v="0"/>
    <n v="0"/>
    <n v="97641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657"/>
    <n v="1000006934"/>
    <m/>
    <m/>
    <x v="7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288"/>
    <s v="EA"/>
    <n v="134.19999999999999"/>
    <s v="INR"/>
    <n v="38649.599999999999"/>
    <n v="0"/>
    <n v="38649.599999999999"/>
    <n v="0"/>
    <n v="0"/>
    <n v="0"/>
    <n v="0"/>
    <n v="38649.599999999999"/>
    <n v="0"/>
    <n v="0"/>
    <n v="0"/>
    <n v="0"/>
    <n v="0"/>
    <n v="0"/>
    <n v="0"/>
    <n v="0"/>
    <n v="38649.599999999999"/>
    <n v="0"/>
    <n v="0"/>
    <n v="311000"/>
    <s v="SALE FINISHED GOODS"/>
    <n v="1.19"/>
    <n v="1.19"/>
    <n v="0"/>
    <s v="AF231720"/>
    <n v="1511"/>
    <s v="FG Loose 3WH"/>
    <s v="PENDING"/>
    <s v="Pending"/>
  </r>
  <r>
    <n v="1115"/>
    <n v="1115"/>
    <n v="10"/>
    <n v="2"/>
    <s v="Three Wheelers"/>
    <s v="F2"/>
    <s v="COMMERCIAL INVOICE"/>
    <n v="1526006656"/>
    <n v="1000006933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55"/>
    <n v="1000006932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54"/>
    <n v="1000006931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53"/>
    <n v="1000006930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51"/>
    <n v="1000006928"/>
    <m/>
    <m/>
    <x v="7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6650"/>
    <n v="1000006926"/>
    <m/>
    <m/>
    <x v="7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649"/>
    <n v="1000006925"/>
    <m/>
    <m/>
    <x v="7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644"/>
    <n v="1000006922"/>
    <m/>
    <m/>
    <x v="7"/>
    <n v="5100001945"/>
    <s v="ZSCH"/>
    <s v="Normal Sales"/>
    <n v="4110062966"/>
    <s v="25.11.2025"/>
    <n v="5000"/>
    <s v="BAJAJ AUTO LIMITED (WALUJ)"/>
    <m/>
    <m/>
    <s v="27340676530V"/>
    <n v="1502020140"/>
    <s v="52AM0472 RE BODY ASSLY AFGANISTAN"/>
    <x v="1"/>
    <n v="87082900"/>
    <n v="15"/>
    <s v="EA"/>
    <n v="6551.38"/>
    <s v="INR"/>
    <n v="98270.7"/>
    <n v="0"/>
    <n v="98270.7"/>
    <n v="0"/>
    <n v="0"/>
    <n v="0"/>
    <n v="0"/>
    <n v="98270.7"/>
    <n v="0"/>
    <n v="0"/>
    <n v="0"/>
    <n v="0"/>
    <n v="0"/>
    <n v="0"/>
    <n v="0"/>
    <n v="0"/>
    <n v="98270.7"/>
    <n v="0"/>
    <n v="0"/>
    <n v="311000"/>
    <s v="SALE FINISHED GOODS"/>
    <n v="53"/>
    <n v="0"/>
    <n v="53"/>
    <s v="52AM0472"/>
    <n v="1509"/>
    <s v="FG Body"/>
    <s v="PENDING"/>
    <s v="Pending"/>
  </r>
  <r>
    <n v="1115"/>
    <n v="1115"/>
    <n v="10"/>
    <n v="2"/>
    <s v="Three Wheelers"/>
    <s v="F2"/>
    <s v="COMMERCIAL INVOICE"/>
    <n v="1526006643"/>
    <n v="1000006920"/>
    <m/>
    <m/>
    <x v="7"/>
    <n v="5100001945"/>
    <s v="ZSCH"/>
    <s v="Normal Sales"/>
    <n v="4110062966"/>
    <s v="25.11.2025"/>
    <n v="5000"/>
    <s v="BAJAJ AUTO LIMITED (WALUJ)"/>
    <m/>
    <m/>
    <s v="27340676530V"/>
    <n v="1502020140"/>
    <s v="52AM0472 RE BODY ASSLY AFGANISTAN"/>
    <x v="1"/>
    <n v="87082900"/>
    <n v="15"/>
    <s v="EA"/>
    <n v="6551.38"/>
    <s v="INR"/>
    <n v="98270.7"/>
    <n v="0"/>
    <n v="98270.7"/>
    <n v="0"/>
    <n v="0"/>
    <n v="0"/>
    <n v="0"/>
    <n v="98270.7"/>
    <n v="0"/>
    <n v="0"/>
    <n v="0"/>
    <n v="0"/>
    <n v="0"/>
    <n v="0"/>
    <n v="0"/>
    <n v="0"/>
    <n v="98270.7"/>
    <n v="0"/>
    <n v="0"/>
    <n v="311000"/>
    <s v="SALE FINISHED GOODS"/>
    <n v="53"/>
    <n v="0"/>
    <n v="53"/>
    <s v="52AM0472"/>
    <n v="1509"/>
    <s v="FG Body"/>
    <s v="PENDING"/>
    <s v="Pending"/>
  </r>
  <r>
    <n v="1115"/>
    <n v="1115"/>
    <n v="10"/>
    <n v="2"/>
    <s v="Three Wheelers"/>
    <s v="F2"/>
    <s v="COMMERCIAL INVOICE"/>
    <n v="1526006642"/>
    <n v="1000006919"/>
    <m/>
    <m/>
    <x v="7"/>
    <n v="5100001945"/>
    <s v="ZSCH"/>
    <s v="Normal Sales"/>
    <n v="4110062966"/>
    <s v="25.11.2025"/>
    <n v="5000"/>
    <s v="BAJAJ AUTO LIMITED (WALUJ)"/>
    <m/>
    <m/>
    <s v="27340676530V"/>
    <n v="1502020140"/>
    <s v="52AM0472 RE BODY ASSLY AFGANISTAN"/>
    <x v="1"/>
    <n v="87082900"/>
    <n v="15"/>
    <s v="EA"/>
    <n v="6551.38"/>
    <s v="INR"/>
    <n v="98270.7"/>
    <n v="0"/>
    <n v="98270.7"/>
    <n v="0"/>
    <n v="0"/>
    <n v="0"/>
    <n v="0"/>
    <n v="98270.7"/>
    <n v="0"/>
    <n v="0"/>
    <n v="0"/>
    <n v="0"/>
    <n v="0"/>
    <n v="0"/>
    <n v="0"/>
    <n v="0"/>
    <n v="98270.7"/>
    <n v="0"/>
    <n v="0"/>
    <n v="311000"/>
    <s v="SALE FINISHED GOODS"/>
    <n v="53"/>
    <n v="0"/>
    <n v="53"/>
    <s v="52AM0472"/>
    <n v="1509"/>
    <s v="FG Body"/>
    <s v="PENDING"/>
    <s v="Pending"/>
  </r>
  <r>
    <n v="1115"/>
    <n v="1115"/>
    <n v="10"/>
    <n v="2"/>
    <s v="Three Wheelers"/>
    <s v="F2"/>
    <s v="COMMERCIAL INVOICE"/>
    <n v="1526006640"/>
    <n v="1000006918"/>
    <m/>
    <m/>
    <x v="7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s v="PENDING"/>
    <s v="Pending"/>
  </r>
  <r>
    <n v="1115"/>
    <n v="1115"/>
    <n v="10"/>
    <n v="2"/>
    <s v="Three Wheelers"/>
    <s v="F2"/>
    <s v="COMMERCIAL INVOICE"/>
    <n v="1526006639"/>
    <n v="1000006916"/>
    <m/>
    <m/>
    <x v="7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s v="PENDING"/>
    <s v="Pending"/>
  </r>
  <r>
    <n v="1115"/>
    <n v="1115"/>
    <n v="10"/>
    <n v="2"/>
    <s v="Three Wheelers"/>
    <s v="F2"/>
    <s v="COMMERCIAL INVOICE"/>
    <n v="1526006638"/>
    <n v="1000006913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37"/>
    <n v="1000006912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36"/>
    <n v="1000006911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35"/>
    <n v="1000006910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34"/>
    <n v="1000006909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33"/>
    <n v="1000006908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32"/>
    <n v="1000006907"/>
    <m/>
    <m/>
    <x v="7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631"/>
    <n v="1000006905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30"/>
    <n v="1000006904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29"/>
    <n v="1000006903"/>
    <m/>
    <m/>
    <x v="7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628"/>
    <n v="1000006902"/>
    <m/>
    <m/>
    <x v="7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627"/>
    <n v="1000006901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26"/>
    <n v="1000006900"/>
    <m/>
    <m/>
    <x v="7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624"/>
    <n v="1000006899"/>
    <m/>
    <m/>
    <x v="7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11"/>
    <n v="1000007198"/>
    <m/>
    <m/>
    <x v="8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912"/>
    <n v="1000007200"/>
    <m/>
    <m/>
    <x v="8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917"/>
    <n v="1000007203"/>
    <m/>
    <m/>
    <x v="8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127"/>
    <s v="EA"/>
    <n v="136.6"/>
    <s v="INR"/>
    <n v="17348.2"/>
    <n v="0"/>
    <n v="17348.2"/>
    <n v="0"/>
    <n v="0"/>
    <n v="0"/>
    <n v="0"/>
    <n v="17348.2"/>
    <n v="0"/>
    <n v="0"/>
    <n v="0"/>
    <n v="0"/>
    <n v="0"/>
    <n v="0"/>
    <n v="0"/>
    <n v="0"/>
    <n v="17348.2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6918"/>
    <n v="1000007204"/>
    <m/>
    <m/>
    <x v="8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919"/>
    <n v="1000007205"/>
    <m/>
    <m/>
    <x v="8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920"/>
    <n v="1000007206"/>
    <m/>
    <m/>
    <x v="8"/>
    <n v="5100001445"/>
    <s v="ZSCH"/>
    <s v="Normal Sales"/>
    <n v="4110021696"/>
    <s v="08.08.2019"/>
    <n v="5000"/>
    <s v="BAJAJ AUTO LIMITED (WALUJ)"/>
    <m/>
    <m/>
    <s v="27340676530V"/>
    <n v="1502040233"/>
    <s v="BB161099 MUDGUARD FRONT REFL"/>
    <x v="3"/>
    <n v="87082900"/>
    <n v="800"/>
    <s v="EA"/>
    <n v="317.45999999999998"/>
    <s v="INR"/>
    <n v="253968"/>
    <n v="0"/>
    <n v="253968"/>
    <n v="0"/>
    <n v="0"/>
    <n v="0"/>
    <n v="0"/>
    <n v="253968"/>
    <n v="0"/>
    <n v="0"/>
    <n v="0"/>
    <n v="0"/>
    <n v="0"/>
    <n v="0"/>
    <n v="0"/>
    <n v="0"/>
    <n v="253968"/>
    <n v="0"/>
    <n v="0"/>
    <n v="311000"/>
    <s v="SALE FINISHED GOODS"/>
    <n v="3.4"/>
    <n v="2"/>
    <n v="1.4"/>
    <s v="BB161099"/>
    <n v="1511"/>
    <s v="FG Loose 3WH"/>
    <s v="PENDING"/>
    <s v="Pending"/>
  </r>
  <r>
    <n v="1115"/>
    <n v="1115"/>
    <n v="10"/>
    <n v="2"/>
    <s v="Three Wheelers"/>
    <s v="F2"/>
    <s v="COMMERCIAL INVOICE"/>
    <n v="1526006921"/>
    <n v="1000007207"/>
    <m/>
    <m/>
    <x v="8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4"/>
    <s v="EA"/>
    <n v="8593.51"/>
    <s v="INR"/>
    <n v="34374.04"/>
    <n v="0"/>
    <n v="34374.04"/>
    <n v="0"/>
    <n v="0"/>
    <n v="0"/>
    <n v="0"/>
    <n v="34374.04"/>
    <n v="0"/>
    <n v="0"/>
    <n v="0"/>
    <n v="0"/>
    <n v="0"/>
    <n v="0"/>
    <n v="0"/>
    <n v="0"/>
    <n v="34374.04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922"/>
    <n v="1000007208"/>
    <m/>
    <m/>
    <x v="8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48"/>
    <s v="EA"/>
    <n v="290.89999999999998"/>
    <s v="INR"/>
    <n v="130323.2"/>
    <n v="0"/>
    <n v="130323.2"/>
    <n v="0"/>
    <n v="0"/>
    <n v="0"/>
    <n v="0"/>
    <n v="130323.2"/>
    <n v="0"/>
    <n v="0"/>
    <n v="0"/>
    <n v="0"/>
    <n v="0"/>
    <n v="0"/>
    <n v="0"/>
    <n v="0"/>
    <n v="130323.2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924"/>
    <n v="1000007210"/>
    <m/>
    <m/>
    <x v="8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926"/>
    <n v="1000007212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27"/>
    <n v="1000007213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28"/>
    <n v="1000007214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29"/>
    <n v="1000007215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31"/>
    <n v="1000007217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32"/>
    <n v="1000007218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33"/>
    <n v="1000007219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34"/>
    <n v="1000007220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35"/>
    <n v="1000007221"/>
    <m/>
    <m/>
    <x v="8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1280"/>
    <s v="EA"/>
    <n v="174.11"/>
    <s v="INR"/>
    <n v="222860.79999999999"/>
    <n v="0"/>
    <n v="222860.79999999999"/>
    <n v="0"/>
    <n v="0"/>
    <n v="0"/>
    <n v="0"/>
    <n v="222860.79999999999"/>
    <n v="0"/>
    <n v="0"/>
    <n v="0"/>
    <n v="0"/>
    <n v="0"/>
    <n v="0"/>
    <n v="0"/>
    <n v="0"/>
    <n v="222860.79999999999"/>
    <n v="0"/>
    <n v="0"/>
    <n v="311000"/>
    <s v="SALE FINISHED GOODS"/>
    <n v="2.573"/>
    <n v="1.4910000000000001"/>
    <n v="1.0820000000000001"/>
    <s v="AA161289"/>
    <n v="1511"/>
    <s v="FG Loose 3WH"/>
    <s v="PENDING"/>
    <s v="Pending"/>
  </r>
  <r>
    <n v="1115"/>
    <n v="1115"/>
    <n v="10"/>
    <n v="2"/>
    <s v="Three Wheelers"/>
    <s v="F2"/>
    <s v="COMMERCIAL INVOICE"/>
    <n v="1526006936"/>
    <n v="1000007222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37"/>
    <n v="1000007223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38"/>
    <n v="1000007224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9"/>
    <s v="EA"/>
    <n v="6585.55"/>
    <s v="INR"/>
    <n v="59269.95"/>
    <n v="0"/>
    <n v="59269.95"/>
    <n v="0"/>
    <n v="0"/>
    <n v="0"/>
    <n v="0"/>
    <n v="59269.95"/>
    <n v="0"/>
    <n v="0"/>
    <n v="0"/>
    <n v="0"/>
    <n v="0"/>
    <n v="0"/>
    <n v="0"/>
    <n v="0"/>
    <n v="59269.9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39"/>
    <n v="1000007225"/>
    <m/>
    <m/>
    <x v="8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6"/>
    <s v="EA"/>
    <n v="6570.77"/>
    <s v="INR"/>
    <n v="39424.620000000003"/>
    <n v="0"/>
    <n v="39424.620000000003"/>
    <n v="0"/>
    <n v="0"/>
    <n v="0"/>
    <n v="0"/>
    <n v="39424.620000000003"/>
    <n v="0"/>
    <n v="0"/>
    <n v="0"/>
    <n v="0"/>
    <n v="0"/>
    <n v="0"/>
    <n v="0"/>
    <n v="0"/>
    <n v="39424.620000000003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940"/>
    <n v="1000007226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79"/>
    <n v="1000007167"/>
    <m/>
    <m/>
    <x v="8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880"/>
    <n v="1000007168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82"/>
    <n v="1000007170"/>
    <m/>
    <m/>
    <x v="8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883"/>
    <n v="1000007171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85"/>
    <n v="1000007172"/>
    <m/>
    <m/>
    <x v="8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888"/>
    <n v="1000007173"/>
    <m/>
    <m/>
    <x v="8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890"/>
    <n v="1000007174"/>
    <m/>
    <m/>
    <x v="8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891"/>
    <n v="1000007175"/>
    <m/>
    <m/>
    <x v="8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895"/>
    <n v="1000007177"/>
    <m/>
    <m/>
    <x v="8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896"/>
    <n v="1000007178"/>
    <m/>
    <m/>
    <x v="8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90"/>
    <s v="EA"/>
    <n v="291.27999999999997"/>
    <s v="INR"/>
    <n v="26215.200000000001"/>
    <n v="0"/>
    <n v="26215.200000000001"/>
    <n v="0"/>
    <n v="0"/>
    <n v="0"/>
    <n v="0"/>
    <n v="26215.200000000001"/>
    <n v="0"/>
    <n v="0"/>
    <n v="0"/>
    <n v="0"/>
    <n v="0"/>
    <n v="0"/>
    <n v="0"/>
    <n v="0"/>
    <n v="26215.200000000001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897"/>
    <n v="1000007179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898"/>
    <n v="1000007180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899"/>
    <n v="1000007183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00"/>
    <n v="1000007184"/>
    <m/>
    <m/>
    <x v="8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384"/>
    <s v="EA"/>
    <n v="174.61"/>
    <s v="INR"/>
    <n v="67050.240000000005"/>
    <n v="0"/>
    <n v="67050.240000000005"/>
    <n v="0"/>
    <n v="0"/>
    <n v="0"/>
    <n v="0"/>
    <n v="67050.240000000005"/>
    <n v="0"/>
    <n v="0"/>
    <n v="0"/>
    <n v="0"/>
    <n v="0"/>
    <n v="0"/>
    <n v="0"/>
    <n v="0"/>
    <n v="67050.240000000005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6901"/>
    <n v="1000007185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02"/>
    <n v="1000007186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03"/>
    <n v="1000007187"/>
    <m/>
    <m/>
    <x v="8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904"/>
    <n v="1000007190"/>
    <m/>
    <m/>
    <x v="8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905"/>
    <n v="1000007191"/>
    <m/>
    <m/>
    <x v="8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50"/>
    <s v="EA"/>
    <n v="380.93"/>
    <s v="INR"/>
    <n v="57139.5"/>
    <n v="0"/>
    <n v="57139.5"/>
    <n v="0"/>
    <n v="0"/>
    <n v="0"/>
    <n v="0"/>
    <n v="57139.5"/>
    <n v="0"/>
    <n v="0"/>
    <n v="0"/>
    <n v="0"/>
    <n v="0"/>
    <n v="0"/>
    <n v="0"/>
    <n v="0"/>
    <n v="57139.5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RE"/>
    <s v="SALES RETURNS"/>
    <n v="1526006906"/>
    <n v="1000007192"/>
    <m/>
    <m/>
    <x v="8"/>
    <n v="5600014439"/>
    <s v="ZRET"/>
    <s v="Sales Returns"/>
    <n v="5600014439"/>
    <s v="09.05.2026"/>
    <n v="5000"/>
    <s v="BAJAJ AUTO LIMITED (WALUJ)"/>
    <m/>
    <m/>
    <s v="27340676530V"/>
    <n v="1502040061"/>
    <s v="ASSLY FOR ISOLATOR BLOCK LH"/>
    <x v="13"/>
    <n v="87082900"/>
    <n v="-3"/>
    <s v="EA"/>
    <n v="209.55"/>
    <s v="INR"/>
    <n v="-628.65"/>
    <n v="0"/>
    <n v="-628.65"/>
    <n v="0"/>
    <n v="0"/>
    <n v="0"/>
    <n v="0"/>
    <n v="-628.65"/>
    <n v="0"/>
    <n v="0"/>
    <n v="0"/>
    <n v="0"/>
    <n v="0"/>
    <n v="0"/>
    <n v="0"/>
    <n v="0"/>
    <n v="-628.65"/>
    <n v="0"/>
    <n v="0"/>
    <n v="311000"/>
    <s v="SALE FINISHED GOODS"/>
    <n v="1.68"/>
    <n v="1.68"/>
    <n v="0"/>
    <s v="52BA0209"/>
    <n v="1511"/>
    <s v="FG Loose 3WH"/>
    <s v="PENDING"/>
    <s v="Pending"/>
  </r>
  <r>
    <n v="1115"/>
    <n v="1115"/>
    <n v="10"/>
    <n v="2"/>
    <s v="Three Wheelers"/>
    <s v="RE"/>
    <s v="SALES RETURNS"/>
    <n v="1526006907"/>
    <n v="1000007193"/>
    <m/>
    <m/>
    <x v="8"/>
    <n v="5600014440"/>
    <s v="ZRET"/>
    <s v="Sales Returns"/>
    <n v="5600014440"/>
    <s v="09.05.2026"/>
    <n v="5000"/>
    <s v="BAJAJ AUTO LIMITED (WALUJ)"/>
    <m/>
    <m/>
    <s v="27340676530V"/>
    <n v="1502040068"/>
    <s v="PART FOR ENG FOUNDATION BKT RH"/>
    <x v="15"/>
    <n v="87082900"/>
    <n v="-3"/>
    <s v="EA"/>
    <n v="221.62"/>
    <s v="INR"/>
    <n v="-664.86"/>
    <n v="0"/>
    <n v="-664.86"/>
    <n v="0"/>
    <n v="0"/>
    <n v="0"/>
    <n v="0"/>
    <n v="-664.86"/>
    <n v="0"/>
    <n v="0"/>
    <n v="0"/>
    <n v="0"/>
    <n v="0"/>
    <n v="0"/>
    <n v="0"/>
    <n v="0"/>
    <n v="-664.86"/>
    <n v="0"/>
    <n v="0"/>
    <n v="311000"/>
    <s v="SALE FINISHED GOODS"/>
    <n v="1.68"/>
    <n v="1.68"/>
    <n v="0"/>
    <s v="52BA0101"/>
    <n v="1511"/>
    <s v="FG Loose 3WH"/>
    <s v="PENDING"/>
    <s v="Pending"/>
  </r>
  <r>
    <n v="1115"/>
    <n v="1115"/>
    <n v="10"/>
    <n v="2"/>
    <s v="Three Wheelers"/>
    <s v="RE"/>
    <s v="SALES RETURNS"/>
    <n v="1526006908"/>
    <n v="1000007194"/>
    <m/>
    <m/>
    <x v="8"/>
    <n v="5600014441"/>
    <s v="ZRET"/>
    <s v="Sales Returns"/>
    <n v="5600014441"/>
    <s v="09.05.2026"/>
    <n v="5000"/>
    <s v="BAJAJ AUTO LIMITED (WALUJ)"/>
    <m/>
    <m/>
    <s v="27340676530V"/>
    <n v="1502040235"/>
    <s v="AA102281_ASSLY HANDLE STARTING"/>
    <x v="11"/>
    <n v="87082900"/>
    <n v="-1"/>
    <s v="EA"/>
    <n v="217.33"/>
    <s v="INR"/>
    <n v="-217.33"/>
    <n v="0"/>
    <n v="-217.33"/>
    <n v="0"/>
    <n v="0"/>
    <n v="0"/>
    <n v="0"/>
    <n v="-217.33"/>
    <n v="0"/>
    <n v="0"/>
    <n v="0"/>
    <n v="0"/>
    <n v="0"/>
    <n v="0"/>
    <n v="0"/>
    <n v="0"/>
    <n v="-217.33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909"/>
    <n v="1000007196"/>
    <m/>
    <m/>
    <x v="8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6941"/>
    <n v="1000007227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66"/>
    <n v="1000007251"/>
    <m/>
    <m/>
    <x v="9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15"/>
    <s v="EA"/>
    <n v="6509.4"/>
    <s v="INR"/>
    <n v="97641"/>
    <n v="0"/>
    <n v="97641"/>
    <n v="0"/>
    <n v="0"/>
    <n v="0"/>
    <n v="0"/>
    <n v="97641"/>
    <n v="0"/>
    <n v="0"/>
    <n v="0"/>
    <n v="0"/>
    <n v="0"/>
    <n v="0"/>
    <n v="0"/>
    <n v="0"/>
    <n v="97641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967"/>
    <n v="1000007252"/>
    <m/>
    <m/>
    <x v="9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68"/>
    <n v="1000007253"/>
    <m/>
    <m/>
    <x v="9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15"/>
    <s v="EA"/>
    <n v="6509.4"/>
    <s v="INR"/>
    <n v="97641"/>
    <n v="0"/>
    <n v="97641"/>
    <n v="0"/>
    <n v="0"/>
    <n v="0"/>
    <n v="0"/>
    <n v="97641"/>
    <n v="0"/>
    <n v="0"/>
    <n v="0"/>
    <n v="0"/>
    <n v="0"/>
    <n v="0"/>
    <n v="0"/>
    <n v="0"/>
    <n v="97641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969"/>
    <n v="1000007254"/>
    <m/>
    <m/>
    <x v="9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15"/>
    <s v="EA"/>
    <n v="6509.4"/>
    <s v="INR"/>
    <n v="97641"/>
    <n v="0"/>
    <n v="97641"/>
    <n v="0"/>
    <n v="0"/>
    <n v="0"/>
    <n v="0"/>
    <n v="97641"/>
    <n v="0"/>
    <n v="0"/>
    <n v="0"/>
    <n v="0"/>
    <n v="0"/>
    <n v="0"/>
    <n v="0"/>
    <n v="0"/>
    <n v="97641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970"/>
    <n v="1000007255"/>
    <m/>
    <m/>
    <x v="9"/>
    <n v="5100001948"/>
    <s v="ZSCH"/>
    <s v="Normal Sales"/>
    <n v="4110063856"/>
    <s v="02.02.2026"/>
    <n v="5000"/>
    <s v="BAJAJ AUTO LIMITED (WALUJ)"/>
    <m/>
    <m/>
    <s v="27340676530V"/>
    <n v="1502020141"/>
    <s v="52AF0707   RE BODY ASSLY 4S CNG NIGERIA"/>
    <x v="1"/>
    <n v="87082900"/>
    <n v="15"/>
    <s v="EA"/>
    <n v="6509.4"/>
    <s v="INR"/>
    <n v="97641"/>
    <n v="0"/>
    <n v="97641"/>
    <n v="0"/>
    <n v="0"/>
    <n v="0"/>
    <n v="0"/>
    <n v="97641"/>
    <n v="0"/>
    <n v="0"/>
    <n v="0"/>
    <n v="0"/>
    <n v="0"/>
    <n v="0"/>
    <n v="0"/>
    <n v="0"/>
    <n v="97641"/>
    <n v="0"/>
    <n v="0"/>
    <n v="311000"/>
    <s v="SALE FINISHED GOODS"/>
    <n v="53"/>
    <n v="0"/>
    <n v="53"/>
    <s v="52AF0707"/>
    <n v="1509"/>
    <s v="FG Body"/>
    <s v="PENDING"/>
    <s v="Pending"/>
  </r>
  <r>
    <n v="1115"/>
    <n v="1115"/>
    <n v="10"/>
    <n v="2"/>
    <s v="Three Wheelers"/>
    <s v="F2"/>
    <s v="COMMERCIAL INVOICE"/>
    <n v="1526006971"/>
    <n v="1000007256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72"/>
    <n v="1000007257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73"/>
    <n v="1000007258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74"/>
    <n v="1000007259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75"/>
    <n v="1000007260"/>
    <m/>
    <m/>
    <x v="9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976"/>
    <n v="1000007261"/>
    <m/>
    <m/>
    <x v="9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977"/>
    <n v="1000007262"/>
    <m/>
    <m/>
    <x v="9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978"/>
    <n v="1000007263"/>
    <m/>
    <m/>
    <x v="9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979"/>
    <n v="1000007264"/>
    <m/>
    <m/>
    <x v="9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980"/>
    <n v="1000007265"/>
    <m/>
    <m/>
    <x v="9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6981"/>
    <n v="1000007266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82"/>
    <n v="1000007267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83"/>
    <n v="1000007268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84"/>
    <n v="1000007269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85"/>
    <n v="1000007270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86"/>
    <n v="1000007271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87"/>
    <n v="1000007272"/>
    <m/>
    <m/>
    <x v="9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88"/>
    <n v="1000007273"/>
    <m/>
    <m/>
    <x v="9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42"/>
    <n v="1000007228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43"/>
    <n v="1000007229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44"/>
    <n v="1000007230"/>
    <m/>
    <m/>
    <x v="8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945"/>
    <n v="1000007231"/>
    <m/>
    <m/>
    <x v="8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946"/>
    <n v="1000007232"/>
    <m/>
    <m/>
    <x v="8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90"/>
    <s v="EA"/>
    <n v="291.27999999999997"/>
    <s v="INR"/>
    <n v="26215.200000000001"/>
    <n v="0"/>
    <n v="26215.200000000001"/>
    <n v="0"/>
    <n v="0"/>
    <n v="0"/>
    <n v="0"/>
    <n v="26215.200000000001"/>
    <n v="0"/>
    <n v="0"/>
    <n v="0"/>
    <n v="0"/>
    <n v="0"/>
    <n v="0"/>
    <n v="0"/>
    <n v="0"/>
    <n v="26215.200000000001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947"/>
    <n v="1000007233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48"/>
    <n v="1000007234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49"/>
    <n v="1000007235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50"/>
    <n v="1000007236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51"/>
    <n v="1000007237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952"/>
    <n v="1000007238"/>
    <m/>
    <m/>
    <x v="9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53"/>
    <n v="1000007239"/>
    <m/>
    <m/>
    <x v="9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54"/>
    <n v="1000007240"/>
    <m/>
    <m/>
    <x v="9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55"/>
    <n v="1000007241"/>
    <m/>
    <m/>
    <x v="9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56"/>
    <n v="1000007242"/>
    <m/>
    <m/>
    <x v="9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57"/>
    <n v="1000007243"/>
    <m/>
    <m/>
    <x v="9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58"/>
    <n v="1000007244"/>
    <m/>
    <m/>
    <x v="9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59"/>
    <n v="1000007245"/>
    <m/>
    <m/>
    <x v="9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60"/>
    <n v="1000007246"/>
    <m/>
    <m/>
    <x v="9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6962"/>
    <n v="1000007247"/>
    <m/>
    <m/>
    <x v="9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63"/>
    <n v="1000007248"/>
    <m/>
    <m/>
    <x v="9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964"/>
    <n v="1000007249"/>
    <m/>
    <m/>
    <x v="9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384"/>
    <s v="EA"/>
    <n v="290.89999999999998"/>
    <s v="INR"/>
    <n v="111705.60000000001"/>
    <n v="0"/>
    <n v="111705.60000000001"/>
    <n v="0"/>
    <n v="0"/>
    <n v="0"/>
    <n v="0"/>
    <n v="111705.60000000001"/>
    <n v="0"/>
    <n v="0"/>
    <n v="0"/>
    <n v="0"/>
    <n v="0"/>
    <n v="0"/>
    <n v="0"/>
    <n v="0"/>
    <n v="111705.60000000001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965"/>
    <n v="1000007250"/>
    <m/>
    <m/>
    <x v="9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20"/>
    <s v="EA"/>
    <n v="291.27999999999997"/>
    <s v="INR"/>
    <n v="34953.599999999999"/>
    <n v="0"/>
    <n v="34953.599999999999"/>
    <n v="0"/>
    <n v="0"/>
    <n v="0"/>
    <n v="0"/>
    <n v="34953.599999999999"/>
    <n v="0"/>
    <n v="0"/>
    <n v="0"/>
    <n v="0"/>
    <n v="0"/>
    <n v="0"/>
    <n v="0"/>
    <n v="0"/>
    <n v="34953.599999999999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797"/>
    <n v="1000007076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98"/>
    <n v="1000007077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99"/>
    <n v="1000007078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00"/>
    <n v="1000007079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01"/>
    <n v="1000007080"/>
    <m/>
    <m/>
    <x v="8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10028"/>
    <s v="09.05.2026"/>
  </r>
  <r>
    <n v="1115"/>
    <n v="1115"/>
    <n v="10"/>
    <n v="2"/>
    <s v="Three Wheelers"/>
    <s v="F2"/>
    <s v="COMMERCIAL INVOICE"/>
    <n v="1526006802"/>
    <n v="1000007081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5916"/>
    <s v="09.05.2026"/>
  </r>
  <r>
    <n v="1115"/>
    <n v="1115"/>
    <n v="10"/>
    <n v="2"/>
    <s v="Three Wheelers"/>
    <s v="F2"/>
    <s v="COMMERCIAL INVOICE"/>
    <n v="1526006803"/>
    <n v="1000007082"/>
    <m/>
    <m/>
    <x v="8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n v="5094204932"/>
    <s v="09.05.2026"/>
  </r>
  <r>
    <n v="1115"/>
    <n v="1115"/>
    <n v="10"/>
    <n v="2"/>
    <s v="Three Wheelers"/>
    <s v="F2"/>
    <s v="COMMERCIAL INVOICE"/>
    <n v="1526006804"/>
    <n v="1000007083"/>
    <m/>
    <m/>
    <x v="8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n v="5094207430"/>
    <s v="09.05.2026"/>
  </r>
  <r>
    <n v="1115"/>
    <n v="1115"/>
    <n v="10"/>
    <n v="2"/>
    <s v="Three Wheelers"/>
    <s v="F2"/>
    <s v="COMMERCIAL INVOICE"/>
    <n v="1526006805"/>
    <n v="1000007084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06"/>
    <n v="1000007085"/>
    <m/>
    <m/>
    <x v="8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807"/>
    <n v="1000007086"/>
    <m/>
    <m/>
    <x v="8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808"/>
    <n v="1000007087"/>
    <m/>
    <m/>
    <x v="8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6809"/>
    <n v="1000007088"/>
    <m/>
    <m/>
    <x v="8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6810"/>
    <n v="1000007089"/>
    <m/>
    <m/>
    <x v="8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6811"/>
    <n v="1000007090"/>
    <m/>
    <m/>
    <x v="8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n v="5094206858"/>
    <s v="09.05.2026"/>
  </r>
  <r>
    <n v="1115"/>
    <n v="1115"/>
    <n v="10"/>
    <n v="2"/>
    <s v="Three Wheelers"/>
    <s v="F2"/>
    <s v="COMMERCIAL INVOICE"/>
    <n v="1526006812"/>
    <n v="1000007091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13"/>
    <n v="1000007092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6761"/>
    <s v="09.05.2026"/>
  </r>
  <r>
    <n v="1115"/>
    <n v="1115"/>
    <n v="10"/>
    <n v="2"/>
    <s v="Three Wheelers"/>
    <s v="F2"/>
    <s v="COMMERCIAL INVOICE"/>
    <n v="1526006814"/>
    <n v="1000007093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8094"/>
    <s v="09.05.2026"/>
  </r>
  <r>
    <n v="1115"/>
    <n v="1115"/>
    <n v="10"/>
    <n v="2"/>
    <s v="Three Wheelers"/>
    <s v="F2"/>
    <s v="COMMERCIAL INVOICE"/>
    <n v="1526006815"/>
    <n v="1000007094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11798"/>
    <s v="09.05.2026"/>
  </r>
  <r>
    <n v="1115"/>
    <n v="1115"/>
    <n v="10"/>
    <n v="2"/>
    <s v="Three Wheelers"/>
    <s v="F2"/>
    <s v="COMMERCIAL INVOICE"/>
    <n v="1526006816"/>
    <n v="1000007095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5971"/>
    <s v="09.05.2026"/>
  </r>
  <r>
    <n v="1115"/>
    <n v="1115"/>
    <n v="10"/>
    <n v="2"/>
    <s v="Three Wheelers"/>
    <s v="F2"/>
    <s v="COMMERCIAL INVOICE"/>
    <n v="1526006817"/>
    <n v="1000007096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10090"/>
    <s v="09.05.2026"/>
  </r>
  <r>
    <n v="1115"/>
    <n v="1115"/>
    <n v="10"/>
    <n v="2"/>
    <s v="Three Wheelers"/>
    <s v="F2"/>
    <s v="COMMERCIAL INVOICE"/>
    <n v="1526006818"/>
    <n v="1000007097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19"/>
    <n v="1000007098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74"/>
    <n v="1000007053"/>
    <m/>
    <m/>
    <x v="8"/>
    <n v="5100001935"/>
    <s v="ZSCH"/>
    <s v="Normal Sales"/>
    <n v="4110059361"/>
    <s v="11.03.2025"/>
    <n v="5000"/>
    <s v="BAJAJ AUTO LIMITED (WALUJ)"/>
    <m/>
    <m/>
    <s v="27340676530V"/>
    <n v="1502020125"/>
    <s v="52AF1050 BODY ASSLY RE AIR COOLED BI-FUE"/>
    <x v="1"/>
    <n v="87082900"/>
    <n v="15"/>
    <s v="EA"/>
    <n v="6435.33"/>
    <s v="INR"/>
    <n v="96529.95"/>
    <n v="0"/>
    <n v="96529.95"/>
    <n v="0"/>
    <n v="0"/>
    <n v="0"/>
    <n v="0"/>
    <n v="96529.95"/>
    <n v="0"/>
    <n v="0"/>
    <n v="0"/>
    <n v="0"/>
    <n v="0"/>
    <n v="0"/>
    <n v="0"/>
    <n v="0"/>
    <n v="96529.95"/>
    <n v="0"/>
    <n v="0"/>
    <n v="311000"/>
    <s v="SALE FINISHED GOODS"/>
    <n v="0"/>
    <n v="0"/>
    <n v="0"/>
    <s v="52AF1050"/>
    <n v="1509"/>
    <s v="FG Body"/>
    <n v="5094202534"/>
    <s v="09.05.2026"/>
  </r>
  <r>
    <n v="1115"/>
    <n v="1115"/>
    <n v="10"/>
    <n v="2"/>
    <s v="Three Wheelers"/>
    <s v="F2"/>
    <s v="COMMERCIAL INVOICE"/>
    <n v="1526006775"/>
    <n v="1000007054"/>
    <m/>
    <m/>
    <x v="8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202533"/>
    <s v="09.05.2026"/>
  </r>
  <r>
    <n v="1115"/>
    <n v="1115"/>
    <n v="10"/>
    <n v="2"/>
    <s v="Three Wheelers"/>
    <s v="F2"/>
    <s v="COMMERCIAL INVOICE"/>
    <n v="1526006776"/>
    <n v="1000007055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02654"/>
    <s v="09.05.2026"/>
  </r>
  <r>
    <n v="1115"/>
    <n v="1115"/>
    <n v="10"/>
    <n v="2"/>
    <s v="Three Wheelers"/>
    <s v="F2"/>
    <s v="COMMERCIAL INVOICE"/>
    <n v="1526006777"/>
    <n v="1000007056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02545"/>
    <s v="09.05.2026"/>
  </r>
  <r>
    <n v="1115"/>
    <n v="1115"/>
    <n v="10"/>
    <n v="2"/>
    <s v="Three Wheelers"/>
    <s v="F2"/>
    <s v="COMMERCIAL INVOICE"/>
    <n v="1526006778"/>
    <n v="1000007057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79"/>
    <n v="1000007058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80"/>
    <n v="1000007059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2798"/>
    <s v="09.05.2026"/>
  </r>
  <r>
    <n v="1115"/>
    <n v="1115"/>
    <n v="10"/>
    <n v="2"/>
    <s v="Three Wheelers"/>
    <s v="F2"/>
    <s v="COMMERCIAL INVOICE"/>
    <n v="1526006781"/>
    <n v="1000007060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2989"/>
    <s v="09.05.2026"/>
  </r>
  <r>
    <n v="1115"/>
    <n v="1115"/>
    <n v="10"/>
    <n v="2"/>
    <s v="Three Wheelers"/>
    <s v="F2"/>
    <s v="COMMERCIAL INVOICE"/>
    <n v="1526006782"/>
    <n v="1000007061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2449"/>
    <s v="09.05.2026"/>
  </r>
  <r>
    <n v="1115"/>
    <n v="1115"/>
    <n v="10"/>
    <n v="2"/>
    <s v="Three Wheelers"/>
    <s v="F2"/>
    <s v="COMMERCIAL INVOICE"/>
    <n v="1526006783"/>
    <n v="1000007062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5910"/>
    <s v="09.05.2026"/>
  </r>
  <r>
    <n v="1115"/>
    <n v="1115"/>
    <n v="10"/>
    <n v="2"/>
    <s v="Three Wheelers"/>
    <s v="F2"/>
    <s v="COMMERCIAL INVOICE"/>
    <n v="1526006784"/>
    <n v="1000007063"/>
    <m/>
    <m/>
    <x v="8"/>
    <n v="5100001935"/>
    <s v="ZSCH"/>
    <s v="Normal Sales"/>
    <n v="4110059361"/>
    <s v="11.03.2025"/>
    <n v="5000"/>
    <s v="BAJAJ AUTO LIMITED (WALUJ)"/>
    <m/>
    <m/>
    <s v="27340676530V"/>
    <n v="1502020125"/>
    <s v="52AF1050 BODY ASSLY RE AIR COOLED BI-FUE"/>
    <x v="1"/>
    <n v="87082900"/>
    <n v="15"/>
    <s v="EA"/>
    <n v="6435.33"/>
    <s v="INR"/>
    <n v="96529.95"/>
    <n v="0"/>
    <n v="96529.95"/>
    <n v="0"/>
    <n v="0"/>
    <n v="0"/>
    <n v="0"/>
    <n v="96529.95"/>
    <n v="0"/>
    <n v="0"/>
    <n v="0"/>
    <n v="0"/>
    <n v="0"/>
    <n v="0"/>
    <n v="0"/>
    <n v="0"/>
    <n v="96529.95"/>
    <n v="0"/>
    <n v="0"/>
    <n v="311000"/>
    <s v="SALE FINISHED GOODS"/>
    <n v="0"/>
    <n v="0"/>
    <n v="0"/>
    <s v="52AF1050"/>
    <n v="1509"/>
    <s v="FG Body"/>
    <n v="5094202650"/>
    <s v="09.05.2026"/>
  </r>
  <r>
    <n v="1115"/>
    <n v="1115"/>
    <n v="10"/>
    <n v="2"/>
    <s v="Three Wheelers"/>
    <s v="F2"/>
    <s v="COMMERCIAL INVOICE"/>
    <n v="1526006785"/>
    <n v="1000007064"/>
    <m/>
    <m/>
    <x v="8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324"/>
    <s v="EA"/>
    <n v="136.6"/>
    <s v="INR"/>
    <n v="44258.400000000001"/>
    <n v="0"/>
    <n v="44258.400000000001"/>
    <n v="0"/>
    <n v="0"/>
    <n v="0"/>
    <n v="0"/>
    <n v="44258.400000000001"/>
    <n v="0"/>
    <n v="0"/>
    <n v="0"/>
    <n v="0"/>
    <n v="0"/>
    <n v="0"/>
    <n v="0"/>
    <n v="0"/>
    <n v="44258.400000000001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6786"/>
    <n v="1000007065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87"/>
    <n v="1000007066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88"/>
    <n v="1000007067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89"/>
    <n v="1000007068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790"/>
    <n v="1000007069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5911"/>
    <s v="09.05.2026"/>
  </r>
  <r>
    <n v="1115"/>
    <n v="1115"/>
    <n v="10"/>
    <n v="2"/>
    <s v="Three Wheelers"/>
    <s v="F2"/>
    <s v="COMMERCIAL INVOICE"/>
    <n v="1526006791"/>
    <n v="1000007070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5912"/>
    <s v="09.05.2026"/>
  </r>
  <r>
    <n v="1115"/>
    <n v="1115"/>
    <n v="10"/>
    <n v="2"/>
    <s v="Three Wheelers"/>
    <s v="F2"/>
    <s v="COMMERCIAL INVOICE"/>
    <n v="1526006792"/>
    <n v="1000007071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5913"/>
    <s v="09.05.2026"/>
  </r>
  <r>
    <n v="1115"/>
    <n v="1115"/>
    <n v="10"/>
    <n v="2"/>
    <s v="Three Wheelers"/>
    <s v="F2"/>
    <s v="COMMERCIAL INVOICE"/>
    <n v="1526006793"/>
    <n v="1000007072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3410"/>
    <s v="09.05.2026"/>
  </r>
  <r>
    <n v="1115"/>
    <n v="1115"/>
    <n v="10"/>
    <n v="2"/>
    <s v="Three Wheelers"/>
    <s v="F2"/>
    <s v="COMMERCIAL INVOICE"/>
    <n v="1526006794"/>
    <n v="1000007073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2217"/>
    <s v="09.05.2026"/>
  </r>
  <r>
    <n v="1115"/>
    <n v="1115"/>
    <n v="10"/>
    <n v="2"/>
    <s v="Three Wheelers"/>
    <s v="F2"/>
    <s v="COMMERCIAL INVOICE"/>
    <n v="1526006795"/>
    <n v="1000007074"/>
    <m/>
    <m/>
    <x v="8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6"/>
    <s v="EA"/>
    <n v="6500.18"/>
    <s v="INR"/>
    <n v="39001.08"/>
    <n v="0"/>
    <n v="39001.08"/>
    <n v="0"/>
    <n v="0"/>
    <n v="0"/>
    <n v="0"/>
    <n v="39001.08"/>
    <n v="0"/>
    <n v="0"/>
    <n v="0"/>
    <n v="0"/>
    <n v="0"/>
    <n v="0"/>
    <n v="0"/>
    <n v="0"/>
    <n v="39001.08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796"/>
    <n v="1000007075"/>
    <m/>
    <m/>
    <x v="8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80"/>
    <s v="EA"/>
    <n v="291.27999999999997"/>
    <s v="INR"/>
    <n v="52430.400000000001"/>
    <n v="0"/>
    <n v="52430.400000000001"/>
    <n v="0"/>
    <n v="0"/>
    <n v="0"/>
    <n v="0"/>
    <n v="52430.400000000001"/>
    <n v="0"/>
    <n v="0"/>
    <n v="0"/>
    <n v="0"/>
    <n v="0"/>
    <n v="0"/>
    <n v="0"/>
    <n v="0"/>
    <n v="52430.400000000001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820"/>
    <n v="1000007099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50"/>
    <n v="1000007131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51"/>
    <n v="1000007132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52"/>
    <n v="1000007133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53"/>
    <n v="1000007134"/>
    <m/>
    <m/>
    <x v="8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50"/>
    <s v="EA"/>
    <n v="380.93"/>
    <s v="INR"/>
    <n v="57139.5"/>
    <n v="0"/>
    <n v="57139.5"/>
    <n v="0"/>
    <n v="0"/>
    <n v="0"/>
    <n v="0"/>
    <n v="57139.5"/>
    <n v="0"/>
    <n v="0"/>
    <n v="0"/>
    <n v="0"/>
    <n v="0"/>
    <n v="0"/>
    <n v="0"/>
    <n v="0"/>
    <n v="57139.5"/>
    <n v="0"/>
    <n v="0"/>
    <n v="311000"/>
    <s v="SALE FINISHED GOODS"/>
    <n v="2.13"/>
    <n v="2.13"/>
    <n v="0"/>
    <s v="AH111571"/>
    <n v="1511"/>
    <s v="FG Loose 3WH"/>
    <n v="5094209998"/>
    <s v="09.05.2026"/>
  </r>
  <r>
    <n v="1115"/>
    <n v="1115"/>
    <n v="10"/>
    <n v="2"/>
    <s v="Three Wheelers"/>
    <s v="F2"/>
    <s v="COMMERCIAL INVOICE"/>
    <n v="1526006856"/>
    <n v="1000007137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857"/>
    <n v="1000007138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858"/>
    <n v="1000007139"/>
    <m/>
    <m/>
    <x v="8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192"/>
    <s v="EA"/>
    <n v="174.61"/>
    <s v="INR"/>
    <n v="33525.120000000003"/>
    <n v="0"/>
    <n v="33525.120000000003"/>
    <n v="0"/>
    <n v="0"/>
    <n v="0"/>
    <n v="0"/>
    <n v="33525.120000000003"/>
    <n v="0"/>
    <n v="0"/>
    <n v="0"/>
    <n v="0"/>
    <n v="0"/>
    <n v="0"/>
    <n v="0"/>
    <n v="0"/>
    <n v="33525.120000000003"/>
    <n v="0"/>
    <n v="0"/>
    <n v="311000"/>
    <s v="SALE FINISHED GOODS"/>
    <n v="0"/>
    <n v="0"/>
    <n v="0"/>
    <s v="AF232042"/>
    <n v="1511"/>
    <s v="FG Loose 3WH"/>
    <n v="5094211969"/>
    <s v="09.05.2026"/>
  </r>
  <r>
    <n v="1115"/>
    <n v="1115"/>
    <n v="10"/>
    <n v="2"/>
    <s v="Three Wheelers"/>
    <s v="F2"/>
    <s v="COMMERCIAL INVOICE"/>
    <n v="1526006859"/>
    <n v="1000007140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860"/>
    <n v="1000007141"/>
    <m/>
    <m/>
    <x v="8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144"/>
    <s v="EA"/>
    <n v="134.19999999999999"/>
    <s v="INR"/>
    <n v="19324.8"/>
    <n v="0"/>
    <n v="19324.8"/>
    <n v="0"/>
    <n v="0"/>
    <n v="0"/>
    <n v="0"/>
    <n v="19324.8"/>
    <n v="0"/>
    <n v="0"/>
    <n v="0"/>
    <n v="0"/>
    <n v="0"/>
    <n v="0"/>
    <n v="0"/>
    <n v="0"/>
    <n v="19324.8"/>
    <n v="0"/>
    <n v="0"/>
    <n v="311000"/>
    <s v="SALE FINISHED GOODS"/>
    <n v="1.19"/>
    <n v="1.19"/>
    <n v="0"/>
    <s v="AF231720"/>
    <n v="1511"/>
    <s v="FG Loose 3WH"/>
    <n v="5094211970"/>
    <s v="09.05.2026"/>
  </r>
  <r>
    <n v="1115"/>
    <n v="1115"/>
    <n v="10"/>
    <n v="2"/>
    <s v="Three Wheelers"/>
    <s v="F2"/>
    <s v="COMMERCIAL INVOICE"/>
    <n v="1526006861"/>
    <n v="1000007142"/>
    <m/>
    <m/>
    <x v="8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6863"/>
    <n v="1000007145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864"/>
    <n v="1000007147"/>
    <m/>
    <m/>
    <x v="8"/>
    <n v="5100001924"/>
    <s v="ZSCH"/>
    <s v="Normal Sales"/>
    <n v="4110055642"/>
    <s v="09.09.2024"/>
    <n v="5000"/>
    <s v="BAJAJ AUTO LIMITED (WALUJ)"/>
    <m/>
    <m/>
    <s v="27340676530V"/>
    <n v="1502040315"/>
    <s v="52BA0856  RE DOOR ASSLY RH BLACK"/>
    <x v="4"/>
    <n v="87082900"/>
    <n v="120"/>
    <s v="EA"/>
    <n v="497.08"/>
    <s v="INR"/>
    <n v="59649.599999999999"/>
    <n v="0"/>
    <n v="59649.599999999999"/>
    <n v="0"/>
    <n v="0"/>
    <n v="0"/>
    <n v="0"/>
    <n v="59649.599999999999"/>
    <n v="0"/>
    <n v="0"/>
    <n v="0"/>
    <n v="0"/>
    <n v="0"/>
    <n v="0"/>
    <n v="0"/>
    <n v="0"/>
    <n v="59649.599999999999"/>
    <n v="0"/>
    <n v="0"/>
    <n v="311000"/>
    <s v="SALE FINISHED GOODS"/>
    <n v="2.27"/>
    <n v="2.27"/>
    <n v="0"/>
    <s v="52BA0856"/>
    <n v="1511"/>
    <s v="FG Loose 3WH"/>
    <s v="PENDING"/>
    <s v="Pending"/>
  </r>
  <r>
    <n v="1115"/>
    <n v="1115"/>
    <n v="10"/>
    <n v="2"/>
    <s v="Three Wheelers"/>
    <s v="F2"/>
    <s v="COMMERCIAL INVOICE"/>
    <n v="1526006865"/>
    <n v="1000007148"/>
    <m/>
    <m/>
    <x v="8"/>
    <n v="5100001924"/>
    <s v="ZSCH"/>
    <s v="Normal Sales"/>
    <n v="4110055642"/>
    <s v="09.09.2024"/>
    <n v="5000"/>
    <s v="BAJAJ AUTO LIMITED (WALUJ)"/>
    <m/>
    <m/>
    <s v="27340676530V"/>
    <n v="1502040316"/>
    <s v="52BA0857  RE DOOR ASSLY LH BLACK"/>
    <x v="4"/>
    <n v="87082900"/>
    <n v="120"/>
    <s v="EA"/>
    <n v="497.87"/>
    <s v="INR"/>
    <n v="59744.4"/>
    <n v="0"/>
    <n v="59744.4"/>
    <n v="0"/>
    <n v="0"/>
    <n v="0"/>
    <n v="0"/>
    <n v="59744.4"/>
    <n v="0"/>
    <n v="0"/>
    <n v="0"/>
    <n v="0"/>
    <n v="0"/>
    <n v="0"/>
    <n v="0"/>
    <n v="0"/>
    <n v="59744.4"/>
    <n v="0"/>
    <n v="0"/>
    <n v="311000"/>
    <s v="SALE FINISHED GOODS"/>
    <n v="2.27"/>
    <n v="2.27"/>
    <n v="0"/>
    <s v="52BA0857"/>
    <n v="1511"/>
    <s v="FG Loose 3WH"/>
    <s v="PENDING"/>
    <s v="Pending"/>
  </r>
  <r>
    <n v="1115"/>
    <n v="1115"/>
    <n v="10"/>
    <n v="2"/>
    <s v="Three Wheelers"/>
    <s v="F2"/>
    <s v="COMMERCIAL INVOICE"/>
    <n v="1526006866"/>
    <n v="1000007149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871"/>
    <n v="1000007155"/>
    <m/>
    <m/>
    <x v="8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872"/>
    <n v="1000007157"/>
    <m/>
    <m/>
    <x v="8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6875"/>
    <n v="1000007162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76"/>
    <n v="1000007163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77"/>
    <n v="1000007164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78"/>
    <n v="1000007166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21"/>
    <n v="1000007100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22"/>
    <n v="1000007101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23"/>
    <n v="1000007102"/>
    <m/>
    <m/>
    <x v="8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s v="PENDING"/>
    <s v="Pending"/>
  </r>
  <r>
    <n v="1115"/>
    <n v="1115"/>
    <n v="10"/>
    <n v="2"/>
    <s v="Three Wheelers"/>
    <s v="F2"/>
    <s v="COMMERCIAL INVOICE"/>
    <n v="1526006824"/>
    <n v="1000007103"/>
    <m/>
    <m/>
    <x v="8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s v="PENDING"/>
    <s v="Pending"/>
  </r>
  <r>
    <n v="1115"/>
    <n v="1115"/>
    <n v="10"/>
    <n v="2"/>
    <s v="Three Wheelers"/>
    <s v="F2"/>
    <s v="COMMERCIAL INVOICE"/>
    <n v="1526006825"/>
    <n v="1000007104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9974"/>
    <s v="09.05.2026"/>
  </r>
  <r>
    <n v="1115"/>
    <n v="1115"/>
    <n v="10"/>
    <n v="2"/>
    <s v="Three Wheelers"/>
    <s v="F2"/>
    <s v="COMMERCIAL INVOICE"/>
    <n v="1526006826"/>
    <n v="1000007105"/>
    <m/>
    <m/>
    <x v="8"/>
    <n v="5100001100"/>
    <s v="ZSCH"/>
    <s v="Normal Sales"/>
    <n v="4110004652"/>
    <s v="01.07.2017"/>
    <n v="5000"/>
    <s v="BAJAJ AUTO LIMITED (WALUJ)"/>
    <m/>
    <m/>
    <s v="27340676530V"/>
    <n v="1502040125"/>
    <s v="BB231370-COVER REAR RH FL"/>
    <x v="8"/>
    <n v="87082900"/>
    <n v="55"/>
    <s v="EA"/>
    <n v="160.44999999999999"/>
    <s v="INR"/>
    <n v="8824.75"/>
    <n v="0"/>
    <n v="8824.75"/>
    <n v="0"/>
    <n v="0"/>
    <n v="0"/>
    <n v="0"/>
    <n v="8824.75"/>
    <n v="0"/>
    <n v="0"/>
    <n v="0"/>
    <n v="0"/>
    <n v="0"/>
    <n v="0"/>
    <n v="0"/>
    <n v="0"/>
    <n v="8824.75"/>
    <n v="0"/>
    <n v="0"/>
    <n v="311000"/>
    <s v="SALE FINISHED GOODS"/>
    <n v="1.1850000000000001"/>
    <n v="1.1850000000000001"/>
    <n v="0"/>
    <s v="BB231370"/>
    <n v="1511"/>
    <s v="FG Loose 3WH"/>
    <n v="5094211031"/>
    <s v="09.05.2026"/>
  </r>
  <r>
    <n v="1115"/>
    <n v="1115"/>
    <n v="10"/>
    <n v="2"/>
    <s v="Three Wheelers"/>
    <s v="F2"/>
    <s v="COMMERCIAL INVOICE"/>
    <n v="1526006828"/>
    <n v="1000007108"/>
    <m/>
    <m/>
    <x v="8"/>
    <n v="5100001100"/>
    <s v="ZSCH"/>
    <s v="Normal Sales"/>
    <n v="4110004652"/>
    <s v="01.07.2017"/>
    <n v="5000"/>
    <s v="BAJAJ AUTO LIMITED (WALUJ)"/>
    <m/>
    <m/>
    <s v="27340676530V"/>
    <n v="1502040126"/>
    <s v="BB231369-COVER REAR LH FL"/>
    <x v="8"/>
    <n v="87082900"/>
    <n v="55"/>
    <s v="EA"/>
    <n v="155.58000000000001"/>
    <s v="INR"/>
    <n v="8556.9"/>
    <n v="0"/>
    <n v="8556.9"/>
    <n v="0"/>
    <n v="0"/>
    <n v="0"/>
    <n v="0"/>
    <n v="8556.9"/>
    <n v="0"/>
    <n v="0"/>
    <n v="0"/>
    <n v="0"/>
    <n v="0"/>
    <n v="0"/>
    <n v="0"/>
    <n v="0"/>
    <n v="8556.9"/>
    <n v="0"/>
    <n v="0"/>
    <n v="311000"/>
    <s v="SALE FINISHED GOODS"/>
    <n v="1.1850000000000001"/>
    <n v="1.1850000000000001"/>
    <n v="0"/>
    <s v="BB231369"/>
    <n v="1511"/>
    <s v="FG Loose 3WH"/>
    <n v="5094211034"/>
    <s v="09.05.2026"/>
  </r>
  <r>
    <n v="1115"/>
    <n v="1115"/>
    <n v="10"/>
    <n v="2"/>
    <s v="Three Wheelers"/>
    <s v="F2"/>
    <s v="COMMERCIAL INVOICE"/>
    <n v="1526006829"/>
    <n v="1000007110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11849"/>
    <s v="09.05.2026"/>
  </r>
  <r>
    <n v="1115"/>
    <n v="1115"/>
    <n v="10"/>
    <n v="2"/>
    <s v="Three Wheelers"/>
    <s v="F2"/>
    <s v="COMMERCIAL INVOICE"/>
    <n v="1526006830"/>
    <n v="1000007111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10033"/>
    <s v="09.05.2026"/>
  </r>
  <r>
    <n v="1115"/>
    <n v="1115"/>
    <n v="10"/>
    <n v="2"/>
    <s v="Three Wheelers"/>
    <s v="F2"/>
    <s v="COMMERCIAL INVOICE"/>
    <n v="1526006831"/>
    <n v="1000007112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11853"/>
    <s v="09.05.2026"/>
  </r>
  <r>
    <n v="1115"/>
    <n v="1115"/>
    <n v="10"/>
    <n v="2"/>
    <s v="Three Wheelers"/>
    <s v="F2"/>
    <s v="COMMERCIAL INVOICE"/>
    <n v="1526006832"/>
    <n v="1000007113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6833"/>
    <n v="1000007114"/>
    <m/>
    <m/>
    <x v="8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09914"/>
    <s v="09.05.2026"/>
  </r>
  <r>
    <n v="1115"/>
    <n v="1115"/>
    <n v="10"/>
    <n v="2"/>
    <s v="Three Wheelers"/>
    <s v="F2"/>
    <s v="COMMERCIAL INVOICE"/>
    <n v="1526006835"/>
    <n v="1000007115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36"/>
    <n v="1000007116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37"/>
    <n v="1000007117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38"/>
    <n v="1000007118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39"/>
    <n v="1000007119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40"/>
    <n v="1000007121"/>
    <m/>
    <m/>
    <x v="8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6842"/>
    <n v="1000007124"/>
    <m/>
    <m/>
    <x v="8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843"/>
    <n v="1000007125"/>
    <m/>
    <m/>
    <x v="8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6847"/>
    <n v="1000007127"/>
    <m/>
    <m/>
    <x v="8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48"/>
    <s v="EA"/>
    <n v="290.89999999999998"/>
    <s v="INR"/>
    <n v="130323.2"/>
    <n v="0"/>
    <n v="130323.2"/>
    <n v="0"/>
    <n v="0"/>
    <n v="0"/>
    <n v="0"/>
    <n v="130323.2"/>
    <n v="0"/>
    <n v="0"/>
    <n v="0"/>
    <n v="0"/>
    <n v="0"/>
    <n v="0"/>
    <n v="0"/>
    <n v="0"/>
    <n v="130323.2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6848"/>
    <n v="1000007129"/>
    <m/>
    <m/>
    <x v="8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6849"/>
    <n v="1000007130"/>
    <m/>
    <m/>
    <x v="8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147"/>
    <s v="EA"/>
    <n v="136.6"/>
    <s v="INR"/>
    <n v="20080.2"/>
    <n v="0"/>
    <n v="20080.2"/>
    <n v="0"/>
    <n v="0"/>
    <n v="0"/>
    <n v="0"/>
    <n v="20080.2"/>
    <n v="0"/>
    <n v="0"/>
    <n v="0"/>
    <n v="0"/>
    <n v="0"/>
    <n v="0"/>
    <n v="0"/>
    <n v="0"/>
    <n v="20080.2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7396"/>
    <n v="1000007691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397"/>
    <n v="1000007692"/>
    <m/>
    <m/>
    <x v="10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384"/>
    <s v="EA"/>
    <n v="290.89999999999998"/>
    <s v="INR"/>
    <n v="111705.60000000001"/>
    <n v="0"/>
    <n v="111705.60000000001"/>
    <n v="0"/>
    <n v="0"/>
    <n v="0"/>
    <n v="0"/>
    <n v="111705.60000000001"/>
    <n v="0"/>
    <n v="0"/>
    <n v="0"/>
    <n v="0"/>
    <n v="0"/>
    <n v="0"/>
    <n v="0"/>
    <n v="0"/>
    <n v="111705.60000000001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7398"/>
    <n v="1000007693"/>
    <m/>
    <m/>
    <x v="10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20"/>
    <s v="EA"/>
    <n v="291.27999999999997"/>
    <s v="INR"/>
    <n v="34953.599999999999"/>
    <n v="0"/>
    <n v="34953.599999999999"/>
    <n v="0"/>
    <n v="0"/>
    <n v="0"/>
    <n v="0"/>
    <n v="34953.599999999999"/>
    <n v="0"/>
    <n v="0"/>
    <n v="0"/>
    <n v="0"/>
    <n v="0"/>
    <n v="0"/>
    <n v="0"/>
    <n v="0"/>
    <n v="34953.599999999999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7395"/>
    <n v="1000007690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394"/>
    <n v="1000007689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4668"/>
    <s v="13.05.2026"/>
  </r>
  <r>
    <n v="1115"/>
    <n v="1115"/>
    <n v="10"/>
    <n v="2"/>
    <s v="Three Wheelers"/>
    <s v="F2"/>
    <s v="COMMERCIAL INVOICE"/>
    <n v="1526007393"/>
    <n v="1000007688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392"/>
    <n v="1000007687"/>
    <m/>
    <m/>
    <x v="10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235"/>
    <s v="EA"/>
    <n v="136.6"/>
    <s v="INR"/>
    <n v="32101"/>
    <n v="0"/>
    <n v="32101"/>
    <n v="0"/>
    <n v="0"/>
    <n v="0"/>
    <n v="0"/>
    <n v="32101"/>
    <n v="0"/>
    <n v="0"/>
    <n v="0"/>
    <n v="0"/>
    <n v="0"/>
    <n v="0"/>
    <n v="0"/>
    <n v="0"/>
    <n v="32101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7399"/>
    <n v="1000007694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00"/>
    <n v="1000007695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01"/>
    <n v="1000007696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02"/>
    <n v="1000007697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03"/>
    <n v="1000007698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04"/>
    <n v="1000007699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6"/>
    <s v="EA"/>
    <n v="6500.18"/>
    <s v="INR"/>
    <n v="39001.08"/>
    <n v="0"/>
    <n v="39001.08"/>
    <n v="0"/>
    <n v="0"/>
    <n v="0"/>
    <n v="0"/>
    <n v="39001.08"/>
    <n v="0"/>
    <n v="0"/>
    <n v="0"/>
    <n v="0"/>
    <n v="0"/>
    <n v="0"/>
    <n v="0"/>
    <n v="0"/>
    <n v="39001.08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05"/>
    <n v="1000007700"/>
    <m/>
    <m/>
    <x v="1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9"/>
    <s v="EA"/>
    <n v="6570.77"/>
    <s v="INR"/>
    <n v="59136.93"/>
    <n v="0"/>
    <n v="59136.93"/>
    <n v="0"/>
    <n v="0"/>
    <n v="0"/>
    <n v="0"/>
    <n v="59136.93"/>
    <n v="0"/>
    <n v="0"/>
    <n v="0"/>
    <n v="0"/>
    <n v="0"/>
    <n v="0"/>
    <n v="0"/>
    <n v="0"/>
    <n v="59136.93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7406"/>
    <n v="1000007701"/>
    <m/>
    <m/>
    <x v="10"/>
    <n v="5100001100"/>
    <s v="ZSCH"/>
    <s v="Normal Sales"/>
    <n v="4110004652"/>
    <s v="01.07.2017"/>
    <n v="5000"/>
    <s v="BAJAJ AUTO LIMITED (WALUJ)"/>
    <m/>
    <m/>
    <s v="27340676530V"/>
    <n v="1502040125"/>
    <s v="BB231370-COVER REAR RH FL"/>
    <x v="8"/>
    <n v="87082900"/>
    <n v="55"/>
    <s v="EA"/>
    <n v="160.44999999999999"/>
    <s v="INR"/>
    <n v="8824.75"/>
    <n v="0"/>
    <n v="8824.75"/>
    <n v="0"/>
    <n v="0"/>
    <n v="0"/>
    <n v="0"/>
    <n v="8824.75"/>
    <n v="0"/>
    <n v="0"/>
    <n v="0"/>
    <n v="0"/>
    <n v="0"/>
    <n v="0"/>
    <n v="0"/>
    <n v="0"/>
    <n v="8824.75"/>
    <n v="0"/>
    <n v="0"/>
    <n v="311000"/>
    <s v="SALE FINISHED GOODS"/>
    <n v="1.1850000000000001"/>
    <n v="1.1850000000000001"/>
    <n v="0"/>
    <s v="BB231370"/>
    <n v="1511"/>
    <s v="FG Loose 3WH"/>
    <s v="PENDING"/>
    <s v="Pending"/>
  </r>
  <r>
    <n v="1115"/>
    <n v="1115"/>
    <n v="10"/>
    <n v="2"/>
    <s v="Three Wheelers"/>
    <s v="F2"/>
    <s v="COMMERCIAL INVOICE"/>
    <n v="1526007391"/>
    <n v="1000007686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3"/>
    <s v="EA"/>
    <n v="6500.18"/>
    <s v="INR"/>
    <n v="19500.54"/>
    <n v="0"/>
    <n v="19500.54"/>
    <n v="0"/>
    <n v="0"/>
    <n v="0"/>
    <n v="0"/>
    <n v="19500.54"/>
    <n v="0"/>
    <n v="0"/>
    <n v="0"/>
    <n v="0"/>
    <n v="0"/>
    <n v="0"/>
    <n v="0"/>
    <n v="0"/>
    <n v="19500.54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390"/>
    <n v="1000007685"/>
    <m/>
    <m/>
    <x v="1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2"/>
    <s v="EA"/>
    <n v="6570.77"/>
    <s v="INR"/>
    <n v="78849.240000000005"/>
    <n v="0"/>
    <n v="78849.240000000005"/>
    <n v="0"/>
    <n v="0"/>
    <n v="0"/>
    <n v="0"/>
    <n v="78849.240000000005"/>
    <n v="0"/>
    <n v="0"/>
    <n v="0"/>
    <n v="0"/>
    <n v="0"/>
    <n v="0"/>
    <n v="0"/>
    <n v="0"/>
    <n v="78849.24000000000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7389"/>
    <n v="1000007684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73531"/>
    <s v="13.05.2026"/>
  </r>
  <r>
    <n v="1115"/>
    <n v="1115"/>
    <n v="10"/>
    <n v="2"/>
    <s v="Three Wheelers"/>
    <s v="F2"/>
    <s v="COMMERCIAL INVOICE"/>
    <n v="1526007388"/>
    <n v="1000007683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387"/>
    <n v="1000007682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386"/>
    <n v="1000007681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4764"/>
    <s v="13.05.2026"/>
  </r>
  <r>
    <n v="1115"/>
    <n v="1115"/>
    <n v="10"/>
    <n v="2"/>
    <s v="Three Wheelers"/>
    <s v="F2"/>
    <s v="COMMERCIAL INVOICE"/>
    <n v="1526007385"/>
    <n v="1000007680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4763"/>
    <s v="13.05.2026"/>
  </r>
  <r>
    <n v="1115"/>
    <n v="1115"/>
    <n v="10"/>
    <n v="2"/>
    <s v="Three Wheelers"/>
    <s v="F2"/>
    <s v="COMMERCIAL INVOICE"/>
    <n v="1526007384"/>
    <n v="1000007679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4680"/>
    <s v="13.05.2026"/>
  </r>
  <r>
    <n v="1115"/>
    <n v="1115"/>
    <n v="10"/>
    <n v="2"/>
    <s v="Three Wheelers"/>
    <s v="F2"/>
    <s v="COMMERCIAL INVOICE"/>
    <n v="1526007383"/>
    <n v="1000007678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4603"/>
    <s v="13.05.2026"/>
  </r>
  <r>
    <n v="1115"/>
    <n v="1115"/>
    <n v="10"/>
    <n v="2"/>
    <s v="Three Wheelers"/>
    <s v="F2"/>
    <s v="COMMERCIAL INVOICE"/>
    <n v="1526007382"/>
    <n v="1000007677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4670"/>
    <s v="13.05.2026"/>
  </r>
  <r>
    <n v="1115"/>
    <n v="1115"/>
    <n v="10"/>
    <n v="2"/>
    <s v="Three Wheelers"/>
    <s v="F2"/>
    <s v="COMMERCIAL INVOICE"/>
    <n v="1526007381"/>
    <n v="1000007676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3516"/>
    <s v="13.05.2026"/>
  </r>
  <r>
    <n v="1115"/>
    <n v="1115"/>
    <n v="10"/>
    <n v="2"/>
    <s v="Three Wheelers"/>
    <s v="F2"/>
    <s v="COMMERCIAL INVOICE"/>
    <n v="1526007380"/>
    <n v="1000007675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379"/>
    <n v="1000007674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378"/>
    <n v="1000007673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377"/>
    <n v="1000007672"/>
    <m/>
    <m/>
    <x v="11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273473"/>
    <s v="12.05.2026"/>
  </r>
  <r>
    <n v="1115"/>
    <n v="1115"/>
    <n v="10"/>
    <n v="2"/>
    <s v="Three Wheelers"/>
    <s v="F2"/>
    <s v="COMMERCIAL INVOICE"/>
    <n v="1526007376"/>
    <n v="1000007671"/>
    <m/>
    <m/>
    <x v="1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440"/>
    <n v="1000007734"/>
    <m/>
    <m/>
    <x v="10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3"/>
    <s v="EA"/>
    <n v="6240.88"/>
    <s v="INR"/>
    <n v="18722.64"/>
    <n v="0"/>
    <n v="18722.64"/>
    <n v="0"/>
    <n v="0"/>
    <n v="0"/>
    <n v="0"/>
    <n v="18722.64"/>
    <n v="0"/>
    <n v="0"/>
    <n v="0"/>
    <n v="0"/>
    <n v="0"/>
    <n v="0"/>
    <n v="0"/>
    <n v="0"/>
    <n v="18722.64"/>
    <n v="0"/>
    <n v="0"/>
    <n v="311000"/>
    <s v="SALE FINISHED GOODS"/>
    <n v="58"/>
    <n v="58"/>
    <n v="0"/>
    <s v="52BA0852"/>
    <n v="1509"/>
    <s v="FG Body"/>
    <s v="PENDING"/>
    <s v="Pending"/>
  </r>
  <r>
    <n v="1115"/>
    <n v="1115"/>
    <n v="10"/>
    <n v="2"/>
    <s v="Three Wheelers"/>
    <s v="F2"/>
    <s v="COMMERCIAL INVOICE"/>
    <n v="1526007439"/>
    <n v="1000007733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38"/>
    <n v="1000007732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37"/>
    <n v="1000007731"/>
    <m/>
    <m/>
    <x v="10"/>
    <n v="5100001795"/>
    <s v="ZSCH"/>
    <s v="Normal Sales"/>
    <n v="4110032503"/>
    <s v="31.08.2021"/>
    <n v="5000"/>
    <s v="BAJAJ AUTO LIMITED (WALUJ)"/>
    <m/>
    <m/>
    <s v="27340676530V"/>
    <n v="1502010016"/>
    <s v="PLATE CHECK FRONT MUD MOUNTING"/>
    <x v="13"/>
    <n v="87082900"/>
    <n v="2000"/>
    <s v="EA"/>
    <n v="8.4600000000000009"/>
    <s v="INR"/>
    <n v="16920"/>
    <n v="0"/>
    <n v="16920"/>
    <n v="0"/>
    <n v="0"/>
    <n v="0"/>
    <n v="0"/>
    <n v="16920"/>
    <n v="0"/>
    <n v="0"/>
    <n v="0"/>
    <n v="0"/>
    <n v="0"/>
    <n v="0"/>
    <n v="0"/>
    <n v="0"/>
    <n v="16920"/>
    <n v="0"/>
    <n v="0"/>
    <n v="311000"/>
    <s v="SALE FINISHED GOODS"/>
    <n v="0.08"/>
    <n v="6.3E-2"/>
    <n v="1.7000000000000001E-2"/>
    <s v="AB161182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36"/>
    <n v="1000007730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34"/>
    <n v="1000007728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33"/>
    <n v="1000007727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32"/>
    <n v="1000007726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31"/>
    <n v="1000007725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30"/>
    <n v="1000007724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429"/>
    <n v="1000007723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428"/>
    <n v="1000007722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425"/>
    <n v="1000007720"/>
    <m/>
    <m/>
    <x v="10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s v="PENDING"/>
    <s v="Pending"/>
  </r>
  <r>
    <n v="1115"/>
    <n v="1115"/>
    <n v="10"/>
    <n v="2"/>
    <s v="Three Wheelers"/>
    <s v="F2"/>
    <s v="COMMERCIAL INVOICE"/>
    <n v="1526007424"/>
    <n v="1000007719"/>
    <m/>
    <m/>
    <x v="10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7423"/>
    <n v="1000007718"/>
    <m/>
    <m/>
    <x v="10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270"/>
    <s v="EA"/>
    <n v="217.33"/>
    <s v="INR"/>
    <n v="58679.1"/>
    <n v="0"/>
    <n v="58679.1"/>
    <n v="0"/>
    <n v="0"/>
    <n v="0"/>
    <n v="0"/>
    <n v="58679.1"/>
    <n v="0"/>
    <n v="0"/>
    <n v="0"/>
    <n v="0"/>
    <n v="0"/>
    <n v="0"/>
    <n v="0"/>
    <n v="0"/>
    <n v="58679.1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7422"/>
    <n v="1000007717"/>
    <m/>
    <m/>
    <x v="10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s v="PENDING"/>
    <s v="Pending"/>
  </r>
  <r>
    <n v="1115"/>
    <n v="1115"/>
    <n v="10"/>
    <n v="2"/>
    <s v="Three Wheelers"/>
    <s v="F2"/>
    <s v="COMMERCIAL INVOICE"/>
    <n v="1526007421"/>
    <n v="1000007716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20"/>
    <n v="1000007715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19"/>
    <n v="1000007714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418"/>
    <n v="1000007713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417"/>
    <n v="1000007712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416"/>
    <n v="1000007711"/>
    <m/>
    <m/>
    <x v="10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7415"/>
    <n v="1000007710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14"/>
    <n v="1000007709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13"/>
    <n v="1000007708"/>
    <m/>
    <m/>
    <x v="10"/>
    <n v="5100001924"/>
    <s v="ZSCH"/>
    <s v="Normal Sales"/>
    <n v="4110055642"/>
    <s v="09.09.2024"/>
    <n v="5000"/>
    <s v="BAJAJ AUTO LIMITED (WALUJ)"/>
    <m/>
    <m/>
    <s v="27340676530V"/>
    <n v="1502040314"/>
    <s v="52BA0835  RE DOOR ASSLY L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5"/>
    <n v="1511"/>
    <s v="FG Loose 3WH"/>
    <s v="PENDING"/>
    <s v="Pending"/>
  </r>
  <r>
    <n v="1115"/>
    <n v="1115"/>
    <n v="10"/>
    <n v="2"/>
    <s v="Three Wheelers"/>
    <s v="F2"/>
    <s v="COMMERCIAL INVOICE"/>
    <n v="1526007412"/>
    <n v="1000007707"/>
    <m/>
    <m/>
    <x v="1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7411"/>
    <n v="1000007706"/>
    <m/>
    <m/>
    <x v="10"/>
    <n v="5100001924"/>
    <s v="ZSCH"/>
    <s v="Normal Sales"/>
    <n v="4110055642"/>
    <s v="09.09.2024"/>
    <n v="5000"/>
    <s v="BAJAJ AUTO LIMITED (WALUJ)"/>
    <m/>
    <m/>
    <s v="27340676530V"/>
    <n v="1502040313"/>
    <s v="52BA0834  RE DOOR ASSLY RH YELLOW"/>
    <x v="4"/>
    <n v="87082900"/>
    <n v="120"/>
    <s v="EA"/>
    <n v="504.46"/>
    <s v="INR"/>
    <n v="60535.199999999997"/>
    <n v="0"/>
    <n v="60535.199999999997"/>
    <n v="0"/>
    <n v="0"/>
    <n v="0"/>
    <n v="0"/>
    <n v="60535.199999999997"/>
    <n v="0"/>
    <n v="0"/>
    <n v="0"/>
    <n v="0"/>
    <n v="0"/>
    <n v="0"/>
    <n v="0"/>
    <n v="0"/>
    <n v="60535.199999999997"/>
    <n v="0"/>
    <n v="0"/>
    <n v="311000"/>
    <s v="SALE FINISHED GOODS"/>
    <n v="2.27"/>
    <n v="2.27"/>
    <n v="0"/>
    <s v="52BA0834"/>
    <n v="1511"/>
    <s v="FG Loose 3WH"/>
    <s v="PENDING"/>
    <s v="Pending"/>
  </r>
  <r>
    <n v="1115"/>
    <n v="1115"/>
    <n v="10"/>
    <n v="2"/>
    <s v="Three Wheelers"/>
    <s v="F2"/>
    <s v="COMMERCIAL INVOICE"/>
    <n v="1526007410"/>
    <n v="1000007705"/>
    <m/>
    <m/>
    <x v="1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7409"/>
    <n v="1000007704"/>
    <m/>
    <m/>
    <x v="10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275896"/>
    <s v="13.05.2026"/>
  </r>
  <r>
    <n v="1115"/>
    <n v="1115"/>
    <n v="10"/>
    <n v="2"/>
    <s v="Three Wheelers"/>
    <s v="F2"/>
    <s v="COMMERCIAL INVOICE"/>
    <n v="1526007408"/>
    <n v="1000007703"/>
    <m/>
    <m/>
    <x v="10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275907"/>
    <s v="13.05.2026"/>
  </r>
  <r>
    <n v="1115"/>
    <n v="1115"/>
    <n v="10"/>
    <n v="2"/>
    <s v="Three Wheelers"/>
    <s v="F2"/>
    <s v="COMMERCIAL INVOICE"/>
    <n v="1526007407"/>
    <n v="1000007702"/>
    <m/>
    <m/>
    <x v="10"/>
    <n v="5100001100"/>
    <s v="ZSCH"/>
    <s v="Normal Sales"/>
    <n v="4110004652"/>
    <s v="01.07.2017"/>
    <n v="5000"/>
    <s v="BAJAJ AUTO LIMITED (WALUJ)"/>
    <m/>
    <m/>
    <s v="27340676530V"/>
    <n v="1502040126"/>
    <s v="BB231369-COVER REAR LH FL"/>
    <x v="8"/>
    <n v="87082900"/>
    <n v="55"/>
    <s v="EA"/>
    <n v="155.58000000000001"/>
    <s v="INR"/>
    <n v="8556.9"/>
    <n v="0"/>
    <n v="8556.9"/>
    <n v="0"/>
    <n v="0"/>
    <n v="0"/>
    <n v="0"/>
    <n v="8556.9"/>
    <n v="0"/>
    <n v="0"/>
    <n v="0"/>
    <n v="0"/>
    <n v="0"/>
    <n v="0"/>
    <n v="0"/>
    <n v="0"/>
    <n v="8556.9"/>
    <n v="0"/>
    <n v="0"/>
    <n v="311000"/>
    <s v="SALE FINISHED GOODS"/>
    <n v="1.1850000000000001"/>
    <n v="1.1850000000000001"/>
    <n v="0"/>
    <s v="BB231369"/>
    <n v="1511"/>
    <s v="FG Loose 3WH"/>
    <s v="PENDING"/>
    <s v="Pending"/>
  </r>
  <r>
    <n v="1115"/>
    <n v="1115"/>
    <n v="10"/>
    <n v="2"/>
    <s v="Three Wheelers"/>
    <s v="F2"/>
    <s v="COMMERCIAL INVOICE"/>
    <n v="1526007375"/>
    <n v="1000007670"/>
    <m/>
    <m/>
    <x v="1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341"/>
    <n v="1000007636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340"/>
    <n v="1000007634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9725"/>
    <s v="12.05.2026"/>
  </r>
  <r>
    <n v="1115"/>
    <n v="1115"/>
    <n v="10"/>
    <n v="2"/>
    <s v="Three Wheelers"/>
    <s v="F2"/>
    <s v="COMMERCIAL INVOICE"/>
    <n v="1526007339"/>
    <n v="1000007633"/>
    <m/>
    <m/>
    <x v="11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2"/>
    <s v="EA"/>
    <n v="6240.88"/>
    <s v="INR"/>
    <n v="74890.559999999998"/>
    <n v="0"/>
    <n v="74890.559999999998"/>
    <n v="0"/>
    <n v="0"/>
    <n v="0"/>
    <n v="0"/>
    <n v="74890.559999999998"/>
    <n v="0"/>
    <n v="0"/>
    <n v="0"/>
    <n v="0"/>
    <n v="0"/>
    <n v="0"/>
    <n v="0"/>
    <n v="0"/>
    <n v="74890.559999999998"/>
    <n v="0"/>
    <n v="0"/>
    <n v="311000"/>
    <s v="SALE FINISHED GOODS"/>
    <n v="58"/>
    <n v="58"/>
    <n v="0"/>
    <s v="52BA0852"/>
    <n v="1509"/>
    <s v="FG Body"/>
    <s v="PENDING"/>
    <s v="Pending"/>
  </r>
  <r>
    <n v="1115"/>
    <n v="1115"/>
    <n v="10"/>
    <n v="2"/>
    <s v="Three Wheelers"/>
    <s v="F2"/>
    <s v="COMMERCIAL INVOICE"/>
    <n v="1526007338"/>
    <n v="1000007632"/>
    <m/>
    <m/>
    <x v="11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410"/>
    <s v="EA"/>
    <n v="136.6"/>
    <s v="INR"/>
    <n v="56006"/>
    <n v="0"/>
    <n v="56006"/>
    <n v="0"/>
    <n v="0"/>
    <n v="0"/>
    <n v="0"/>
    <n v="56006"/>
    <n v="0"/>
    <n v="0"/>
    <n v="0"/>
    <n v="0"/>
    <n v="0"/>
    <n v="0"/>
    <n v="0"/>
    <n v="0"/>
    <n v="56006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7337"/>
    <n v="1000007631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2"/>
    <s v="EA"/>
    <n v="8593.51"/>
    <s v="INR"/>
    <n v="17187.02"/>
    <n v="0"/>
    <n v="17187.02"/>
    <n v="0"/>
    <n v="0"/>
    <n v="0"/>
    <n v="0"/>
    <n v="17187.02"/>
    <n v="0"/>
    <n v="0"/>
    <n v="0"/>
    <n v="0"/>
    <n v="0"/>
    <n v="0"/>
    <n v="0"/>
    <n v="0"/>
    <n v="17187.02"/>
    <n v="0"/>
    <n v="0"/>
    <n v="311000"/>
    <s v="SALE FINISHED GOODS"/>
    <n v="93.34"/>
    <n v="75.430000000000007"/>
    <n v="17.91"/>
    <s v="52BB0638"/>
    <n v="1509"/>
    <s v="FG Body"/>
    <n v="5094269722"/>
    <s v="12.05.2026"/>
  </r>
  <r>
    <n v="1115"/>
    <n v="1115"/>
    <n v="10"/>
    <n v="2"/>
    <s v="Three Wheelers"/>
    <s v="F2"/>
    <s v="COMMERCIAL INVOICE"/>
    <n v="1526007331"/>
    <n v="1000007630"/>
    <m/>
    <m/>
    <x v="11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1280"/>
    <s v="EA"/>
    <n v="174.11"/>
    <s v="INR"/>
    <n v="222860.79999999999"/>
    <n v="0"/>
    <n v="222860.79999999999"/>
    <n v="0"/>
    <n v="0"/>
    <n v="0"/>
    <n v="0"/>
    <n v="222860.79999999999"/>
    <n v="0"/>
    <n v="0"/>
    <n v="0"/>
    <n v="0"/>
    <n v="0"/>
    <n v="0"/>
    <n v="0"/>
    <n v="0"/>
    <n v="222860.79999999999"/>
    <n v="0"/>
    <n v="0"/>
    <n v="311000"/>
    <s v="SALE FINISHED GOODS"/>
    <n v="2.573"/>
    <n v="1.4910000000000001"/>
    <n v="1.0820000000000001"/>
    <s v="AA161289"/>
    <n v="1511"/>
    <s v="FG Loose 3WH"/>
    <n v="5094271171"/>
    <s v="12.05.2026"/>
  </r>
  <r>
    <n v="1115"/>
    <n v="1115"/>
    <n v="10"/>
    <n v="2"/>
    <s v="Three Wheelers"/>
    <s v="F2"/>
    <s v="COMMERCIAL INVOICE"/>
    <n v="1526007330"/>
    <n v="1000007629"/>
    <m/>
    <m/>
    <x v="11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90"/>
    <s v="EA"/>
    <n v="291.27999999999997"/>
    <s v="INR"/>
    <n v="26215.200000000001"/>
    <n v="0"/>
    <n v="26215.200000000001"/>
    <n v="0"/>
    <n v="0"/>
    <n v="0"/>
    <n v="0"/>
    <n v="26215.200000000001"/>
    <n v="0"/>
    <n v="0"/>
    <n v="0"/>
    <n v="0"/>
    <n v="0"/>
    <n v="0"/>
    <n v="0"/>
    <n v="0"/>
    <n v="26215.200000000001"/>
    <n v="0"/>
    <n v="0"/>
    <n v="311000"/>
    <s v="SALE FINISHED GOODS"/>
    <n v="2.37"/>
    <n v="2.37"/>
    <n v="0"/>
    <s v="AH115161"/>
    <n v="1511"/>
    <s v="FG Loose 3WH"/>
    <n v="5094271174"/>
    <s v="12.05.2026"/>
  </r>
  <r>
    <n v="1115"/>
    <n v="1115"/>
    <n v="10"/>
    <n v="2"/>
    <s v="Three Wheelers"/>
    <s v="F2"/>
    <s v="COMMERCIAL INVOICE"/>
    <n v="1526007329"/>
    <n v="1000007628"/>
    <m/>
    <m/>
    <x v="1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271172"/>
    <s v="12.05.2026"/>
  </r>
  <r>
    <n v="1115"/>
    <n v="1115"/>
    <n v="10"/>
    <n v="2"/>
    <s v="Three Wheelers"/>
    <s v="F2"/>
    <s v="COMMERCIAL INVOICE"/>
    <n v="1526007327"/>
    <n v="1000007627"/>
    <m/>
    <m/>
    <x v="11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s v="PENDING"/>
    <s v="Pending"/>
  </r>
  <r>
    <n v="1115"/>
    <n v="1115"/>
    <n v="10"/>
    <n v="2"/>
    <s v="Three Wheelers"/>
    <s v="F2"/>
    <s v="COMMERCIAL INVOICE"/>
    <n v="1526007326"/>
    <n v="1000007626"/>
    <m/>
    <m/>
    <x v="11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271013"/>
    <s v="12.05.2026"/>
  </r>
  <r>
    <n v="1115"/>
    <n v="1115"/>
    <n v="10"/>
    <n v="2"/>
    <s v="Three Wheelers"/>
    <s v="F2"/>
    <s v="COMMERCIAL INVOICE"/>
    <n v="1526007325"/>
    <n v="1000007625"/>
    <m/>
    <m/>
    <x v="11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n v="5094271014"/>
    <s v="12.05.2026"/>
  </r>
  <r>
    <n v="1115"/>
    <n v="1115"/>
    <n v="10"/>
    <n v="2"/>
    <s v="Three Wheelers"/>
    <s v="F2"/>
    <s v="COMMERCIAL INVOICE"/>
    <n v="1526007323"/>
    <n v="1000007624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6"/>
    <s v="EA"/>
    <n v="6570.77"/>
    <s v="INR"/>
    <n v="39424.620000000003"/>
    <n v="0"/>
    <n v="39424.620000000003"/>
    <n v="0"/>
    <n v="0"/>
    <n v="0"/>
    <n v="0"/>
    <n v="39424.620000000003"/>
    <n v="0"/>
    <n v="0"/>
    <n v="0"/>
    <n v="0"/>
    <n v="0"/>
    <n v="0"/>
    <n v="0"/>
    <n v="0"/>
    <n v="39424.620000000003"/>
    <n v="0"/>
    <n v="0"/>
    <n v="311000"/>
    <s v="SALE FINISHED GOODS"/>
    <n v="49.75"/>
    <n v="49.75"/>
    <n v="0"/>
    <s v="52AU0123"/>
    <n v="1509"/>
    <s v="FG Body"/>
    <n v="5094270816"/>
    <s v="12.05.2026"/>
  </r>
  <r>
    <n v="1115"/>
    <n v="1115"/>
    <n v="10"/>
    <n v="2"/>
    <s v="Three Wheelers"/>
    <s v="F2"/>
    <s v="COMMERCIAL INVOICE"/>
    <n v="1526007322"/>
    <n v="1000007623"/>
    <m/>
    <m/>
    <x v="1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9"/>
    <s v="EA"/>
    <n v="6500.18"/>
    <s v="INR"/>
    <n v="58501.62"/>
    <n v="0"/>
    <n v="58501.62"/>
    <n v="0"/>
    <n v="0"/>
    <n v="0"/>
    <n v="0"/>
    <n v="58501.62"/>
    <n v="0"/>
    <n v="0"/>
    <n v="0"/>
    <n v="0"/>
    <n v="0"/>
    <n v="0"/>
    <n v="0"/>
    <n v="0"/>
    <n v="58501.62"/>
    <n v="0"/>
    <n v="0"/>
    <n v="311000"/>
    <s v="SALE FINISHED GOODS"/>
    <n v="0"/>
    <n v="0"/>
    <n v="0"/>
    <s v="52AU0352"/>
    <n v="1509"/>
    <s v="FG Body"/>
    <n v="5094270817"/>
    <s v="12.05.2026"/>
  </r>
  <r>
    <n v="1115"/>
    <n v="1115"/>
    <n v="10"/>
    <n v="2"/>
    <s v="Three Wheelers"/>
    <s v="F2"/>
    <s v="COMMERCIAL INVOICE"/>
    <n v="1526007321"/>
    <n v="1000007622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7320"/>
    <n v="1000007621"/>
    <m/>
    <m/>
    <x v="1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75967"/>
    <s v="12.05.2026"/>
  </r>
  <r>
    <n v="1115"/>
    <n v="1115"/>
    <n v="10"/>
    <n v="2"/>
    <s v="Three Wheelers"/>
    <s v="F2"/>
    <s v="COMMERCIAL INVOICE"/>
    <n v="1526007319"/>
    <n v="1000007620"/>
    <m/>
    <m/>
    <x v="1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63125"/>
    <s v="12.05.2026"/>
  </r>
  <r>
    <n v="1115"/>
    <n v="1115"/>
    <n v="10"/>
    <n v="2"/>
    <s v="Three Wheelers"/>
    <s v="F2"/>
    <s v="COMMERCIAL INVOICE"/>
    <n v="1526007317"/>
    <n v="1000007617"/>
    <m/>
    <m/>
    <x v="11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90"/>
    <s v="EA"/>
    <n v="380.93"/>
    <s v="INR"/>
    <n v="34283.699999999997"/>
    <n v="0"/>
    <n v="34283.699999999997"/>
    <n v="0"/>
    <n v="0"/>
    <n v="0"/>
    <n v="0"/>
    <n v="34283.699999999997"/>
    <n v="0"/>
    <n v="0"/>
    <n v="0"/>
    <n v="0"/>
    <n v="0"/>
    <n v="0"/>
    <n v="0"/>
    <n v="0"/>
    <n v="34283.699999999997"/>
    <n v="0"/>
    <n v="0"/>
    <n v="311000"/>
    <s v="SALE FINISHED GOODS"/>
    <n v="2.13"/>
    <n v="2.13"/>
    <n v="0"/>
    <s v="AH111571"/>
    <n v="1511"/>
    <s v="FG Loose 3WH"/>
    <n v="5094269449"/>
    <s v="12.05.2026"/>
  </r>
  <r>
    <n v="1115"/>
    <n v="1115"/>
    <n v="10"/>
    <n v="2"/>
    <s v="Three Wheelers"/>
    <s v="F2"/>
    <s v="COMMERCIAL INVOICE"/>
    <n v="1526007315"/>
    <n v="1000007615"/>
    <m/>
    <m/>
    <x v="11"/>
    <n v="5100001919"/>
    <s v="ZSCH"/>
    <s v="Normal Sales"/>
    <n v="5500000930"/>
    <s v="23.07.2024"/>
    <n v="5356"/>
    <s v="LUMINAZ SAFETY GLASS PVT. LTD."/>
    <m/>
    <m/>
    <m/>
    <n v="1402010547"/>
    <s v="AA231598 - MUDGAURD ASSEMBLY REAR RH"/>
    <x v="3"/>
    <n v="87082900"/>
    <n v="140"/>
    <s v="EA"/>
    <n v="108.65"/>
    <s v="INR"/>
    <n v="15211"/>
    <n v="0"/>
    <n v="15211"/>
    <n v="0"/>
    <n v="0"/>
    <n v="0"/>
    <n v="0"/>
    <n v="15211"/>
    <n v="0"/>
    <n v="0"/>
    <n v="0"/>
    <n v="0"/>
    <n v="0"/>
    <n v="0"/>
    <n v="0"/>
    <n v="0"/>
    <n v="15211"/>
    <n v="0"/>
    <n v="0"/>
    <n v="311001"/>
    <s v="SALE SEMI FINISHED"/>
    <n v="1.75"/>
    <n v="1.75"/>
    <n v="0"/>
    <n v="2000001019"/>
    <n v="1402"/>
    <s v="SF Assembly"/>
    <s v="PENDING"/>
    <s v="Pending"/>
  </r>
  <r>
    <n v="1115"/>
    <n v="1115"/>
    <n v="10"/>
    <n v="2"/>
    <s v="Three Wheelers"/>
    <s v="F2"/>
    <s v="COMMERCIAL INVOICE"/>
    <n v="1526007314"/>
    <n v="1000007614"/>
    <m/>
    <m/>
    <x v="11"/>
    <n v="5100001919"/>
    <s v="ZSCH"/>
    <s v="Normal Sales"/>
    <n v="5500000930"/>
    <s v="23.07.2024"/>
    <n v="5356"/>
    <s v="LUMINAZ SAFETY GLASS PVT. LTD."/>
    <m/>
    <m/>
    <m/>
    <n v="1402010546"/>
    <s v="AA231597 - MUDGAURD ASSEMBLY REAR LH"/>
    <x v="3"/>
    <n v="87082900"/>
    <n v="140"/>
    <s v="EA"/>
    <n v="108.65"/>
    <s v="INR"/>
    <n v="15211"/>
    <n v="0"/>
    <n v="15211"/>
    <n v="0"/>
    <n v="0"/>
    <n v="0"/>
    <n v="0"/>
    <n v="15211"/>
    <n v="0"/>
    <n v="0"/>
    <n v="0"/>
    <n v="0"/>
    <n v="0"/>
    <n v="0"/>
    <n v="0"/>
    <n v="0"/>
    <n v="15211"/>
    <n v="0"/>
    <n v="0"/>
    <n v="311001"/>
    <s v="SALE SEMI FINISHED"/>
    <n v="1.75"/>
    <n v="1.75"/>
    <n v="0"/>
    <n v="2000001018"/>
    <n v="1402"/>
    <s v="SF Assembly"/>
    <s v="PENDING"/>
    <s v="Pending"/>
  </r>
  <r>
    <n v="1115"/>
    <n v="1115"/>
    <n v="10"/>
    <n v="2"/>
    <s v="Three Wheelers"/>
    <s v="F2"/>
    <s v="COMMERCIAL INVOICE"/>
    <n v="1526007313"/>
    <n v="1000007612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71640"/>
    <s v="12.05.2026"/>
  </r>
  <r>
    <n v="1115"/>
    <n v="1115"/>
    <n v="10"/>
    <n v="2"/>
    <s v="Three Wheelers"/>
    <s v="F2"/>
    <s v="COMMERCIAL INVOICE"/>
    <n v="1526007312"/>
    <n v="1000007611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71639"/>
    <s v="12.05.2026"/>
  </r>
  <r>
    <n v="1115"/>
    <n v="1115"/>
    <n v="10"/>
    <n v="2"/>
    <s v="Three Wheelers"/>
    <s v="F2"/>
    <s v="COMMERCIAL INVOICE"/>
    <n v="1526007311"/>
    <n v="1000007610"/>
    <m/>
    <m/>
    <x v="11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384"/>
    <s v="EA"/>
    <n v="174.61"/>
    <s v="INR"/>
    <n v="67050.240000000005"/>
    <n v="0"/>
    <n v="67050.240000000005"/>
    <n v="0"/>
    <n v="0"/>
    <n v="0"/>
    <n v="0"/>
    <n v="67050.240000000005"/>
    <n v="0"/>
    <n v="0"/>
    <n v="0"/>
    <n v="0"/>
    <n v="0"/>
    <n v="0"/>
    <n v="0"/>
    <n v="0"/>
    <n v="67050.240000000005"/>
    <n v="0"/>
    <n v="0"/>
    <n v="311000"/>
    <s v="SALE FINISHED GOODS"/>
    <n v="0"/>
    <n v="0"/>
    <n v="0"/>
    <s v="AF232042"/>
    <n v="1511"/>
    <s v="FG Loose 3WH"/>
    <n v="5094263022"/>
    <s v="12.05.2026"/>
  </r>
  <r>
    <n v="1115"/>
    <n v="1115"/>
    <n v="10"/>
    <n v="2"/>
    <s v="Three Wheelers"/>
    <s v="F2"/>
    <s v="COMMERCIAL INVOICE"/>
    <n v="1526007310"/>
    <n v="1000007609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9631"/>
    <s v="12.05.2026"/>
  </r>
  <r>
    <n v="1115"/>
    <n v="1115"/>
    <n v="10"/>
    <n v="2"/>
    <s v="Three Wheelers"/>
    <s v="F2"/>
    <s v="COMMERCIAL INVOICE"/>
    <n v="1526007309"/>
    <n v="1000007608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9414"/>
    <s v="12.05.2026"/>
  </r>
  <r>
    <n v="1115"/>
    <n v="1115"/>
    <n v="10"/>
    <n v="2"/>
    <s v="Three Wheelers"/>
    <s v="F2"/>
    <s v="COMMERCIAL INVOICE"/>
    <n v="1526007308"/>
    <n v="1000007607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6080"/>
    <s v="12.05.2026"/>
  </r>
  <r>
    <n v="1115"/>
    <n v="1115"/>
    <n v="10"/>
    <n v="2"/>
    <s v="Three Wheelers"/>
    <s v="F2"/>
    <s v="COMMERCIAL INVOICE"/>
    <n v="1526007307"/>
    <n v="1000007606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5807"/>
    <s v="12.05.2026"/>
  </r>
  <r>
    <n v="1115"/>
    <n v="1115"/>
    <n v="10"/>
    <n v="2"/>
    <s v="Three Wheelers"/>
    <s v="F2"/>
    <s v="COMMERCIAL INVOICE"/>
    <n v="1526007303"/>
    <n v="1000007599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64245"/>
    <s v="12.05.2026"/>
  </r>
  <r>
    <n v="1115"/>
    <n v="1115"/>
    <n v="10"/>
    <n v="2"/>
    <s v="Three Wheelers"/>
    <s v="F2"/>
    <s v="COMMERCIAL INVOICE"/>
    <n v="1526007302"/>
    <n v="1000007598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2618"/>
    <s v="12.05.2026"/>
  </r>
  <r>
    <n v="1115"/>
    <n v="1115"/>
    <n v="10"/>
    <n v="2"/>
    <s v="Three Wheelers"/>
    <s v="F2"/>
    <s v="COMMERCIAL INVOICE"/>
    <n v="1526007300"/>
    <n v="1000007595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5799"/>
    <s v="12.05.2026"/>
  </r>
  <r>
    <n v="1115"/>
    <n v="1115"/>
    <n v="10"/>
    <n v="2"/>
    <s v="Three Wheelers"/>
    <s v="F2"/>
    <s v="COMMERCIAL INVOICE"/>
    <n v="1526007374"/>
    <n v="1000007669"/>
    <m/>
    <m/>
    <x v="1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373"/>
    <n v="1000007668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7372"/>
    <n v="1000007667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7371"/>
    <n v="1000007666"/>
    <m/>
    <m/>
    <x v="11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273523"/>
    <s v="12.05.2026"/>
  </r>
  <r>
    <n v="1115"/>
    <n v="1115"/>
    <n v="10"/>
    <n v="2"/>
    <s v="Three Wheelers"/>
    <s v="F2"/>
    <s v="COMMERCIAL INVOICE"/>
    <n v="1526007370"/>
    <n v="1000007665"/>
    <m/>
    <m/>
    <x v="11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7369"/>
    <n v="1000007664"/>
    <m/>
    <m/>
    <x v="1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48"/>
    <s v="EA"/>
    <n v="290.89999999999998"/>
    <s v="INR"/>
    <n v="130323.2"/>
    <n v="0"/>
    <n v="130323.2"/>
    <n v="0"/>
    <n v="0"/>
    <n v="0"/>
    <n v="0"/>
    <n v="130323.2"/>
    <n v="0"/>
    <n v="0"/>
    <n v="0"/>
    <n v="0"/>
    <n v="0"/>
    <n v="0"/>
    <n v="0"/>
    <n v="0"/>
    <n v="130323.2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7368"/>
    <n v="1000007663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3521"/>
    <s v="12.05.2026"/>
  </r>
  <r>
    <n v="1115"/>
    <n v="1115"/>
    <n v="10"/>
    <n v="2"/>
    <s v="Three Wheelers"/>
    <s v="F2"/>
    <s v="COMMERCIAL INVOICE"/>
    <n v="1526007367"/>
    <n v="1000007662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3634"/>
    <s v="12.05.2026"/>
  </r>
  <r>
    <n v="1115"/>
    <n v="1115"/>
    <n v="10"/>
    <n v="2"/>
    <s v="Three Wheelers"/>
    <s v="F2"/>
    <s v="COMMERCIAL INVOICE"/>
    <n v="1526007366"/>
    <n v="1000007661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4679"/>
    <s v="12.05.2026"/>
  </r>
  <r>
    <n v="1115"/>
    <n v="1115"/>
    <n v="10"/>
    <n v="2"/>
    <s v="Three Wheelers"/>
    <s v="F2"/>
    <s v="COMMERCIAL INVOICE"/>
    <n v="1526007365"/>
    <n v="1000007660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2687"/>
    <s v="12.05.2026"/>
  </r>
  <r>
    <n v="1115"/>
    <n v="1115"/>
    <n v="10"/>
    <n v="2"/>
    <s v="Three Wheelers"/>
    <s v="F2"/>
    <s v="COMMERCIAL INVOICE"/>
    <n v="1526007364"/>
    <n v="1000007659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3522"/>
    <s v="12.05.2026"/>
  </r>
  <r>
    <n v="1115"/>
    <n v="1115"/>
    <n v="10"/>
    <n v="2"/>
    <s v="Three Wheelers"/>
    <s v="F2"/>
    <s v="COMMERCIAL INVOICE"/>
    <n v="1526007363"/>
    <n v="1000007658"/>
    <m/>
    <m/>
    <x v="11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362"/>
    <n v="1000007657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2996"/>
    <s v="12.05.2026"/>
  </r>
  <r>
    <n v="1115"/>
    <n v="1115"/>
    <n v="10"/>
    <n v="2"/>
    <s v="Three Wheelers"/>
    <s v="F2"/>
    <s v="COMMERCIAL INVOICE"/>
    <n v="1526007361"/>
    <n v="1000007656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7360"/>
    <n v="1000007655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s v="PENDING"/>
    <s v="Pending"/>
  </r>
  <r>
    <n v="1115"/>
    <n v="1115"/>
    <n v="10"/>
    <n v="2"/>
    <s v="Three Wheelers"/>
    <s v="F2"/>
    <s v="COMMERCIAL INVOICE"/>
    <n v="1526007359"/>
    <n v="1000007654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73631"/>
    <s v="12.05.2026"/>
  </r>
  <r>
    <n v="1115"/>
    <n v="1115"/>
    <n v="10"/>
    <n v="2"/>
    <s v="Three Wheelers"/>
    <s v="F2"/>
    <s v="COMMERCIAL INVOICE"/>
    <n v="1526007358"/>
    <n v="1000007653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9384"/>
    <s v="12.05.2026"/>
  </r>
  <r>
    <n v="1115"/>
    <n v="1115"/>
    <n v="10"/>
    <n v="2"/>
    <s v="Three Wheelers"/>
    <s v="F2"/>
    <s v="COMMERCIAL INVOICE"/>
    <n v="1526007357"/>
    <n v="1000007652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73519"/>
    <s v="12.05.2026"/>
  </r>
  <r>
    <n v="1115"/>
    <n v="1115"/>
    <n v="10"/>
    <n v="2"/>
    <s v="Three Wheelers"/>
    <s v="F2"/>
    <s v="COMMERCIAL INVOICE"/>
    <n v="1526007356"/>
    <n v="1000007651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72616"/>
    <s v="12.05.2026"/>
  </r>
  <r>
    <n v="1115"/>
    <n v="1115"/>
    <n v="10"/>
    <n v="2"/>
    <s v="Three Wheelers"/>
    <s v="F2"/>
    <s v="COMMERCIAL INVOICE"/>
    <n v="1526007355"/>
    <n v="1000007650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73630"/>
    <s v="12.05.2026"/>
  </r>
  <r>
    <n v="1115"/>
    <n v="1115"/>
    <n v="10"/>
    <n v="2"/>
    <s v="Three Wheelers"/>
    <s v="F2"/>
    <s v="COMMERCIAL INVOICE"/>
    <n v="1526007354"/>
    <n v="1000007649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72688"/>
    <s v="12.05.2026"/>
  </r>
  <r>
    <n v="1115"/>
    <n v="1115"/>
    <n v="10"/>
    <n v="2"/>
    <s v="Three Wheelers"/>
    <s v="F2"/>
    <s v="COMMERCIAL INVOICE"/>
    <n v="1526007353"/>
    <n v="1000007648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73629"/>
    <s v="12.05.2026"/>
  </r>
  <r>
    <n v="1115"/>
    <n v="1115"/>
    <n v="10"/>
    <n v="2"/>
    <s v="Three Wheelers"/>
    <s v="F2"/>
    <s v="COMMERCIAL INVOICE"/>
    <n v="1526007352"/>
    <n v="1000007647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n v="5094273438"/>
    <s v="12.05.2026"/>
  </r>
  <r>
    <n v="1115"/>
    <n v="1115"/>
    <n v="10"/>
    <n v="2"/>
    <s v="Three Wheelers"/>
    <s v="F2"/>
    <s v="COMMERCIAL INVOICE"/>
    <n v="1526007351"/>
    <n v="1000007646"/>
    <m/>
    <m/>
    <x v="11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7350"/>
    <n v="1000007645"/>
    <m/>
    <m/>
    <x v="11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7349"/>
    <n v="1000007644"/>
    <m/>
    <m/>
    <x v="11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272666"/>
    <s v="12.05.2026"/>
  </r>
  <r>
    <n v="1115"/>
    <n v="1115"/>
    <n v="10"/>
    <n v="2"/>
    <s v="Three Wheelers"/>
    <s v="F2"/>
    <s v="COMMERCIAL INVOICE"/>
    <n v="1526007346"/>
    <n v="1000007641"/>
    <m/>
    <m/>
    <x v="11"/>
    <n v="5100001919"/>
    <s v="ZSCH"/>
    <s v="Normal Sales"/>
    <n v="5500000930"/>
    <s v="23.07.2024"/>
    <n v="5356"/>
    <s v="LUMINAZ SAFETY GLASS PVT. LTD."/>
    <m/>
    <m/>
    <m/>
    <n v="1402010547"/>
    <s v="AA231598 - MUDGAURD ASSEMBLY REAR RH"/>
    <x v="3"/>
    <n v="87082900"/>
    <n v="140"/>
    <s v="EA"/>
    <n v="108.65"/>
    <s v="INR"/>
    <n v="15211"/>
    <n v="0"/>
    <n v="15211"/>
    <n v="0"/>
    <n v="0"/>
    <n v="0"/>
    <n v="0"/>
    <n v="15211"/>
    <n v="0"/>
    <n v="0"/>
    <n v="0"/>
    <n v="0"/>
    <n v="0"/>
    <n v="0"/>
    <n v="0"/>
    <n v="0"/>
    <n v="15211"/>
    <n v="0"/>
    <n v="0"/>
    <n v="311001"/>
    <s v="SALE SEMI FINISHED"/>
    <n v="1.75"/>
    <n v="1.75"/>
    <n v="0"/>
    <n v="2000001019"/>
    <n v="1402"/>
    <s v="SF Assembly"/>
    <s v="PENDING"/>
    <s v="Pending"/>
  </r>
  <r>
    <n v="1115"/>
    <n v="1115"/>
    <n v="10"/>
    <n v="2"/>
    <s v="Three Wheelers"/>
    <s v="F2"/>
    <s v="COMMERCIAL INVOICE"/>
    <n v="1526007345"/>
    <n v="1000007640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2721"/>
    <s v="12.05.2026"/>
  </r>
  <r>
    <n v="1115"/>
    <n v="1115"/>
    <n v="10"/>
    <n v="2"/>
    <s v="Three Wheelers"/>
    <s v="F2"/>
    <s v="COMMERCIAL INVOICE"/>
    <n v="1526007344"/>
    <n v="1000007639"/>
    <m/>
    <m/>
    <x v="11"/>
    <n v="5100001919"/>
    <s v="ZSCH"/>
    <s v="Normal Sales"/>
    <n v="5500000930"/>
    <s v="23.07.2024"/>
    <n v="5356"/>
    <s v="LUMINAZ SAFETY GLASS PVT. LTD."/>
    <m/>
    <m/>
    <m/>
    <n v="1402010546"/>
    <s v="AA231597 - MUDGAURD ASSEMBLY REAR LH"/>
    <x v="3"/>
    <n v="87082900"/>
    <n v="140"/>
    <s v="EA"/>
    <n v="108.65"/>
    <s v="INR"/>
    <n v="15211"/>
    <n v="0"/>
    <n v="15211"/>
    <n v="0"/>
    <n v="0"/>
    <n v="0"/>
    <n v="0"/>
    <n v="15211"/>
    <n v="0"/>
    <n v="0"/>
    <n v="0"/>
    <n v="0"/>
    <n v="0"/>
    <n v="0"/>
    <n v="0"/>
    <n v="0"/>
    <n v="15211"/>
    <n v="0"/>
    <n v="0"/>
    <n v="311001"/>
    <s v="SALE SEMI FINISHED"/>
    <n v="1.75"/>
    <n v="1.75"/>
    <n v="0"/>
    <n v="2000001018"/>
    <n v="1402"/>
    <s v="SF Assembly"/>
    <s v="PENDING"/>
    <s v="Pending"/>
  </r>
  <r>
    <n v="1115"/>
    <n v="1115"/>
    <n v="10"/>
    <n v="2"/>
    <s v="Three Wheelers"/>
    <s v="F2"/>
    <s v="COMMERCIAL INVOICE"/>
    <n v="1526007343"/>
    <n v="1000007638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69383"/>
    <s v="12.05.2026"/>
  </r>
  <r>
    <n v="1115"/>
    <n v="1115"/>
    <n v="10"/>
    <n v="2"/>
    <s v="Three Wheelers"/>
    <s v="F2"/>
    <s v="COMMERCIAL INVOICE"/>
    <n v="1526007342"/>
    <n v="1000007637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9726"/>
    <s v="12.05.2026"/>
  </r>
  <r>
    <n v="1115"/>
    <n v="1115"/>
    <n v="10"/>
    <n v="2"/>
    <s v="Three Wheelers"/>
    <s v="F2"/>
    <s v="COMMERCIAL INVOICE"/>
    <n v="1526007441"/>
    <n v="1000007736"/>
    <m/>
    <m/>
    <x v="10"/>
    <n v="5100001946"/>
    <s v="ZSCH"/>
    <s v="Normal Sales"/>
    <n v="4110063010"/>
    <s v="27.11.2025"/>
    <n v="5000"/>
    <s v="BAJAJ AUTO LIMITED (WALUJ)"/>
    <m/>
    <m/>
    <s v="27340676530V"/>
    <n v="1502040308"/>
    <s v="AH181453 MUDGUARD ASSEMBLY FRONT"/>
    <x v="3"/>
    <n v="87082900"/>
    <n v="34"/>
    <s v="EA"/>
    <n v="427.17"/>
    <s v="INR"/>
    <n v="14523.78"/>
    <n v="0"/>
    <n v="14523.78"/>
    <n v="0"/>
    <n v="0"/>
    <n v="0"/>
    <n v="0"/>
    <n v="14523.78"/>
    <n v="0"/>
    <n v="0"/>
    <n v="0"/>
    <n v="0"/>
    <n v="0"/>
    <n v="0"/>
    <n v="0"/>
    <n v="0"/>
    <n v="14523.78"/>
    <n v="0"/>
    <n v="0"/>
    <n v="311000"/>
    <s v="SALE FINISHED GOODS"/>
    <n v="2.504"/>
    <n v="2.5"/>
    <n v="4.0000000000000001E-3"/>
    <s v="AH181453"/>
    <n v="1511"/>
    <s v="FG Loose 3WH"/>
    <s v="PENDING"/>
    <s v="Pending"/>
  </r>
  <r>
    <n v="1115"/>
    <n v="1115"/>
    <n v="10"/>
    <n v="2"/>
    <s v="Three Wheelers"/>
    <s v="F2"/>
    <s v="COMMERCIAL INVOICE"/>
    <n v="1526007559"/>
    <n v="1000007862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558"/>
    <n v="1000007861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557"/>
    <n v="1000007859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556"/>
    <n v="1000007858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55"/>
    <n v="1000007857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53"/>
    <n v="1000007855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552"/>
    <n v="1000007854"/>
    <m/>
    <m/>
    <x v="10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90"/>
    <s v="EA"/>
    <n v="291.27999999999997"/>
    <s v="INR"/>
    <n v="26215.200000000001"/>
    <n v="0"/>
    <n v="26215.200000000001"/>
    <n v="0"/>
    <n v="0"/>
    <n v="0"/>
    <n v="0"/>
    <n v="26215.200000000001"/>
    <n v="0"/>
    <n v="0"/>
    <n v="0"/>
    <n v="0"/>
    <n v="0"/>
    <n v="0"/>
    <n v="0"/>
    <n v="0"/>
    <n v="26215.200000000001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7551"/>
    <n v="1000007853"/>
    <m/>
    <m/>
    <x v="10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7550"/>
    <n v="1000007852"/>
    <m/>
    <m/>
    <x v="10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189"/>
    <s v="EA"/>
    <n v="136.6"/>
    <s v="INR"/>
    <n v="25817.4"/>
    <n v="0"/>
    <n v="25817.4"/>
    <n v="0"/>
    <n v="0"/>
    <n v="0"/>
    <n v="0"/>
    <n v="25817.4"/>
    <n v="0"/>
    <n v="0"/>
    <n v="0"/>
    <n v="0"/>
    <n v="0"/>
    <n v="0"/>
    <n v="0"/>
    <n v="0"/>
    <n v="25817.4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7549"/>
    <n v="1000007851"/>
    <m/>
    <m/>
    <x v="10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1280"/>
    <s v="EA"/>
    <n v="174.11"/>
    <s v="INR"/>
    <n v="222860.79999999999"/>
    <n v="0"/>
    <n v="222860.79999999999"/>
    <n v="0"/>
    <n v="0"/>
    <n v="0"/>
    <n v="0"/>
    <n v="222860.79999999999"/>
    <n v="0"/>
    <n v="0"/>
    <n v="0"/>
    <n v="0"/>
    <n v="0"/>
    <n v="0"/>
    <n v="0"/>
    <n v="0"/>
    <n v="222860.79999999999"/>
    <n v="0"/>
    <n v="0"/>
    <n v="311000"/>
    <s v="SALE FINISHED GOODS"/>
    <n v="2.573"/>
    <n v="1.4910000000000001"/>
    <n v="1.0820000000000001"/>
    <s v="AA161289"/>
    <n v="1511"/>
    <s v="FG Loose 3WH"/>
    <s v="PENDING"/>
    <s v="Pending"/>
  </r>
  <r>
    <n v="1115"/>
    <n v="1115"/>
    <n v="10"/>
    <n v="2"/>
    <s v="Three Wheelers"/>
    <s v="F2"/>
    <s v="COMMERCIAL INVOICE"/>
    <n v="1526007548"/>
    <n v="1000007850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547"/>
    <n v="1000007849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546"/>
    <n v="1000007848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545"/>
    <n v="1000007847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544"/>
    <n v="1000007846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43"/>
    <n v="1000007845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42"/>
    <n v="1000007844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41"/>
    <n v="1000007843"/>
    <m/>
    <m/>
    <x v="10"/>
    <n v="5100001907"/>
    <s v="ZSCH"/>
    <s v="Normal Sales"/>
    <n v="4110046150"/>
    <s v="11.10.2023"/>
    <n v="5000"/>
    <s v="BAJAJ AUTO LIMITED (WALUJ)"/>
    <m/>
    <m/>
    <s v="27340676530V"/>
    <n v="1502040271"/>
    <s v="AH181418_03 MUDGUARD ASSLY FRONT"/>
    <x v="16"/>
    <n v="87082900"/>
    <n v="100"/>
    <s v="EA"/>
    <n v="402.9"/>
    <s v="INR"/>
    <n v="40290"/>
    <n v="0"/>
    <n v="40290"/>
    <n v="0"/>
    <n v="0"/>
    <n v="0"/>
    <n v="0"/>
    <n v="40290"/>
    <n v="0"/>
    <n v="0"/>
    <n v="0"/>
    <n v="0"/>
    <n v="0"/>
    <n v="0"/>
    <n v="0"/>
    <n v="0"/>
    <n v="40290"/>
    <n v="0"/>
    <n v="0"/>
    <n v="311000"/>
    <s v="SALE FINISHED GOODS"/>
    <n v="1.82"/>
    <n v="1.82"/>
    <n v="0"/>
    <s v="AH181418"/>
    <n v="1511"/>
    <s v="FG Loose 3WH"/>
    <s v="PENDING"/>
    <s v="Pending"/>
  </r>
  <r>
    <n v="1115"/>
    <n v="1115"/>
    <n v="10"/>
    <n v="2"/>
    <s v="Three Wheelers"/>
    <s v="F2"/>
    <s v="COMMERCIAL INVOICE"/>
    <n v="1526007540"/>
    <n v="1000007842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39"/>
    <n v="1000007840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538"/>
    <n v="1000007839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537"/>
    <n v="1000007838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536"/>
    <n v="1000007837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35"/>
    <n v="1000007835"/>
    <m/>
    <m/>
    <x v="10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7534"/>
    <n v="1000007834"/>
    <m/>
    <m/>
    <x v="10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S1"/>
    <s v="Cancel. Invoice (S1)"/>
    <n v="1526007532"/>
    <n v="1000007833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-8"/>
    <s v="EA"/>
    <n v="8593.51"/>
    <s v="INR"/>
    <n v="-68748.08"/>
    <n v="0"/>
    <n v="-68748.08"/>
    <n v="0"/>
    <n v="0"/>
    <n v="0"/>
    <n v="0"/>
    <n v="-68748.08"/>
    <n v="0"/>
    <n v="0"/>
    <n v="0"/>
    <n v="0"/>
    <n v="0"/>
    <n v="0"/>
    <n v="0"/>
    <n v="0"/>
    <n v="-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530"/>
    <n v="1000007831"/>
    <m/>
    <m/>
    <x v="10"/>
    <n v="5100001552"/>
    <s v="ZSCH"/>
    <s v="Normal Sales"/>
    <n v="4110023205"/>
    <s v="12.12.2019"/>
    <n v="5000"/>
    <s v="BAJAJ AUTO LIMITED (WALUJ)"/>
    <m/>
    <m/>
    <s v="27340676530V"/>
    <n v="1502040233"/>
    <s v="BB161099 MUDGUARD FRONT REFL"/>
    <x v="3"/>
    <n v="87082900"/>
    <n v="500"/>
    <s v="EA"/>
    <n v="317.45999999999998"/>
    <s v="INR"/>
    <n v="158730"/>
    <n v="0"/>
    <n v="158730"/>
    <n v="0"/>
    <n v="0"/>
    <n v="0"/>
    <n v="0"/>
    <n v="158730"/>
    <n v="0"/>
    <n v="0"/>
    <n v="0"/>
    <n v="0"/>
    <n v="0"/>
    <n v="0"/>
    <n v="0"/>
    <n v="0"/>
    <n v="158730"/>
    <n v="0"/>
    <n v="0"/>
    <n v="311000"/>
    <s v="SALE FINISHED GOODS"/>
    <n v="3.4"/>
    <n v="2"/>
    <n v="1.4"/>
    <s v="BB161099"/>
    <n v="1511"/>
    <s v="FG Loose 3WH"/>
    <s v="PENDING"/>
    <s v="Pending"/>
  </r>
  <r>
    <n v="1115"/>
    <n v="1115"/>
    <n v="10"/>
    <n v="2"/>
    <s v="Three Wheelers"/>
    <s v="F2"/>
    <s v="COMMERCIAL INVOICE"/>
    <n v="1526007529"/>
    <n v="1000007830"/>
    <m/>
    <m/>
    <x v="10"/>
    <n v="5100001946"/>
    <s v="ZSCH"/>
    <s v="Normal Sales"/>
    <n v="4110063010"/>
    <s v="27.11.2025"/>
    <n v="5000"/>
    <s v="BAJAJ AUTO LIMITED (WALUJ)"/>
    <m/>
    <m/>
    <s v="27340676530V"/>
    <n v="1502040308"/>
    <s v="AH181453 MUDGUARD ASSEMBLY FRONT"/>
    <x v="3"/>
    <n v="87082900"/>
    <n v="65"/>
    <s v="EA"/>
    <n v="427.17"/>
    <s v="INR"/>
    <n v="27766.05"/>
    <n v="0"/>
    <n v="27766.05"/>
    <n v="0"/>
    <n v="0"/>
    <n v="0"/>
    <n v="0"/>
    <n v="27766.05"/>
    <n v="0"/>
    <n v="0"/>
    <n v="0"/>
    <n v="0"/>
    <n v="0"/>
    <n v="0"/>
    <n v="0"/>
    <n v="0"/>
    <n v="27766.05"/>
    <n v="0"/>
    <n v="0"/>
    <n v="311000"/>
    <s v="SALE FINISHED GOODS"/>
    <n v="2.504"/>
    <n v="2.5"/>
    <n v="4.0000000000000001E-3"/>
    <s v="AH181453"/>
    <n v="1511"/>
    <s v="FG Loose 3WH"/>
    <s v="PENDING"/>
    <s v="Pending"/>
  </r>
  <r>
    <n v="1115"/>
    <n v="1115"/>
    <n v="10"/>
    <n v="2"/>
    <s v="Three Wheelers"/>
    <s v="F2"/>
    <s v="COMMERCIAL INVOICE"/>
    <n v="1526007528"/>
    <n v="1000007829"/>
    <m/>
    <m/>
    <x v="10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s v="PENDING"/>
    <s v="Pending"/>
  </r>
  <r>
    <n v="1115"/>
    <n v="1115"/>
    <n v="10"/>
    <n v="2"/>
    <s v="Three Wheelers"/>
    <s v="F2"/>
    <s v="COMMERCIAL INVOICE"/>
    <n v="1526007527"/>
    <n v="1000007828"/>
    <m/>
    <m/>
    <x v="10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s v="PENDING"/>
    <s v="Pending"/>
  </r>
  <r>
    <n v="1115"/>
    <n v="1115"/>
    <n v="10"/>
    <n v="2"/>
    <s v="Three Wheelers"/>
    <s v="F2"/>
    <s v="COMMERCIAL INVOICE"/>
    <n v="1526007525"/>
    <n v="1000007826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590"/>
    <n v="1000007893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89"/>
    <n v="1000007892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88"/>
    <n v="1000007891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87"/>
    <n v="1000007890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86"/>
    <n v="1000007889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85"/>
    <n v="1000007888"/>
    <m/>
    <m/>
    <x v="10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90"/>
    <s v="EA"/>
    <n v="291.27999999999997"/>
    <s v="INR"/>
    <n v="26215.200000000001"/>
    <n v="0"/>
    <n v="26215.200000000001"/>
    <n v="0"/>
    <n v="0"/>
    <n v="0"/>
    <n v="0"/>
    <n v="26215.200000000001"/>
    <n v="0"/>
    <n v="0"/>
    <n v="0"/>
    <n v="0"/>
    <n v="0"/>
    <n v="0"/>
    <n v="0"/>
    <n v="0"/>
    <n v="26215.200000000001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7584"/>
    <n v="1000007887"/>
    <m/>
    <m/>
    <x v="10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7583"/>
    <n v="1000007886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82"/>
    <n v="1000007885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81"/>
    <n v="1000007884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80"/>
    <n v="1000007883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79"/>
    <n v="1000007882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78"/>
    <n v="1000007881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77"/>
    <n v="1000007880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76"/>
    <n v="1000007879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75"/>
    <n v="1000007878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74"/>
    <n v="1000007877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73"/>
    <n v="1000007876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72"/>
    <n v="1000007875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71"/>
    <n v="1000007874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70"/>
    <n v="1000007873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69"/>
    <n v="1000007872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68"/>
    <n v="1000007871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67"/>
    <n v="1000007870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66"/>
    <n v="1000007869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65"/>
    <n v="1000007868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64"/>
    <n v="1000007867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63"/>
    <n v="1000007866"/>
    <m/>
    <m/>
    <x v="10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s v="PENDING"/>
    <s v="Pending"/>
  </r>
  <r>
    <n v="1115"/>
    <n v="1115"/>
    <n v="10"/>
    <n v="2"/>
    <s v="Three Wheelers"/>
    <s v="F2"/>
    <s v="COMMERCIAL INVOICE"/>
    <n v="1526007562"/>
    <n v="1000007865"/>
    <m/>
    <m/>
    <x v="10"/>
    <n v="5100001919"/>
    <s v="ZSCH"/>
    <s v="Normal Sales"/>
    <n v="5500000930"/>
    <s v="23.07.2024"/>
    <n v="5356"/>
    <s v="LUMINAZ SAFETY GLASS PVT. LTD."/>
    <m/>
    <m/>
    <m/>
    <n v="1402010547"/>
    <s v="AA231598 - MUDGAURD ASSEMBLY REAR RH"/>
    <x v="3"/>
    <n v="87082900"/>
    <n v="140"/>
    <s v="EA"/>
    <n v="108.65"/>
    <s v="INR"/>
    <n v="15211"/>
    <n v="0"/>
    <n v="15211"/>
    <n v="0"/>
    <n v="0"/>
    <n v="0"/>
    <n v="0"/>
    <n v="15211"/>
    <n v="0"/>
    <n v="0"/>
    <n v="0"/>
    <n v="0"/>
    <n v="0"/>
    <n v="0"/>
    <n v="0"/>
    <n v="0"/>
    <n v="15211"/>
    <n v="0"/>
    <n v="0"/>
    <n v="311001"/>
    <s v="SALE SEMI FINISHED"/>
    <n v="1.75"/>
    <n v="1.75"/>
    <n v="0"/>
    <n v="2000001019"/>
    <n v="1402"/>
    <s v="SF Assembly"/>
    <s v="PENDING"/>
    <s v="Pending"/>
  </r>
  <r>
    <n v="1115"/>
    <n v="1115"/>
    <n v="10"/>
    <n v="2"/>
    <s v="Three Wheelers"/>
    <s v="F2"/>
    <s v="COMMERCIAL INVOICE"/>
    <n v="1526007561"/>
    <n v="1000007864"/>
    <m/>
    <m/>
    <x v="10"/>
    <n v="5100001919"/>
    <s v="ZSCH"/>
    <s v="Normal Sales"/>
    <n v="5500000930"/>
    <s v="23.07.2024"/>
    <n v="5356"/>
    <s v="LUMINAZ SAFETY GLASS PVT. LTD."/>
    <m/>
    <m/>
    <m/>
    <n v="1402010546"/>
    <s v="AA231597 - MUDGAURD ASSEMBLY REAR LH"/>
    <x v="3"/>
    <n v="87082900"/>
    <n v="140"/>
    <s v="EA"/>
    <n v="108.65"/>
    <s v="INR"/>
    <n v="15211"/>
    <n v="0"/>
    <n v="15211"/>
    <n v="0"/>
    <n v="0"/>
    <n v="0"/>
    <n v="0"/>
    <n v="15211"/>
    <n v="0"/>
    <n v="0"/>
    <n v="0"/>
    <n v="0"/>
    <n v="0"/>
    <n v="0"/>
    <n v="0"/>
    <n v="0"/>
    <n v="15211"/>
    <n v="0"/>
    <n v="0"/>
    <n v="311001"/>
    <s v="SALE SEMI FINISHED"/>
    <n v="1.75"/>
    <n v="1.75"/>
    <n v="0"/>
    <n v="2000001018"/>
    <n v="1402"/>
    <s v="SF Assembly"/>
    <s v="PENDING"/>
    <s v="Pending"/>
  </r>
  <r>
    <n v="1115"/>
    <n v="1115"/>
    <n v="10"/>
    <n v="2"/>
    <s v="Three Wheelers"/>
    <s v="F2"/>
    <s v="COMMERCIAL INVOICE"/>
    <n v="1526007560"/>
    <n v="1000007863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524"/>
    <n v="1000007823"/>
    <m/>
    <m/>
    <x v="10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192"/>
    <s v="EA"/>
    <n v="174.61"/>
    <s v="INR"/>
    <n v="33525.120000000003"/>
    <n v="0"/>
    <n v="33525.120000000003"/>
    <n v="0"/>
    <n v="0"/>
    <n v="0"/>
    <n v="0"/>
    <n v="33525.120000000003"/>
    <n v="0"/>
    <n v="0"/>
    <n v="0"/>
    <n v="0"/>
    <n v="0"/>
    <n v="0"/>
    <n v="0"/>
    <n v="0"/>
    <n v="33525.120000000003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7485"/>
    <n v="1000007780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84"/>
    <n v="1000007779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82"/>
    <n v="1000007776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480"/>
    <n v="1000007775"/>
    <m/>
    <m/>
    <x v="10"/>
    <n v="5200000345"/>
    <s v="ZSPR"/>
    <s v="Spare Sales"/>
    <n v="4310004528"/>
    <s v="27.07.2017"/>
    <n v="5000"/>
    <s v="BAJAJ AUTO LIMITED (WALUJ)"/>
    <m/>
    <m/>
    <s v="27340676530V"/>
    <n v="1502040214"/>
    <s v="24231713 ASSLY KNOB FOR REAR DOOR"/>
    <x v="13"/>
    <n v="87082900"/>
    <n v="270"/>
    <s v="EA"/>
    <n v="7.72"/>
    <s v="INR"/>
    <n v="2084.4"/>
    <n v="0"/>
    <n v="2084.4"/>
    <n v="0"/>
    <n v="0"/>
    <n v="0"/>
    <n v="0"/>
    <n v="2084.4"/>
    <n v="0"/>
    <n v="0"/>
    <n v="0"/>
    <n v="0"/>
    <n v="0"/>
    <n v="0"/>
    <n v="0"/>
    <n v="0"/>
    <n v="2084.4"/>
    <n v="0"/>
    <n v="0"/>
    <n v="311000"/>
    <s v="SALE FINISHED GOODS"/>
    <n v="0.125"/>
    <n v="0.125"/>
    <n v="0"/>
    <n v="24231713"/>
    <n v="1511"/>
    <s v="FG Loose 3WH"/>
    <s v="PENDING"/>
    <s v="Pending"/>
  </r>
  <r>
    <n v="1115"/>
    <n v="1115"/>
    <n v="10"/>
    <n v="2"/>
    <s v="Three Wheelers"/>
    <s v="F2"/>
    <s v="COMMERCIAL INVOICE"/>
    <n v="1526007479"/>
    <n v="1000007774"/>
    <m/>
    <m/>
    <x v="10"/>
    <n v="5200000433"/>
    <s v="ZSPR"/>
    <s v="Spare Sales"/>
    <n v="4310040987"/>
    <s v="22.10.2020"/>
    <n v="5000"/>
    <s v="BAJAJ AUTO LIMITED (WALUJ)"/>
    <m/>
    <m/>
    <s v="27340676530V"/>
    <n v="1502040236"/>
    <s v="AF231720 TUBE ASSLY SUPPORT BACKREST"/>
    <x v="10"/>
    <n v="87082900"/>
    <n v="225"/>
    <s v="EA"/>
    <n v="134.19999999999999"/>
    <s v="INR"/>
    <n v="30195"/>
    <n v="0"/>
    <n v="30195"/>
    <n v="0"/>
    <n v="0"/>
    <n v="0"/>
    <n v="0"/>
    <n v="30195"/>
    <n v="0"/>
    <n v="0"/>
    <n v="0"/>
    <n v="0"/>
    <n v="0"/>
    <n v="0"/>
    <n v="0"/>
    <n v="0"/>
    <n v="30195"/>
    <n v="0"/>
    <n v="0"/>
    <n v="311000"/>
    <s v="SALE FINISHED GOODS"/>
    <n v="1.19"/>
    <n v="1.19"/>
    <n v="0"/>
    <s v="AF231720"/>
    <n v="1511"/>
    <s v="FG Loose 3WH"/>
    <s v="PENDING"/>
    <s v="Pending"/>
  </r>
  <r>
    <n v="1115"/>
    <n v="1115"/>
    <n v="10"/>
    <n v="2"/>
    <s v="Three Wheelers"/>
    <s v="F2"/>
    <s v="COMMERCIAL INVOICE"/>
    <n v="1526007478"/>
    <n v="1000007773"/>
    <m/>
    <m/>
    <x v="10"/>
    <n v="5200000328"/>
    <s v="ZSPR"/>
    <s v="Spare Sales"/>
    <n v="4310001699"/>
    <s v="01.07.2017"/>
    <n v="5000"/>
    <s v="BAJAJ AUTO LIMITED (WALUJ)"/>
    <m/>
    <m/>
    <s v="27340676530V"/>
    <n v="1502010019"/>
    <s v="GREASE CUP NUT"/>
    <x v="13"/>
    <n v="87082900"/>
    <n v="13000"/>
    <s v="EA"/>
    <n v="13.37"/>
    <s v="INR"/>
    <n v="173810"/>
    <n v="0"/>
    <n v="173810"/>
    <n v="0"/>
    <n v="0"/>
    <n v="0"/>
    <n v="0"/>
    <n v="173810"/>
    <n v="0"/>
    <n v="0"/>
    <n v="0"/>
    <n v="0"/>
    <n v="0"/>
    <n v="0"/>
    <n v="0"/>
    <n v="0"/>
    <n v="173810"/>
    <n v="0"/>
    <n v="0"/>
    <n v="311000"/>
    <s v="SALE FINISHED GOODS"/>
    <n v="7.0000000000000007E-2"/>
    <n v="4.2000000000000003E-2"/>
    <n v="2.8000000000000001E-2"/>
    <s v="AB171022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77"/>
    <n v="1000007772"/>
    <m/>
    <m/>
    <x v="10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288"/>
    <s v="EA"/>
    <n v="134.19999999999999"/>
    <s v="INR"/>
    <n v="38649.599999999999"/>
    <n v="0"/>
    <n v="38649.599999999999"/>
    <n v="0"/>
    <n v="0"/>
    <n v="0"/>
    <n v="0"/>
    <n v="38649.599999999999"/>
    <n v="0"/>
    <n v="0"/>
    <n v="0"/>
    <n v="0"/>
    <n v="0"/>
    <n v="0"/>
    <n v="0"/>
    <n v="0"/>
    <n v="38649.599999999999"/>
    <n v="0"/>
    <n v="0"/>
    <n v="311000"/>
    <s v="SALE FINISHED GOODS"/>
    <n v="1.19"/>
    <n v="1.19"/>
    <n v="0"/>
    <s v="AF231720"/>
    <n v="1511"/>
    <s v="FG Loose 3WH"/>
    <s v="PENDING"/>
    <s v="Pending"/>
  </r>
  <r>
    <n v="1115"/>
    <n v="1115"/>
    <n v="10"/>
    <n v="2"/>
    <s v="Three Wheelers"/>
    <s v="F2"/>
    <s v="COMMERCIAL INVOICE"/>
    <n v="1526007476"/>
    <n v="1000007771"/>
    <m/>
    <m/>
    <x v="10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288"/>
    <s v="EA"/>
    <n v="174.61"/>
    <s v="INR"/>
    <n v="50287.68"/>
    <n v="0"/>
    <n v="50287.68"/>
    <n v="0"/>
    <n v="0"/>
    <n v="0"/>
    <n v="0"/>
    <n v="50287.68"/>
    <n v="0"/>
    <n v="0"/>
    <n v="0"/>
    <n v="0"/>
    <n v="0"/>
    <n v="0"/>
    <n v="0"/>
    <n v="0"/>
    <n v="50287.68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7475"/>
    <n v="1000007770"/>
    <m/>
    <m/>
    <x v="10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s v="PENDING"/>
    <s v="Pending"/>
  </r>
  <r>
    <n v="1115"/>
    <n v="1115"/>
    <n v="10"/>
    <n v="2"/>
    <s v="Three Wheelers"/>
    <s v="F2"/>
    <s v="COMMERCIAL INVOICE"/>
    <n v="1526007474"/>
    <n v="1000007769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73"/>
    <n v="1000007768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72"/>
    <n v="1000007767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71"/>
    <n v="1000007766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70"/>
    <n v="1000007765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69"/>
    <n v="1000007764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68"/>
    <n v="1000007763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67"/>
    <n v="1000007762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66"/>
    <n v="1000007761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65"/>
    <n v="1000007760"/>
    <m/>
    <m/>
    <x v="10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s v="PENDING"/>
    <s v="Pending"/>
  </r>
  <r>
    <n v="1115"/>
    <n v="1115"/>
    <n v="10"/>
    <n v="2"/>
    <s v="Three Wheelers"/>
    <s v="F2"/>
    <s v="COMMERCIAL INVOICE"/>
    <n v="1526007462"/>
    <n v="1000007757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61"/>
    <n v="1000007756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60"/>
    <n v="1000007755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59"/>
    <n v="1000007754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53"/>
    <n v="1000007749"/>
    <m/>
    <m/>
    <x v="10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480"/>
    <s v="EA"/>
    <n v="174.61"/>
    <s v="INR"/>
    <n v="83812.800000000003"/>
    <n v="0"/>
    <n v="83812.800000000003"/>
    <n v="0"/>
    <n v="0"/>
    <n v="0"/>
    <n v="0"/>
    <n v="83812.800000000003"/>
    <n v="0"/>
    <n v="0"/>
    <n v="0"/>
    <n v="0"/>
    <n v="0"/>
    <n v="0"/>
    <n v="0"/>
    <n v="0"/>
    <n v="83812.800000000003"/>
    <n v="0"/>
    <n v="0"/>
    <n v="311000"/>
    <s v="SALE FINISHED GOODS"/>
    <n v="0"/>
    <n v="0"/>
    <n v="0"/>
    <s v="AF232042"/>
    <n v="1511"/>
    <s v="FG Loose 3WH"/>
    <s v="PENDING"/>
    <s v="Pending"/>
  </r>
  <r>
    <n v="1115"/>
    <n v="1115"/>
    <n v="10"/>
    <n v="2"/>
    <s v="Three Wheelers"/>
    <s v="F2"/>
    <s v="COMMERCIAL INVOICE"/>
    <n v="1526007452"/>
    <n v="1000007748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51"/>
    <n v="1000007747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50"/>
    <n v="1000007746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447"/>
    <n v="1000007744"/>
    <m/>
    <m/>
    <x v="10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90"/>
    <s v="EA"/>
    <n v="291.27999999999997"/>
    <s v="INR"/>
    <n v="26215.200000000001"/>
    <n v="0"/>
    <n v="26215.200000000001"/>
    <n v="0"/>
    <n v="0"/>
    <n v="0"/>
    <n v="0"/>
    <n v="26215.200000000001"/>
    <n v="0"/>
    <n v="0"/>
    <n v="0"/>
    <n v="0"/>
    <n v="0"/>
    <n v="0"/>
    <n v="0"/>
    <n v="0"/>
    <n v="26215.200000000001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7446"/>
    <n v="1000007743"/>
    <m/>
    <m/>
    <x v="10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s v="PENDING"/>
    <s v="Pending"/>
  </r>
  <r>
    <n v="1115"/>
    <n v="1115"/>
    <n v="10"/>
    <n v="2"/>
    <s v="Three Wheelers"/>
    <s v="F2"/>
    <s v="COMMERCIAL INVOICE"/>
    <n v="1526007445"/>
    <n v="1000007742"/>
    <m/>
    <m/>
    <x v="10"/>
    <n v="5100001946"/>
    <s v="ZSCH"/>
    <s v="Normal Sales"/>
    <n v="4110063010"/>
    <s v="27.11.2025"/>
    <n v="5000"/>
    <s v="BAJAJ AUTO LIMITED (WALUJ)"/>
    <m/>
    <m/>
    <s v="27340676530V"/>
    <n v="1502040308"/>
    <s v="AH181453 MUDGUARD ASSEMBLY FRONT"/>
    <x v="3"/>
    <n v="87082900"/>
    <n v="45"/>
    <s v="EA"/>
    <n v="427.17"/>
    <s v="INR"/>
    <n v="19222.650000000001"/>
    <n v="0"/>
    <n v="19222.650000000001"/>
    <n v="0"/>
    <n v="0"/>
    <n v="0"/>
    <n v="0"/>
    <n v="19222.650000000001"/>
    <n v="0"/>
    <n v="0"/>
    <n v="0"/>
    <n v="0"/>
    <n v="0"/>
    <n v="0"/>
    <n v="0"/>
    <n v="0"/>
    <n v="19222.650000000001"/>
    <n v="0"/>
    <n v="0"/>
    <n v="311000"/>
    <s v="SALE FINISHED GOODS"/>
    <n v="2.504"/>
    <n v="2.5"/>
    <n v="4.0000000000000001E-3"/>
    <s v="AH181453"/>
    <n v="1511"/>
    <s v="FG Loose 3WH"/>
    <s v="PENDING"/>
    <s v="Pending"/>
  </r>
  <r>
    <n v="1115"/>
    <n v="1115"/>
    <n v="10"/>
    <n v="2"/>
    <s v="Three Wheelers"/>
    <s v="F2"/>
    <s v="COMMERCIAL INVOICE"/>
    <n v="1526007442"/>
    <n v="1000007738"/>
    <m/>
    <m/>
    <x v="10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2"/>
    <s v="EA"/>
    <n v="6585.55"/>
    <s v="INR"/>
    <n v="79026.600000000006"/>
    <n v="0"/>
    <n v="79026.600000000006"/>
    <n v="0"/>
    <n v="0"/>
    <n v="0"/>
    <n v="0"/>
    <n v="79026.600000000006"/>
    <n v="0"/>
    <n v="0"/>
    <n v="0"/>
    <n v="0"/>
    <n v="0"/>
    <n v="0"/>
    <n v="0"/>
    <n v="0"/>
    <n v="79026.600000000006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520"/>
    <n v="1000007819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519"/>
    <n v="1000007818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518"/>
    <n v="1000007817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517"/>
    <n v="1000007816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516"/>
    <n v="1000007815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515"/>
    <n v="1000007814"/>
    <m/>
    <m/>
    <x v="10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s v="PENDING"/>
    <s v="Pending"/>
  </r>
  <r>
    <n v="1115"/>
    <n v="1115"/>
    <n v="10"/>
    <n v="2"/>
    <s v="Three Wheelers"/>
    <s v="F2"/>
    <s v="COMMERCIAL INVOICE"/>
    <n v="1526007514"/>
    <n v="1000007813"/>
    <m/>
    <m/>
    <x v="10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s v="PENDING"/>
    <s v="Pending"/>
  </r>
  <r>
    <n v="1115"/>
    <n v="1115"/>
    <n v="10"/>
    <n v="2"/>
    <s v="Three Wheelers"/>
    <s v="F2"/>
    <s v="COMMERCIAL INVOICE"/>
    <n v="1526007513"/>
    <n v="1000007812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512"/>
    <n v="1000007811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511"/>
    <n v="1000007810"/>
    <m/>
    <m/>
    <x v="10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s v="PENDING"/>
    <s v="Pending"/>
  </r>
  <r>
    <n v="1115"/>
    <n v="1115"/>
    <n v="10"/>
    <n v="2"/>
    <s v="Three Wheelers"/>
    <s v="F2"/>
    <s v="COMMERCIAL INVOICE"/>
    <n v="1526007507"/>
    <n v="1000007806"/>
    <m/>
    <m/>
    <x v="10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s v="PENDING"/>
    <s v="Pending"/>
  </r>
  <r>
    <n v="1115"/>
    <n v="1115"/>
    <n v="10"/>
    <n v="2"/>
    <s v="Three Wheelers"/>
    <s v="F2"/>
    <s v="COMMERCIAL INVOICE"/>
    <n v="1526007506"/>
    <n v="1000007805"/>
    <m/>
    <m/>
    <x v="10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2"/>
    <s v="EA"/>
    <n v="6240.88"/>
    <s v="INR"/>
    <n v="74890.559999999998"/>
    <n v="0"/>
    <n v="74890.559999999998"/>
    <n v="0"/>
    <n v="0"/>
    <n v="0"/>
    <n v="0"/>
    <n v="74890.559999999998"/>
    <n v="0"/>
    <n v="0"/>
    <n v="0"/>
    <n v="0"/>
    <n v="0"/>
    <n v="0"/>
    <n v="0"/>
    <n v="0"/>
    <n v="74890.559999999998"/>
    <n v="0"/>
    <n v="0"/>
    <n v="311000"/>
    <s v="SALE FINISHED GOODS"/>
    <n v="58"/>
    <n v="58"/>
    <n v="0"/>
    <s v="52BA0852"/>
    <n v="1509"/>
    <s v="FG Body"/>
    <s v="PENDING"/>
    <s v="Pending"/>
  </r>
  <r>
    <n v="1115"/>
    <n v="1115"/>
    <n v="10"/>
    <n v="2"/>
    <s v="Three Wheelers"/>
    <s v="F2"/>
    <s v="COMMERCIAL INVOICE"/>
    <n v="1526007505"/>
    <n v="1000007804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503"/>
    <n v="1000007802"/>
    <m/>
    <m/>
    <x v="10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s v="PENDING"/>
    <s v="Pending"/>
  </r>
  <r>
    <n v="1115"/>
    <n v="1115"/>
    <n v="10"/>
    <n v="2"/>
    <s v="Three Wheelers"/>
    <s v="F2"/>
    <s v="COMMERCIAL INVOICE"/>
    <n v="1526007500"/>
    <n v="1000007799"/>
    <m/>
    <m/>
    <x v="10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s v="PENDING"/>
    <s v="Pending"/>
  </r>
  <r>
    <n v="1115"/>
    <n v="1115"/>
    <n v="10"/>
    <n v="2"/>
    <s v="Three Wheelers"/>
    <s v="F2"/>
    <s v="COMMERCIAL INVOICE"/>
    <n v="1526007499"/>
    <n v="1000007798"/>
    <m/>
    <m/>
    <x v="10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31"/>
    <s v="EA"/>
    <n v="380.93"/>
    <s v="INR"/>
    <n v="49901.83"/>
    <n v="0"/>
    <n v="49901.83"/>
    <n v="0"/>
    <n v="0"/>
    <n v="0"/>
    <n v="0"/>
    <n v="49901.83"/>
    <n v="0"/>
    <n v="0"/>
    <n v="0"/>
    <n v="0"/>
    <n v="0"/>
    <n v="0"/>
    <n v="0"/>
    <n v="0"/>
    <n v="49901.83"/>
    <n v="0"/>
    <n v="0"/>
    <n v="311000"/>
    <s v="SALE FINISHED GOODS"/>
    <n v="2.13"/>
    <n v="2.13"/>
    <n v="0"/>
    <s v="AH111571"/>
    <n v="1511"/>
    <s v="FG Loose 3WH"/>
    <s v="PENDING"/>
    <s v="Pending"/>
  </r>
  <r>
    <n v="1115"/>
    <n v="1115"/>
    <n v="10"/>
    <n v="2"/>
    <s v="Three Wheelers"/>
    <s v="F2"/>
    <s v="COMMERCIAL INVOICE"/>
    <n v="1526007497"/>
    <n v="1000007792"/>
    <m/>
    <m/>
    <x v="1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96"/>
    <n v="1000007791"/>
    <m/>
    <m/>
    <x v="1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95"/>
    <n v="1000007790"/>
    <m/>
    <m/>
    <x v="1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7494"/>
    <n v="1000007789"/>
    <m/>
    <m/>
    <x v="1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93"/>
    <n v="1000007788"/>
    <m/>
    <m/>
    <x v="1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92"/>
    <n v="1000007787"/>
    <m/>
    <m/>
    <x v="10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s v="PENDING"/>
    <s v="Pending"/>
  </r>
  <r>
    <n v="1115"/>
    <n v="1115"/>
    <n v="10"/>
    <n v="2"/>
    <s v="Three Wheelers"/>
    <s v="F2"/>
    <s v="COMMERCIAL INVOICE"/>
    <n v="1526007491"/>
    <n v="1000007786"/>
    <m/>
    <m/>
    <x v="1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90"/>
    <n v="1000007785"/>
    <m/>
    <m/>
    <x v="1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89"/>
    <n v="1000007784"/>
    <m/>
    <m/>
    <x v="1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88"/>
    <n v="1000007783"/>
    <m/>
    <m/>
    <x v="10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487"/>
    <n v="1000007781"/>
    <m/>
    <m/>
    <x v="10"/>
    <n v="5100001636"/>
    <s v="ZSCH"/>
    <s v="Normal Sales"/>
    <n v="4110026445"/>
    <s v="23.07.2020"/>
    <n v="5000"/>
    <s v="BAJAJ AUTO LIMITED (WALUJ)"/>
    <m/>
    <m/>
    <s v="27340676530V"/>
    <n v="1502020101"/>
    <s v="52BA0852 ASSLY BODY COMPACT DIESEL"/>
    <x v="1"/>
    <n v="87082900"/>
    <n v="15"/>
    <s v="EA"/>
    <n v="6240.88"/>
    <s v="INR"/>
    <n v="93613.2"/>
    <n v="0"/>
    <n v="93613.2"/>
    <n v="0"/>
    <n v="0"/>
    <n v="0"/>
    <n v="0"/>
    <n v="93613.2"/>
    <n v="0"/>
    <n v="0"/>
    <n v="0"/>
    <n v="0"/>
    <n v="0"/>
    <n v="0"/>
    <n v="0"/>
    <n v="0"/>
    <n v="93613.2"/>
    <n v="0"/>
    <n v="0"/>
    <n v="311000"/>
    <s v="SALE FINISHED GOODS"/>
    <n v="58"/>
    <n v="58"/>
    <n v="0"/>
    <s v="52BA0852"/>
    <n v="1509"/>
    <s v="FG Body"/>
    <s v="PENDING"/>
    <s v="Pending"/>
  </r>
  <r>
    <n v="1115"/>
    <n v="1115"/>
    <n v="10"/>
    <n v="2"/>
    <s v="Three Wheelers"/>
    <s v="F2"/>
    <s v="COMMERCIAL INVOICE"/>
    <n v="1526007118"/>
    <n v="1000007406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9783"/>
    <s v="11.05.2026"/>
  </r>
  <r>
    <n v="1115"/>
    <n v="1115"/>
    <n v="10"/>
    <n v="2"/>
    <s v="Three Wheelers"/>
    <s v="F2"/>
    <s v="COMMERCIAL INVOICE"/>
    <n v="1526007112"/>
    <n v="1000007399"/>
    <m/>
    <m/>
    <x v="12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512"/>
    <s v="EA"/>
    <n v="290.89999999999998"/>
    <s v="INR"/>
    <n v="148940.79999999999"/>
    <n v="0"/>
    <n v="148940.79999999999"/>
    <n v="0"/>
    <n v="0"/>
    <n v="0"/>
    <n v="0"/>
    <n v="148940.79999999999"/>
    <n v="0"/>
    <n v="0"/>
    <n v="0"/>
    <n v="0"/>
    <n v="0"/>
    <n v="0"/>
    <n v="0"/>
    <n v="0"/>
    <n v="148940.79999999999"/>
    <n v="0"/>
    <n v="0"/>
    <n v="311000"/>
    <s v="SALE FINISHED GOODS"/>
    <n v="4.5"/>
    <n v="4.5"/>
    <n v="0"/>
    <s v="AZ111331"/>
    <n v="1511"/>
    <s v="FG Loose 3WH"/>
    <n v="5094245620"/>
    <s v="11.05.2026"/>
  </r>
  <r>
    <n v="1115"/>
    <n v="1115"/>
    <n v="10"/>
    <n v="2"/>
    <s v="Three Wheelers"/>
    <s v="F2"/>
    <s v="COMMERCIAL INVOICE"/>
    <n v="1526007111"/>
    <n v="1000007398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5348"/>
    <s v="11.05.2026"/>
  </r>
  <r>
    <n v="1115"/>
    <n v="1115"/>
    <n v="10"/>
    <n v="2"/>
    <s v="Three Wheelers"/>
    <s v="F2"/>
    <s v="COMMERCIAL INVOICE"/>
    <n v="1526007110"/>
    <n v="1000007397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5623"/>
    <s v="11.05.2026"/>
  </r>
  <r>
    <n v="1115"/>
    <n v="1115"/>
    <n v="10"/>
    <n v="2"/>
    <s v="Three Wheelers"/>
    <s v="F2"/>
    <s v="COMMERCIAL INVOICE"/>
    <n v="1526007109"/>
    <n v="1000007396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5627"/>
    <s v="11.05.2026"/>
  </r>
  <r>
    <n v="1115"/>
    <n v="1115"/>
    <n v="10"/>
    <n v="2"/>
    <s v="Three Wheelers"/>
    <s v="F2"/>
    <s v="COMMERCIAL INVOICE"/>
    <n v="1526007107"/>
    <n v="1000007393"/>
    <m/>
    <m/>
    <x v="12"/>
    <n v="5100001445"/>
    <s v="ZSCH"/>
    <s v="Normal Sales"/>
    <n v="4110021696"/>
    <s v="08.08.2019"/>
    <n v="5000"/>
    <s v="BAJAJ AUTO LIMITED (WALUJ)"/>
    <m/>
    <m/>
    <s v="27340676530V"/>
    <n v="1502040233"/>
    <s v="BB161099 MUDGUARD FRONT REFL"/>
    <x v="3"/>
    <n v="87082900"/>
    <n v="600"/>
    <s v="EA"/>
    <n v="317.45999999999998"/>
    <s v="INR"/>
    <n v="190476"/>
    <n v="0"/>
    <n v="190476"/>
    <n v="0"/>
    <n v="0"/>
    <n v="0"/>
    <n v="0"/>
    <n v="190476"/>
    <n v="0"/>
    <n v="0"/>
    <n v="0"/>
    <n v="0"/>
    <n v="0"/>
    <n v="0"/>
    <n v="0"/>
    <n v="0"/>
    <n v="190476"/>
    <n v="0"/>
    <n v="0"/>
    <n v="311000"/>
    <s v="SALE FINISHED GOODS"/>
    <n v="3.4"/>
    <n v="2"/>
    <n v="1.4"/>
    <s v="BB161099"/>
    <n v="1511"/>
    <s v="FG Loose 3WH"/>
    <n v="5094243398"/>
    <s v="11.05.2026"/>
  </r>
  <r>
    <n v="1115"/>
    <n v="1115"/>
    <n v="10"/>
    <n v="2"/>
    <s v="Three Wheelers"/>
    <s v="F2"/>
    <s v="COMMERCIAL INVOICE"/>
    <n v="1526007106"/>
    <n v="1000007392"/>
    <m/>
    <m/>
    <x v="12"/>
    <n v="5100001907"/>
    <s v="ZSCH"/>
    <s v="Normal Sales"/>
    <n v="4110046150"/>
    <s v="11.10.2023"/>
    <n v="5000"/>
    <s v="BAJAJ AUTO LIMITED (WALUJ)"/>
    <m/>
    <m/>
    <s v="27340676530V"/>
    <n v="1502040271"/>
    <s v="AH181418_03 MUDGUARD ASSLY FRONT"/>
    <x v="16"/>
    <n v="87082900"/>
    <n v="150"/>
    <s v="EA"/>
    <n v="402.9"/>
    <s v="INR"/>
    <n v="60435"/>
    <n v="0"/>
    <n v="60435"/>
    <n v="0"/>
    <n v="0"/>
    <n v="0"/>
    <n v="0"/>
    <n v="60435"/>
    <n v="0"/>
    <n v="0"/>
    <n v="0"/>
    <n v="0"/>
    <n v="0"/>
    <n v="0"/>
    <n v="0"/>
    <n v="0"/>
    <n v="60435"/>
    <n v="0"/>
    <n v="0"/>
    <n v="311000"/>
    <s v="SALE FINISHED GOODS"/>
    <n v="1.82"/>
    <n v="1.82"/>
    <n v="0"/>
    <s v="AH181418"/>
    <n v="1511"/>
    <s v="FG Loose 3WH"/>
    <n v="5094245417"/>
    <s v="11.05.2026"/>
  </r>
  <r>
    <n v="1115"/>
    <n v="1115"/>
    <n v="10"/>
    <n v="2"/>
    <s v="Three Wheelers"/>
    <s v="F2"/>
    <s v="COMMERCIAL INVOICE"/>
    <n v="1526007105"/>
    <n v="1000007391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2"/>
    <s v="EA"/>
    <n v="6585.55"/>
    <s v="INR"/>
    <n v="79026.600000000006"/>
    <n v="0"/>
    <n v="79026.600000000006"/>
    <n v="0"/>
    <n v="0"/>
    <n v="0"/>
    <n v="0"/>
    <n v="79026.600000000006"/>
    <n v="0"/>
    <n v="0"/>
    <n v="0"/>
    <n v="0"/>
    <n v="0"/>
    <n v="0"/>
    <n v="0"/>
    <n v="0"/>
    <n v="79026.600000000006"/>
    <n v="0"/>
    <n v="0"/>
    <n v="311000"/>
    <s v="SALE FINISHED GOODS"/>
    <n v="49.75"/>
    <n v="49.75"/>
    <n v="0"/>
    <s v="AA231532"/>
    <n v="1509"/>
    <s v="FG Body"/>
    <n v="5094245439"/>
    <s v="11.05.2026"/>
  </r>
  <r>
    <n v="1115"/>
    <n v="1115"/>
    <n v="10"/>
    <n v="2"/>
    <s v="Three Wheelers"/>
    <s v="F2"/>
    <s v="COMMERCIAL INVOICE"/>
    <n v="1526007103"/>
    <n v="1000007386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5283"/>
    <s v="11.05.2026"/>
  </r>
  <r>
    <n v="1115"/>
    <n v="1115"/>
    <n v="10"/>
    <n v="2"/>
    <s v="Three Wheelers"/>
    <s v="F2"/>
    <s v="COMMERCIAL INVOICE"/>
    <n v="1526007102"/>
    <n v="1000007384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895"/>
    <s v="11.05.2026"/>
  </r>
  <r>
    <n v="1115"/>
    <n v="1115"/>
    <n v="10"/>
    <n v="2"/>
    <s v="Three Wheelers"/>
    <s v="F2"/>
    <s v="COMMERCIAL INVOICE"/>
    <n v="1526007100"/>
    <n v="1000007382"/>
    <m/>
    <m/>
    <x v="12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243941"/>
    <s v="11.05.2026"/>
  </r>
  <r>
    <n v="1115"/>
    <n v="1115"/>
    <n v="10"/>
    <n v="2"/>
    <s v="Three Wheelers"/>
    <s v="F2"/>
    <s v="COMMERCIAL INVOICE"/>
    <n v="1526007099"/>
    <n v="1000007381"/>
    <m/>
    <m/>
    <x v="12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243940"/>
    <s v="11.05.2026"/>
  </r>
  <r>
    <n v="1115"/>
    <n v="1115"/>
    <n v="10"/>
    <n v="2"/>
    <s v="Three Wheelers"/>
    <s v="F2"/>
    <s v="COMMERCIAL INVOICE"/>
    <n v="1526007098"/>
    <n v="1000007380"/>
    <m/>
    <m/>
    <x v="12"/>
    <n v="5100001795"/>
    <s v="ZSCH"/>
    <s v="Normal Sales"/>
    <n v="4110032503"/>
    <s v="31.08.2021"/>
    <n v="5000"/>
    <s v="BAJAJ AUTO LIMITED (WALUJ)"/>
    <m/>
    <m/>
    <s v="27340676530V"/>
    <n v="1502010016"/>
    <s v="PLATE CHECK FRONT MUD MOUNTING"/>
    <x v="13"/>
    <n v="87082900"/>
    <n v="500"/>
    <s v="EA"/>
    <n v="8.4600000000000009"/>
    <s v="INR"/>
    <n v="4230"/>
    <n v="0"/>
    <n v="4230"/>
    <n v="0"/>
    <n v="0"/>
    <n v="0"/>
    <n v="0"/>
    <n v="4230"/>
    <n v="0"/>
    <n v="0"/>
    <n v="0"/>
    <n v="0"/>
    <n v="0"/>
    <n v="0"/>
    <n v="0"/>
    <n v="0"/>
    <n v="4230"/>
    <n v="0"/>
    <n v="0"/>
    <n v="311000"/>
    <s v="SALE FINISHED GOODS"/>
    <n v="0.08"/>
    <n v="6.3E-2"/>
    <n v="1.7000000000000001E-2"/>
    <s v="AB161182"/>
    <n v="1508"/>
    <s v="FG Attached Vendor Components 3 WH"/>
    <n v="5094240526"/>
    <s v="11.05.2026"/>
  </r>
  <r>
    <n v="1115"/>
    <n v="1115"/>
    <n v="10"/>
    <n v="2"/>
    <s v="Three Wheelers"/>
    <s v="F2"/>
    <s v="COMMERCIAL INVOICE"/>
    <n v="1526007097"/>
    <n v="1000007379"/>
    <m/>
    <m/>
    <x v="12"/>
    <n v="5100001795"/>
    <s v="ZSCH"/>
    <s v="Normal Sales"/>
    <n v="4110032503"/>
    <s v="31.08.2021"/>
    <n v="5000"/>
    <s v="BAJAJ AUTO LIMITED (WALUJ)"/>
    <m/>
    <m/>
    <s v="27340676530V"/>
    <n v="1502010016"/>
    <s v="PLATE CHECK FRONT MUD MOUNTING"/>
    <x v="13"/>
    <n v="87082900"/>
    <n v="1500"/>
    <s v="EA"/>
    <n v="8.4600000000000009"/>
    <s v="INR"/>
    <n v="12690"/>
    <n v="0"/>
    <n v="12690"/>
    <n v="0"/>
    <n v="0"/>
    <n v="0"/>
    <n v="0"/>
    <n v="12690"/>
    <n v="0"/>
    <n v="0"/>
    <n v="0"/>
    <n v="0"/>
    <n v="0"/>
    <n v="0"/>
    <n v="0"/>
    <n v="0"/>
    <n v="12690"/>
    <n v="0"/>
    <n v="0"/>
    <n v="311000"/>
    <s v="SALE FINISHED GOODS"/>
    <n v="0.08"/>
    <n v="6.3E-2"/>
    <n v="1.7000000000000001E-2"/>
    <s v="AB161182"/>
    <n v="1508"/>
    <s v="FG Attached Vendor Components 3 WH"/>
    <n v="5094239330"/>
    <s v="11.05.2026"/>
  </r>
  <r>
    <n v="1115"/>
    <n v="1115"/>
    <n v="10"/>
    <n v="2"/>
    <s v="Three Wheelers"/>
    <s v="F2"/>
    <s v="COMMERCIAL INVOICE"/>
    <n v="1526007096"/>
    <n v="1000007378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57827"/>
    <s v="11.05.2026"/>
  </r>
  <r>
    <n v="1115"/>
    <n v="1115"/>
    <n v="10"/>
    <n v="2"/>
    <s v="Three Wheelers"/>
    <s v="F2"/>
    <s v="COMMERCIAL INVOICE"/>
    <n v="1526007092"/>
    <n v="1000007376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1478"/>
    <s v="11.05.2026"/>
  </r>
  <r>
    <n v="1115"/>
    <n v="1115"/>
    <n v="10"/>
    <n v="2"/>
    <s v="Three Wheelers"/>
    <s v="F2"/>
    <s v="COMMERCIAL INVOICE"/>
    <n v="1526007090"/>
    <n v="1000007372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3053"/>
    <s v="11.05.2026"/>
  </r>
  <r>
    <n v="1115"/>
    <n v="1115"/>
    <n v="10"/>
    <n v="2"/>
    <s v="Three Wheelers"/>
    <s v="F2"/>
    <s v="COMMERCIAL INVOICE"/>
    <n v="1526007088"/>
    <n v="1000007368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3050"/>
    <s v="11.05.2026"/>
  </r>
  <r>
    <n v="1115"/>
    <n v="1115"/>
    <n v="10"/>
    <n v="2"/>
    <s v="Three Wheelers"/>
    <s v="F2"/>
    <s v="COMMERCIAL INVOICE"/>
    <n v="1526007087"/>
    <n v="1000007367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3049"/>
    <s v="11.05.2026"/>
  </r>
  <r>
    <n v="1115"/>
    <n v="1115"/>
    <n v="10"/>
    <n v="2"/>
    <s v="Three Wheelers"/>
    <s v="F2"/>
    <s v="COMMERCIAL INVOICE"/>
    <n v="1526007086"/>
    <n v="1000007366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2977"/>
    <s v="11.05.2026"/>
  </r>
  <r>
    <n v="1115"/>
    <n v="1115"/>
    <n v="10"/>
    <n v="2"/>
    <s v="Three Wheelers"/>
    <s v="F2"/>
    <s v="COMMERCIAL INVOICE"/>
    <n v="1526007085"/>
    <n v="1000007365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1614"/>
    <s v="11.05.2026"/>
  </r>
  <r>
    <n v="1115"/>
    <n v="1115"/>
    <n v="10"/>
    <n v="2"/>
    <s v="Three Wheelers"/>
    <s v="F2"/>
    <s v="COMMERCIAL INVOICE"/>
    <n v="1526007084"/>
    <n v="1000007364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5029"/>
    <s v="11.05.2026"/>
  </r>
  <r>
    <n v="1115"/>
    <n v="1115"/>
    <n v="10"/>
    <n v="2"/>
    <s v="Three Wheelers"/>
    <s v="F2"/>
    <s v="COMMERCIAL INVOICE"/>
    <n v="1526007083"/>
    <n v="1000007363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50036"/>
    <s v="11.05.2026"/>
  </r>
  <r>
    <n v="1115"/>
    <n v="1115"/>
    <n v="10"/>
    <n v="2"/>
    <s v="Three Wheelers"/>
    <s v="F2"/>
    <s v="COMMERCIAL INVOICE"/>
    <n v="1526007082"/>
    <n v="1000007362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2972"/>
    <s v="11.05.2026"/>
  </r>
  <r>
    <n v="1115"/>
    <n v="1115"/>
    <n v="10"/>
    <n v="2"/>
    <s v="Three Wheelers"/>
    <s v="F2"/>
    <s v="COMMERCIAL INVOICE"/>
    <n v="1526007081"/>
    <n v="1000007361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5035"/>
    <s v="11.05.2026"/>
  </r>
  <r>
    <n v="1115"/>
    <n v="1115"/>
    <n v="10"/>
    <n v="2"/>
    <s v="Three Wheelers"/>
    <s v="F2"/>
    <s v="COMMERCIAL INVOICE"/>
    <n v="1526007079"/>
    <n v="1000007359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5263"/>
    <s v="11.05.2026"/>
  </r>
  <r>
    <n v="1115"/>
    <n v="1115"/>
    <n v="10"/>
    <n v="2"/>
    <s v="Three Wheelers"/>
    <s v="F2"/>
    <s v="COMMERCIAL INVOICE"/>
    <n v="1526007078"/>
    <n v="1000007358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997"/>
    <s v="11.05.2026"/>
  </r>
  <r>
    <n v="1115"/>
    <n v="1115"/>
    <n v="10"/>
    <n v="2"/>
    <s v="Three Wheelers"/>
    <s v="F2"/>
    <s v="COMMERCIAL INVOICE"/>
    <n v="1526007077"/>
    <n v="1000007357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7185"/>
    <s v="11.05.2026"/>
  </r>
  <r>
    <n v="1115"/>
    <n v="1115"/>
    <n v="10"/>
    <n v="2"/>
    <s v="Three Wheelers"/>
    <s v="F2"/>
    <s v="COMMERCIAL INVOICE"/>
    <n v="1526007075"/>
    <n v="1000007355"/>
    <m/>
    <m/>
    <x v="12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384"/>
    <s v="EA"/>
    <n v="174.61"/>
    <s v="INR"/>
    <n v="67050.240000000005"/>
    <n v="0"/>
    <n v="67050.240000000005"/>
    <n v="0"/>
    <n v="0"/>
    <n v="0"/>
    <n v="0"/>
    <n v="67050.240000000005"/>
    <n v="0"/>
    <n v="0"/>
    <n v="0"/>
    <n v="0"/>
    <n v="0"/>
    <n v="0"/>
    <n v="0"/>
    <n v="0"/>
    <n v="67050.240000000005"/>
    <n v="0"/>
    <n v="0"/>
    <n v="311000"/>
    <s v="SALE FINISHED GOODS"/>
    <n v="0"/>
    <n v="0"/>
    <n v="0"/>
    <s v="AF232042"/>
    <n v="1511"/>
    <s v="FG Loose 3WH"/>
    <n v="5094246021"/>
    <s v="11.05.2026"/>
  </r>
  <r>
    <n v="1115"/>
    <n v="1115"/>
    <n v="10"/>
    <n v="2"/>
    <s v="Three Wheelers"/>
    <s v="F2"/>
    <s v="COMMERCIAL INVOICE"/>
    <n v="1526007073"/>
    <n v="1000007353"/>
    <m/>
    <m/>
    <x v="12"/>
    <n v="5100001099"/>
    <s v="ZSCH"/>
    <s v="Normal Sales"/>
    <n v="4110004650"/>
    <s v="01.07.2017"/>
    <n v="5000"/>
    <s v="BAJAJ AUTO LIMITED (WALUJ)"/>
    <m/>
    <m/>
    <s v="27340676530V"/>
    <n v="1502040119"/>
    <s v="AZ621019 ASSEMBLY STARTING HANDLE FL"/>
    <x v="11"/>
    <n v="87082900"/>
    <n v="90"/>
    <s v="EA"/>
    <n v="164.33"/>
    <s v="INR"/>
    <n v="14789.7"/>
    <n v="0"/>
    <n v="14789.7"/>
    <n v="0"/>
    <n v="0"/>
    <n v="0"/>
    <n v="0"/>
    <n v="14789.7"/>
    <n v="0"/>
    <n v="0"/>
    <n v="0"/>
    <n v="0"/>
    <n v="0"/>
    <n v="0"/>
    <n v="0"/>
    <n v="0"/>
    <n v="14789.7"/>
    <n v="0"/>
    <n v="0"/>
    <n v="311000"/>
    <s v="SALE FINISHED GOODS"/>
    <n v="1.63"/>
    <n v="1.1020000000000001"/>
    <n v="0.52800000000000002"/>
    <s v="AZ621019"/>
    <n v="1511"/>
    <s v="FG Loose 3WH"/>
    <n v="5094239004"/>
    <s v="11.05.2026"/>
  </r>
  <r>
    <n v="1115"/>
    <n v="1115"/>
    <n v="10"/>
    <n v="2"/>
    <s v="Three Wheelers"/>
    <s v="F2"/>
    <s v="COMMERCIAL INVOICE"/>
    <n v="1526007072"/>
    <n v="1000007352"/>
    <m/>
    <m/>
    <x v="12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360"/>
    <s v="EA"/>
    <n v="217.33"/>
    <s v="INR"/>
    <n v="78238.8"/>
    <n v="0"/>
    <n v="78238.8"/>
    <n v="0"/>
    <n v="0"/>
    <n v="0"/>
    <n v="0"/>
    <n v="78238.8"/>
    <n v="0"/>
    <n v="0"/>
    <n v="0"/>
    <n v="0"/>
    <n v="0"/>
    <n v="0"/>
    <n v="0"/>
    <n v="0"/>
    <n v="78238.8"/>
    <n v="0"/>
    <n v="0"/>
    <n v="311000"/>
    <s v="SALE FINISHED GOODS"/>
    <n v="1.19"/>
    <n v="1.19"/>
    <n v="0"/>
    <s v="AA102281"/>
    <n v="1511"/>
    <s v="FG Loose 3WH"/>
    <n v="5094244324"/>
    <s v="11.05.2026"/>
  </r>
  <r>
    <n v="1115"/>
    <n v="1115"/>
    <n v="10"/>
    <n v="2"/>
    <s v="Three Wheelers"/>
    <s v="F2"/>
    <s v="COMMERCIAL INVOICE"/>
    <n v="1526007153"/>
    <n v="1000007442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369"/>
    <s v="11.05.2026"/>
  </r>
  <r>
    <n v="1115"/>
    <n v="1115"/>
    <n v="10"/>
    <n v="2"/>
    <s v="Three Wheelers"/>
    <s v="F2"/>
    <s v="COMMERCIAL INVOICE"/>
    <n v="1526007152"/>
    <n v="1000007441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7555"/>
    <s v="11.05.2026"/>
  </r>
  <r>
    <n v="1115"/>
    <n v="1115"/>
    <n v="10"/>
    <n v="2"/>
    <s v="Three Wheelers"/>
    <s v="F2"/>
    <s v="COMMERCIAL INVOICE"/>
    <n v="1526007151"/>
    <n v="1000007440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150"/>
    <n v="1000007439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s v="PENDING"/>
    <s v="Pending"/>
  </r>
  <r>
    <n v="1115"/>
    <n v="1115"/>
    <n v="10"/>
    <n v="2"/>
    <s v="Three Wheelers"/>
    <s v="F2"/>
    <s v="COMMERCIAL INVOICE"/>
    <n v="1526007149"/>
    <n v="1000007438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66804"/>
    <s v="11.05.2026"/>
  </r>
  <r>
    <n v="1115"/>
    <n v="1115"/>
    <n v="10"/>
    <n v="2"/>
    <s v="Three Wheelers"/>
    <s v="F2"/>
    <s v="COMMERCIAL INVOICE"/>
    <n v="1526007148"/>
    <n v="1000007437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9798"/>
    <s v="11.05.2026"/>
  </r>
  <r>
    <n v="1115"/>
    <n v="1115"/>
    <n v="10"/>
    <n v="2"/>
    <s v="Three Wheelers"/>
    <s v="F2"/>
    <s v="COMMERCIAL INVOICE"/>
    <n v="1526007147"/>
    <n v="1000007436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9828"/>
    <s v="11.05.2026"/>
  </r>
  <r>
    <n v="1115"/>
    <n v="1115"/>
    <n v="10"/>
    <n v="2"/>
    <s v="Three Wheelers"/>
    <s v="F2"/>
    <s v="COMMERCIAL INVOICE"/>
    <n v="1526007146"/>
    <n v="1000007435"/>
    <m/>
    <m/>
    <x v="12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20"/>
    <s v="EA"/>
    <n v="380.93"/>
    <s v="INR"/>
    <n v="45711.6"/>
    <n v="0"/>
    <n v="45711.6"/>
    <n v="0"/>
    <n v="0"/>
    <n v="0"/>
    <n v="0"/>
    <n v="45711.6"/>
    <n v="0"/>
    <n v="0"/>
    <n v="0"/>
    <n v="0"/>
    <n v="0"/>
    <n v="0"/>
    <n v="0"/>
    <n v="0"/>
    <n v="45711.6"/>
    <n v="0"/>
    <n v="0"/>
    <n v="311000"/>
    <s v="SALE FINISHED GOODS"/>
    <n v="2.13"/>
    <n v="2.13"/>
    <n v="0"/>
    <s v="AH111571"/>
    <n v="1511"/>
    <s v="FG Loose 3WH"/>
    <n v="5094269441"/>
    <s v="11.05.2026"/>
  </r>
  <r>
    <n v="1115"/>
    <n v="1115"/>
    <n v="10"/>
    <n v="2"/>
    <s v="Three Wheelers"/>
    <s v="F2"/>
    <s v="COMMERCIAL INVOICE"/>
    <n v="1526007145"/>
    <n v="1000007434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n v="5094269533"/>
    <s v="11.05.2026"/>
  </r>
  <r>
    <n v="1115"/>
    <n v="1115"/>
    <n v="10"/>
    <n v="2"/>
    <s v="Three Wheelers"/>
    <s v="F2"/>
    <s v="COMMERCIAL INVOICE"/>
    <n v="1526007144"/>
    <n v="1000007433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7762"/>
    <s v="11.05.2026"/>
  </r>
  <r>
    <n v="1115"/>
    <n v="1115"/>
    <n v="10"/>
    <n v="2"/>
    <s v="Three Wheelers"/>
    <s v="F2"/>
    <s v="COMMERCIAL INVOICE"/>
    <n v="1526007143"/>
    <n v="1000007432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9219"/>
    <s v="11.05.2026"/>
  </r>
  <r>
    <n v="1115"/>
    <n v="1115"/>
    <n v="10"/>
    <n v="2"/>
    <s v="Three Wheelers"/>
    <s v="F2"/>
    <s v="COMMERCIAL INVOICE"/>
    <n v="1526007142"/>
    <n v="1000007431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9055"/>
    <s v="11.05.2026"/>
  </r>
  <r>
    <n v="1115"/>
    <n v="1115"/>
    <n v="10"/>
    <n v="2"/>
    <s v="Three Wheelers"/>
    <s v="F2"/>
    <s v="COMMERCIAL INVOICE"/>
    <n v="1526007141"/>
    <n v="1000007430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7494"/>
    <s v="11.05.2026"/>
  </r>
  <r>
    <n v="1115"/>
    <n v="1115"/>
    <n v="10"/>
    <n v="2"/>
    <s v="Three Wheelers"/>
    <s v="F2"/>
    <s v="COMMERCIAL INVOICE"/>
    <n v="1526007140"/>
    <n v="1000007429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108"/>
    <s v="11.05.2026"/>
  </r>
  <r>
    <n v="1115"/>
    <n v="1115"/>
    <n v="10"/>
    <n v="2"/>
    <s v="Three Wheelers"/>
    <s v="F2"/>
    <s v="COMMERCIAL INVOICE"/>
    <n v="1526007138"/>
    <n v="1000007427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177"/>
    <s v="11.05.2026"/>
  </r>
  <r>
    <n v="1115"/>
    <n v="1115"/>
    <n v="10"/>
    <n v="2"/>
    <s v="Three Wheelers"/>
    <s v="F2"/>
    <s v="COMMERCIAL INVOICE"/>
    <n v="1526007137"/>
    <n v="1000007426"/>
    <m/>
    <m/>
    <x v="12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384"/>
    <s v="EA"/>
    <n v="174.61"/>
    <s v="INR"/>
    <n v="67050.240000000005"/>
    <n v="0"/>
    <n v="67050.240000000005"/>
    <n v="0"/>
    <n v="0"/>
    <n v="0"/>
    <n v="0"/>
    <n v="67050.240000000005"/>
    <n v="0"/>
    <n v="0"/>
    <n v="0"/>
    <n v="0"/>
    <n v="0"/>
    <n v="0"/>
    <n v="0"/>
    <n v="0"/>
    <n v="67050.240000000005"/>
    <n v="0"/>
    <n v="0"/>
    <n v="311000"/>
    <s v="SALE FINISHED GOODS"/>
    <n v="0"/>
    <n v="0"/>
    <n v="0"/>
    <s v="AF232042"/>
    <n v="1511"/>
    <s v="FG Loose 3WH"/>
    <n v="5094256569"/>
    <s v="11.05.2026"/>
  </r>
  <r>
    <n v="1115"/>
    <n v="1115"/>
    <n v="10"/>
    <n v="2"/>
    <s v="Three Wheelers"/>
    <s v="F2"/>
    <s v="COMMERCIAL INVOICE"/>
    <n v="1526007136"/>
    <n v="1000007425"/>
    <m/>
    <m/>
    <x v="12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210"/>
    <s v="EA"/>
    <n v="380.93"/>
    <s v="INR"/>
    <n v="79995.3"/>
    <n v="0"/>
    <n v="79995.3"/>
    <n v="0"/>
    <n v="0"/>
    <n v="0"/>
    <n v="0"/>
    <n v="79995.3"/>
    <n v="0"/>
    <n v="0"/>
    <n v="0"/>
    <n v="0"/>
    <n v="0"/>
    <n v="0"/>
    <n v="0"/>
    <n v="0"/>
    <n v="79995.3"/>
    <n v="0"/>
    <n v="0"/>
    <n v="311000"/>
    <s v="SALE FINISHED GOODS"/>
    <n v="2.13"/>
    <n v="2.13"/>
    <n v="0"/>
    <s v="AH111571"/>
    <n v="1511"/>
    <s v="FG Loose 3WH"/>
    <n v="5094247660"/>
    <s v="11.05.2026"/>
  </r>
  <r>
    <n v="1115"/>
    <n v="1115"/>
    <n v="10"/>
    <n v="2"/>
    <s v="Three Wheelers"/>
    <s v="F2"/>
    <s v="COMMERCIAL INVOICE"/>
    <n v="1526007135"/>
    <n v="1000007424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n v="5094249053"/>
    <s v="11.05.2026"/>
  </r>
  <r>
    <n v="1115"/>
    <n v="1115"/>
    <n v="10"/>
    <n v="2"/>
    <s v="Three Wheelers"/>
    <s v="F2"/>
    <s v="COMMERCIAL INVOICE"/>
    <n v="1526007131"/>
    <n v="1000007420"/>
    <m/>
    <m/>
    <x v="12"/>
    <n v="5100001552"/>
    <s v="ZSCH"/>
    <s v="Normal Sales"/>
    <n v="4110023205"/>
    <s v="12.12.2019"/>
    <n v="5000"/>
    <s v="BAJAJ AUTO LIMITED (WALUJ)"/>
    <m/>
    <m/>
    <s v="27340676530V"/>
    <n v="1502040233"/>
    <s v="BB161099 MUDGUARD FRONT REFL"/>
    <x v="3"/>
    <n v="87082900"/>
    <n v="200"/>
    <s v="EA"/>
    <n v="317.45999999999998"/>
    <s v="INR"/>
    <n v="63492"/>
    <n v="0"/>
    <n v="63492"/>
    <n v="0"/>
    <n v="0"/>
    <n v="0"/>
    <n v="0"/>
    <n v="63492"/>
    <n v="0"/>
    <n v="0"/>
    <n v="0"/>
    <n v="0"/>
    <n v="0"/>
    <n v="0"/>
    <n v="0"/>
    <n v="0"/>
    <n v="63492"/>
    <n v="0"/>
    <n v="0"/>
    <n v="311000"/>
    <s v="SALE FINISHED GOODS"/>
    <n v="3.4"/>
    <n v="2"/>
    <n v="1.4"/>
    <s v="BB161099"/>
    <n v="1511"/>
    <s v="FG Loose 3WH"/>
    <n v="5094245996"/>
    <s v="11.05.2026"/>
  </r>
  <r>
    <n v="1115"/>
    <n v="1115"/>
    <n v="10"/>
    <n v="2"/>
    <s v="Three Wheelers"/>
    <s v="F2"/>
    <s v="COMMERCIAL INVOICE"/>
    <n v="1526007130"/>
    <n v="1000007419"/>
    <m/>
    <m/>
    <x v="12"/>
    <n v="5100001919"/>
    <s v="ZSCH"/>
    <s v="Normal Sales"/>
    <n v="5500000930"/>
    <s v="23.07.2024"/>
    <n v="5356"/>
    <s v="LUMINAZ SAFETY GLASS PVT. LTD."/>
    <m/>
    <m/>
    <m/>
    <n v="1402010547"/>
    <s v="AA231598 - MUDGAURD ASSEMBLY REAR RH"/>
    <x v="3"/>
    <n v="87082900"/>
    <n v="65"/>
    <s v="EA"/>
    <n v="108.65"/>
    <s v="INR"/>
    <n v="7062.25"/>
    <n v="0"/>
    <n v="7062.25"/>
    <n v="0"/>
    <n v="0"/>
    <n v="0"/>
    <n v="0"/>
    <n v="7062.25"/>
    <n v="0"/>
    <n v="0"/>
    <n v="0"/>
    <n v="0"/>
    <n v="0"/>
    <n v="0"/>
    <n v="0"/>
    <n v="0"/>
    <n v="7062.25"/>
    <n v="0"/>
    <n v="0"/>
    <n v="311001"/>
    <s v="SALE SEMI FINISHED"/>
    <n v="1.75"/>
    <n v="1.75"/>
    <n v="0"/>
    <n v="2000001019"/>
    <n v="1402"/>
    <s v="SF Assembly"/>
    <s v="PENDING"/>
    <s v="Pending"/>
  </r>
  <r>
    <n v="1115"/>
    <n v="1115"/>
    <n v="10"/>
    <n v="2"/>
    <s v="Three Wheelers"/>
    <s v="F2"/>
    <s v="COMMERCIAL INVOICE"/>
    <n v="1526007129"/>
    <n v="1000007418"/>
    <m/>
    <m/>
    <x v="12"/>
    <n v="5100001919"/>
    <s v="ZSCH"/>
    <s v="Normal Sales"/>
    <n v="5500000930"/>
    <s v="23.07.2024"/>
    <n v="5356"/>
    <s v="LUMINAZ SAFETY GLASS PVT. LTD."/>
    <m/>
    <m/>
    <m/>
    <n v="1402010546"/>
    <s v="AA231597 - MUDGAURD ASSEMBLY REAR LH"/>
    <x v="3"/>
    <n v="87082900"/>
    <n v="65"/>
    <s v="EA"/>
    <n v="108.65"/>
    <s v="INR"/>
    <n v="7062.25"/>
    <n v="0"/>
    <n v="7062.25"/>
    <n v="0"/>
    <n v="0"/>
    <n v="0"/>
    <n v="0"/>
    <n v="7062.25"/>
    <n v="0"/>
    <n v="0"/>
    <n v="0"/>
    <n v="0"/>
    <n v="0"/>
    <n v="0"/>
    <n v="0"/>
    <n v="0"/>
    <n v="7062.25"/>
    <n v="0"/>
    <n v="0"/>
    <n v="311001"/>
    <s v="SALE SEMI FINISHED"/>
    <n v="1.75"/>
    <n v="1.75"/>
    <n v="0"/>
    <n v="2000001018"/>
    <n v="1402"/>
    <s v="SF Assembly"/>
    <s v="PENDING"/>
    <s v="Pending"/>
  </r>
  <r>
    <n v="1115"/>
    <n v="1115"/>
    <n v="10"/>
    <n v="2"/>
    <s v="Three Wheelers"/>
    <s v="F2"/>
    <s v="COMMERCIAL INVOICE"/>
    <n v="1526007128"/>
    <n v="1000007416"/>
    <m/>
    <m/>
    <x v="12"/>
    <n v="5100001407"/>
    <s v="ZSCH"/>
    <s v="Normal Sales"/>
    <n v="4110019623"/>
    <s v="06.05.2019"/>
    <n v="5000"/>
    <s v="BAJAJ AUTO LIMITED (WALUJ)"/>
    <m/>
    <m/>
    <s v="27340676530V"/>
    <n v="1502040216"/>
    <s v="AA161289_ ASSEMBLY MUDGUARD FRONT"/>
    <x v="3"/>
    <n v="87082900"/>
    <n v="1280"/>
    <s v="EA"/>
    <n v="174.11"/>
    <s v="INR"/>
    <n v="222860.79999999999"/>
    <n v="0"/>
    <n v="222860.79999999999"/>
    <n v="0"/>
    <n v="0"/>
    <n v="0"/>
    <n v="0"/>
    <n v="222860.79999999999"/>
    <n v="0"/>
    <n v="0"/>
    <n v="0"/>
    <n v="0"/>
    <n v="0"/>
    <n v="0"/>
    <n v="0"/>
    <n v="0"/>
    <n v="222860.79999999999"/>
    <n v="0"/>
    <n v="0"/>
    <n v="311000"/>
    <s v="SALE FINISHED GOODS"/>
    <n v="2.573"/>
    <n v="1.4910000000000001"/>
    <n v="1.0820000000000001"/>
    <s v="AA161289"/>
    <n v="1511"/>
    <s v="FG Loose 3WH"/>
    <n v="5094245992"/>
    <s v="11.05.2026"/>
  </r>
  <r>
    <n v="1115"/>
    <n v="1115"/>
    <n v="10"/>
    <n v="2"/>
    <s v="Three Wheelers"/>
    <s v="F2"/>
    <s v="COMMERCIAL INVOICE"/>
    <n v="1526007127"/>
    <n v="1000007415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052"/>
    <s v="11.05.2026"/>
  </r>
  <r>
    <n v="1115"/>
    <n v="1115"/>
    <n v="10"/>
    <n v="2"/>
    <s v="Three Wheelers"/>
    <s v="F2"/>
    <s v="COMMERCIAL INVOICE"/>
    <n v="1526007126"/>
    <n v="1000007414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7640"/>
    <s v="11.05.2026"/>
  </r>
  <r>
    <n v="1115"/>
    <n v="1115"/>
    <n v="10"/>
    <n v="2"/>
    <s v="Three Wheelers"/>
    <s v="F2"/>
    <s v="COMMERCIAL INVOICE"/>
    <n v="1526007125"/>
    <n v="1000007413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7663"/>
    <s v="11.05.2026"/>
  </r>
  <r>
    <n v="1115"/>
    <n v="1115"/>
    <n v="10"/>
    <n v="2"/>
    <s v="Three Wheelers"/>
    <s v="F2"/>
    <s v="COMMERCIAL INVOICE"/>
    <n v="1526007124"/>
    <n v="1000007412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7662"/>
    <s v="11.05.2026"/>
  </r>
  <r>
    <n v="1115"/>
    <n v="1115"/>
    <n v="10"/>
    <n v="2"/>
    <s v="Three Wheelers"/>
    <s v="F2"/>
    <s v="COMMERCIAL INVOICE"/>
    <n v="1526007123"/>
    <n v="1000007411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9023"/>
    <s v="11.05.2026"/>
  </r>
  <r>
    <n v="1115"/>
    <n v="1115"/>
    <n v="10"/>
    <n v="2"/>
    <s v="Three Wheelers"/>
    <s v="F2"/>
    <s v="COMMERCIAL INVOICE"/>
    <n v="1526007122"/>
    <n v="1000007410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9278"/>
    <s v="11.05.2026"/>
  </r>
  <r>
    <n v="1115"/>
    <n v="1115"/>
    <n v="10"/>
    <n v="2"/>
    <s v="Three Wheelers"/>
    <s v="F2"/>
    <s v="COMMERCIAL INVOICE"/>
    <n v="1526007121"/>
    <n v="1000007409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9617"/>
    <s v="11.05.2026"/>
  </r>
  <r>
    <n v="1115"/>
    <n v="1115"/>
    <n v="10"/>
    <n v="2"/>
    <s v="Three Wheelers"/>
    <s v="F2"/>
    <s v="COMMERCIAL INVOICE"/>
    <n v="1526007120"/>
    <n v="1000007408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9616"/>
    <s v="11.05.2026"/>
  </r>
  <r>
    <n v="1115"/>
    <n v="1115"/>
    <n v="10"/>
    <n v="2"/>
    <s v="Three Wheelers"/>
    <s v="F2"/>
    <s v="COMMERCIAL INVOICE"/>
    <n v="1526007119"/>
    <n v="1000007407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9827"/>
    <s v="11.05.2026"/>
  </r>
  <r>
    <n v="1115"/>
    <n v="1115"/>
    <n v="10"/>
    <n v="2"/>
    <s v="Three Wheelers"/>
    <s v="F2"/>
    <s v="COMMERCIAL INVOICE"/>
    <n v="1526007071"/>
    <n v="1000007351"/>
    <m/>
    <m/>
    <x v="12"/>
    <n v="5200000318"/>
    <s v="ZSPR"/>
    <s v="Spare Sales"/>
    <n v="4310001697"/>
    <s v="01.07.2017"/>
    <n v="5000"/>
    <s v="BAJAJ AUTO LIMITED (WALUJ)"/>
    <m/>
    <m/>
    <s v="27340676530V"/>
    <n v="1502010023"/>
    <s v="ENGINE BRACKET FRONT"/>
    <x v="15"/>
    <n v="87082900"/>
    <n v="240"/>
    <s v="EA"/>
    <n v="132.82"/>
    <s v="INR"/>
    <n v="31876.799999999999"/>
    <n v="0"/>
    <n v="31876.799999999999"/>
    <n v="0"/>
    <n v="0"/>
    <n v="0"/>
    <n v="0"/>
    <n v="31876.799999999999"/>
    <n v="0"/>
    <n v="0"/>
    <n v="0"/>
    <n v="0"/>
    <n v="0"/>
    <n v="0"/>
    <n v="0"/>
    <n v="0"/>
    <n v="31876.799999999999"/>
    <n v="0"/>
    <n v="0"/>
    <n v="311000"/>
    <s v="SALE FINISHED GOODS"/>
    <n v="1.28"/>
    <n v="1.28"/>
    <n v="0"/>
    <s v="BA102158"/>
    <n v="1508"/>
    <s v="FG Attached Vendor Components 3 WH"/>
    <n v="5094237850"/>
    <s v="11.05.2026"/>
  </r>
  <r>
    <n v="1115"/>
    <n v="1115"/>
    <n v="10"/>
    <n v="2"/>
    <s v="Three Wheelers"/>
    <s v="F2"/>
    <s v="COMMERCIAL INVOICE"/>
    <n v="1526007022"/>
    <n v="1000007307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7179"/>
    <s v="11.05.2026"/>
  </r>
  <r>
    <n v="1115"/>
    <n v="1115"/>
    <n v="10"/>
    <n v="2"/>
    <s v="Three Wheelers"/>
    <s v="F2"/>
    <s v="COMMERCIAL INVOICE"/>
    <n v="1526007021"/>
    <n v="1000007306"/>
    <m/>
    <m/>
    <x v="1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42033"/>
    <s v="11.05.2026"/>
  </r>
  <r>
    <n v="1115"/>
    <n v="1115"/>
    <n v="10"/>
    <n v="2"/>
    <s v="Three Wheelers"/>
    <s v="F2"/>
    <s v="COMMERCIAL INVOICE"/>
    <n v="1526007020"/>
    <n v="1000007305"/>
    <m/>
    <m/>
    <x v="1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42666"/>
    <s v="11.05.2026"/>
  </r>
  <r>
    <n v="1115"/>
    <n v="1115"/>
    <n v="10"/>
    <n v="2"/>
    <s v="Three Wheelers"/>
    <s v="F2"/>
    <s v="COMMERCIAL INVOICE"/>
    <n v="1526007019"/>
    <n v="1000007304"/>
    <m/>
    <m/>
    <x v="1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34512"/>
    <s v="11.05.2026"/>
  </r>
  <r>
    <n v="1115"/>
    <n v="1115"/>
    <n v="10"/>
    <n v="2"/>
    <s v="Three Wheelers"/>
    <s v="F2"/>
    <s v="COMMERCIAL INVOICE"/>
    <n v="1526007018"/>
    <n v="1000007303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7517"/>
    <s v="11.05.2026"/>
  </r>
  <r>
    <n v="1115"/>
    <n v="1115"/>
    <n v="10"/>
    <n v="2"/>
    <s v="Three Wheelers"/>
    <s v="F2"/>
    <s v="COMMERCIAL INVOICE"/>
    <n v="1526007016"/>
    <n v="1000007302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34835"/>
    <s v="11.05.2026"/>
  </r>
  <r>
    <n v="1115"/>
    <n v="1115"/>
    <n v="10"/>
    <n v="2"/>
    <s v="Three Wheelers"/>
    <s v="F2"/>
    <s v="COMMERCIAL INVOICE"/>
    <n v="1526007015"/>
    <n v="1000007301"/>
    <m/>
    <m/>
    <x v="12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240696"/>
    <s v="11.05.2026"/>
  </r>
  <r>
    <n v="1115"/>
    <n v="1115"/>
    <n v="10"/>
    <n v="2"/>
    <s v="Three Wheelers"/>
    <s v="F2"/>
    <s v="COMMERCIAL INVOICE"/>
    <n v="1526007014"/>
    <n v="1000007300"/>
    <m/>
    <m/>
    <x v="12"/>
    <n v="5100001099"/>
    <s v="ZSCH"/>
    <s v="Normal Sales"/>
    <n v="4110004650"/>
    <s v="01.07.2017"/>
    <n v="5000"/>
    <s v="BAJAJ AUTO LIMITED (WALUJ)"/>
    <m/>
    <m/>
    <s v="27340676530V"/>
    <n v="1502040127"/>
    <s v="BH113407 REAR ENG MTG BKT FL"/>
    <x v="15"/>
    <n v="87141090"/>
    <n v="84"/>
    <s v="EA"/>
    <n v="266.62"/>
    <s v="INR"/>
    <n v="22396.080000000002"/>
    <n v="0"/>
    <n v="22396.080000000002"/>
    <n v="0"/>
    <n v="0"/>
    <n v="0"/>
    <n v="0"/>
    <n v="22396.080000000002"/>
    <n v="0"/>
    <n v="0"/>
    <n v="0"/>
    <n v="0"/>
    <n v="0"/>
    <n v="0"/>
    <n v="0"/>
    <n v="0"/>
    <n v="22396.080000000002"/>
    <n v="0"/>
    <n v="0"/>
    <n v="311000"/>
    <s v="SALE FINISHED GOODS"/>
    <n v="1.31"/>
    <n v="1.31"/>
    <n v="0"/>
    <s v="BH113407"/>
    <n v="1511"/>
    <s v="FG Loose 3WH"/>
    <n v="5094233544"/>
    <s v="11.05.2026"/>
  </r>
  <r>
    <n v="1115"/>
    <n v="1115"/>
    <n v="10"/>
    <n v="2"/>
    <s v="Three Wheelers"/>
    <s v="F2"/>
    <s v="COMMERCIAL INVOICE"/>
    <n v="1526007013"/>
    <n v="1000007299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2631"/>
    <s v="11.05.2026"/>
  </r>
  <r>
    <n v="1115"/>
    <n v="1115"/>
    <n v="10"/>
    <n v="2"/>
    <s v="Three Wheelers"/>
    <s v="F2"/>
    <s v="COMMERCIAL INVOICE"/>
    <n v="1526007012"/>
    <n v="1000007298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4"/>
    <s v="EA"/>
    <n v="8593.51"/>
    <s v="INR"/>
    <n v="34374.04"/>
    <n v="0"/>
    <n v="34374.04"/>
    <n v="0"/>
    <n v="0"/>
    <n v="0"/>
    <n v="0"/>
    <n v="34374.04"/>
    <n v="0"/>
    <n v="0"/>
    <n v="0"/>
    <n v="0"/>
    <n v="0"/>
    <n v="0"/>
    <n v="0"/>
    <n v="0"/>
    <n v="34374.04"/>
    <n v="0"/>
    <n v="0"/>
    <n v="311000"/>
    <s v="SALE FINISHED GOODS"/>
    <n v="93.34"/>
    <n v="75.430000000000007"/>
    <n v="17.91"/>
    <s v="52BB0638"/>
    <n v="1509"/>
    <s v="FG Body"/>
    <n v="5094232248"/>
    <s v="11.05.2026"/>
  </r>
  <r>
    <n v="1115"/>
    <n v="1115"/>
    <n v="10"/>
    <n v="2"/>
    <s v="Three Wheelers"/>
    <s v="F2"/>
    <s v="COMMERCIAL INVOICE"/>
    <n v="1526007011"/>
    <n v="1000007297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38205"/>
    <s v="11.05.2026"/>
  </r>
  <r>
    <n v="1115"/>
    <n v="1115"/>
    <n v="10"/>
    <n v="2"/>
    <s v="Three Wheelers"/>
    <s v="F2"/>
    <s v="COMMERCIAL INVOICE"/>
    <n v="1526007010"/>
    <n v="1000007296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38584"/>
    <s v="11.05.2026"/>
  </r>
  <r>
    <n v="1115"/>
    <n v="1115"/>
    <n v="10"/>
    <n v="2"/>
    <s v="Three Wheelers"/>
    <s v="F2"/>
    <s v="COMMERCIAL INVOICE"/>
    <n v="1526007009"/>
    <n v="1000007295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38588"/>
    <s v="11.05.2026"/>
  </r>
  <r>
    <n v="1115"/>
    <n v="1115"/>
    <n v="10"/>
    <n v="2"/>
    <s v="Three Wheelers"/>
    <s v="F2"/>
    <s v="COMMERCIAL INVOICE"/>
    <n v="1526007007"/>
    <n v="1000007294"/>
    <m/>
    <m/>
    <x v="12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34200"/>
    <s v="11.05.2026"/>
  </r>
  <r>
    <n v="1115"/>
    <n v="1115"/>
    <n v="10"/>
    <n v="2"/>
    <s v="Three Wheelers"/>
    <s v="F2"/>
    <s v="COMMERCIAL INVOICE"/>
    <n v="1526007005"/>
    <n v="1000007290"/>
    <m/>
    <m/>
    <x v="12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512"/>
    <s v="EA"/>
    <n v="290.89999999999998"/>
    <s v="INR"/>
    <n v="148940.79999999999"/>
    <n v="0"/>
    <n v="148940.79999999999"/>
    <n v="0"/>
    <n v="0"/>
    <n v="0"/>
    <n v="0"/>
    <n v="148940.79999999999"/>
    <n v="0"/>
    <n v="0"/>
    <n v="0"/>
    <n v="0"/>
    <n v="0"/>
    <n v="0"/>
    <n v="0"/>
    <n v="0"/>
    <n v="148940.79999999999"/>
    <n v="0"/>
    <n v="0"/>
    <n v="311000"/>
    <s v="SALE FINISHED GOODS"/>
    <n v="4.5"/>
    <n v="4.5"/>
    <n v="0"/>
    <s v="AZ111331"/>
    <n v="1511"/>
    <s v="FG Loose 3WH"/>
    <n v="5094237878"/>
    <s v="11.05.2026"/>
  </r>
  <r>
    <n v="1115"/>
    <n v="1115"/>
    <n v="10"/>
    <n v="2"/>
    <s v="Three Wheelers"/>
    <s v="F2"/>
    <s v="COMMERCIAL INVOICE"/>
    <n v="1526007004"/>
    <n v="1000007289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38107"/>
    <s v="11.05.2026"/>
  </r>
  <r>
    <n v="1115"/>
    <n v="1115"/>
    <n v="10"/>
    <n v="2"/>
    <s v="Three Wheelers"/>
    <s v="F2"/>
    <s v="COMMERCIAL INVOICE"/>
    <n v="1526007003"/>
    <n v="1000007288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38204"/>
    <s v="11.05.2026"/>
  </r>
  <r>
    <n v="1115"/>
    <n v="1115"/>
    <n v="10"/>
    <n v="2"/>
    <s v="Three Wheelers"/>
    <s v="F2"/>
    <s v="COMMERCIAL INVOICE"/>
    <n v="1526007002"/>
    <n v="1000007287"/>
    <m/>
    <m/>
    <x v="12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243928"/>
    <s v="11.05.2026"/>
  </r>
  <r>
    <n v="1115"/>
    <n v="1115"/>
    <n v="10"/>
    <n v="2"/>
    <s v="Three Wheelers"/>
    <s v="F2"/>
    <s v="COMMERCIAL INVOICE"/>
    <n v="1526007001"/>
    <n v="1000007286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7693"/>
    <s v="11.05.2026"/>
  </r>
  <r>
    <n v="1115"/>
    <n v="1115"/>
    <n v="10"/>
    <n v="2"/>
    <s v="Three Wheelers"/>
    <s v="F2"/>
    <s v="COMMERCIAL INVOICE"/>
    <n v="1526007000"/>
    <n v="1000007285"/>
    <m/>
    <m/>
    <x v="12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243939"/>
    <s v="11.05.2026"/>
  </r>
  <r>
    <n v="1115"/>
    <n v="1115"/>
    <n v="10"/>
    <n v="2"/>
    <s v="Three Wheelers"/>
    <s v="F2"/>
    <s v="COMMERCIAL INVOICE"/>
    <n v="1526006999"/>
    <n v="1000007284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32014"/>
    <s v="11.05.2026"/>
  </r>
  <r>
    <n v="1115"/>
    <n v="1115"/>
    <n v="10"/>
    <n v="2"/>
    <s v="Three Wheelers"/>
    <s v="F2"/>
    <s v="COMMERCIAL INVOICE"/>
    <n v="1526006998"/>
    <n v="1000007283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36033"/>
    <s v="11.05.2026"/>
  </r>
  <r>
    <n v="1115"/>
    <n v="1115"/>
    <n v="10"/>
    <n v="2"/>
    <s v="Three Wheelers"/>
    <s v="F2"/>
    <s v="COMMERCIAL INVOICE"/>
    <n v="1526006997"/>
    <n v="1000007282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31568"/>
    <s v="11.05.2026"/>
  </r>
  <r>
    <n v="1115"/>
    <n v="1115"/>
    <n v="10"/>
    <n v="2"/>
    <s v="Three Wheelers"/>
    <s v="F2"/>
    <s v="COMMERCIAL INVOICE"/>
    <n v="1526006996"/>
    <n v="1000007281"/>
    <m/>
    <m/>
    <x v="12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229221"/>
    <s v="11.05.2026"/>
  </r>
  <r>
    <n v="1115"/>
    <n v="1115"/>
    <n v="10"/>
    <n v="2"/>
    <s v="Three Wheelers"/>
    <s v="F2"/>
    <s v="COMMERCIAL INVOICE"/>
    <n v="1526006995"/>
    <n v="1000007280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31713"/>
    <s v="11.05.2026"/>
  </r>
  <r>
    <n v="1115"/>
    <n v="1115"/>
    <n v="10"/>
    <n v="2"/>
    <s v="Three Wheelers"/>
    <s v="F2"/>
    <s v="COMMERCIAL INVOICE"/>
    <n v="1526006994"/>
    <n v="1000007279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31772"/>
    <s v="11.05.2026"/>
  </r>
  <r>
    <n v="1115"/>
    <n v="1115"/>
    <n v="10"/>
    <n v="2"/>
    <s v="Three Wheelers"/>
    <s v="F2"/>
    <s v="COMMERCIAL INVOICE"/>
    <n v="1526006993"/>
    <n v="1000007278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34675"/>
    <s v="11.05.2026"/>
  </r>
  <r>
    <n v="1115"/>
    <n v="1115"/>
    <n v="10"/>
    <n v="2"/>
    <s v="Three Wheelers"/>
    <s v="F2"/>
    <s v="COMMERCIAL INVOICE"/>
    <n v="1526006992"/>
    <n v="1000007277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32816"/>
    <s v="11.05.2026"/>
  </r>
  <r>
    <n v="1115"/>
    <n v="1115"/>
    <n v="10"/>
    <n v="2"/>
    <s v="Three Wheelers"/>
    <s v="F2"/>
    <s v="COMMERCIAL INVOICE"/>
    <n v="1526006991"/>
    <n v="1000007276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37934"/>
    <s v="11.05.2026"/>
  </r>
  <r>
    <n v="1115"/>
    <n v="1115"/>
    <n v="10"/>
    <n v="2"/>
    <s v="Three Wheelers"/>
    <s v="F2"/>
    <s v="COMMERCIAL INVOICE"/>
    <n v="1526006990"/>
    <n v="1000007275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37024"/>
    <s v="11.05.2026"/>
  </r>
  <r>
    <n v="1115"/>
    <n v="1115"/>
    <n v="10"/>
    <n v="2"/>
    <s v="Three Wheelers"/>
    <s v="F2"/>
    <s v="COMMERCIAL INVOICE"/>
    <n v="1526006989"/>
    <n v="1000007274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37577"/>
    <s v="11.05.2026"/>
  </r>
  <r>
    <n v="1115"/>
    <n v="1115"/>
    <n v="10"/>
    <n v="2"/>
    <s v="Three Wheelers"/>
    <s v="F2"/>
    <s v="COMMERCIAL INVOICE"/>
    <n v="1526007070"/>
    <n v="1000007350"/>
    <m/>
    <m/>
    <x v="12"/>
    <n v="5200000329"/>
    <s v="ZSPR"/>
    <s v="Spare Sales"/>
    <n v="4310001700"/>
    <s v="01.07.2017"/>
    <n v="5000"/>
    <s v="BAJAJ AUTO LIMITED (WALUJ)"/>
    <m/>
    <m/>
    <s v="27340676530V"/>
    <n v="1502040194"/>
    <s v="AL161775 HYDROFORM CRADEL BSIV"/>
    <x v="7"/>
    <n v="87082900"/>
    <n v="76"/>
    <s v="EA"/>
    <n v="1049.7"/>
    <s v="INR"/>
    <n v="79777.2"/>
    <n v="0"/>
    <n v="79777.2"/>
    <n v="0"/>
    <n v="0"/>
    <n v="0"/>
    <n v="0"/>
    <n v="79777.2"/>
    <n v="0"/>
    <n v="0"/>
    <n v="0"/>
    <n v="0"/>
    <n v="0"/>
    <n v="0"/>
    <n v="0"/>
    <n v="0"/>
    <n v="79777.2"/>
    <n v="0"/>
    <n v="0"/>
    <n v="311000"/>
    <s v="SALE FINISHED GOODS"/>
    <n v="6.3769999999999998"/>
    <n v="6.3769999999999998"/>
    <n v="0"/>
    <s v="AL161775"/>
    <n v="1511"/>
    <s v="FG Loose 3WH"/>
    <n v="5094238864"/>
    <s v="11.05.2026"/>
  </r>
  <r>
    <n v="1115"/>
    <n v="1115"/>
    <n v="10"/>
    <n v="2"/>
    <s v="Three Wheelers"/>
    <s v="F2"/>
    <s v="COMMERCIAL INVOICE"/>
    <n v="1526007067"/>
    <n v="1000007348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65"/>
    <n v="1000007346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64"/>
    <n v="1000007345"/>
    <m/>
    <m/>
    <x v="12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118"/>
    <s v="EA"/>
    <n v="291.27999999999997"/>
    <s v="INR"/>
    <n v="34371.040000000001"/>
    <n v="0"/>
    <n v="34371.040000000001"/>
    <n v="0"/>
    <n v="0"/>
    <n v="0"/>
    <n v="0"/>
    <n v="34371.040000000001"/>
    <n v="0"/>
    <n v="0"/>
    <n v="0"/>
    <n v="0"/>
    <n v="0"/>
    <n v="0"/>
    <n v="0"/>
    <n v="0"/>
    <n v="34371.040000000001"/>
    <n v="0"/>
    <n v="0"/>
    <n v="311000"/>
    <s v="SALE FINISHED GOODS"/>
    <n v="2.37"/>
    <n v="2.37"/>
    <n v="0"/>
    <s v="AH115161"/>
    <n v="1511"/>
    <s v="FG Loose 3WH"/>
    <n v="5094246815"/>
    <s v="11.05.2026"/>
  </r>
  <r>
    <n v="1115"/>
    <n v="1115"/>
    <n v="10"/>
    <n v="2"/>
    <s v="Three Wheelers"/>
    <s v="F2"/>
    <s v="COMMERCIAL INVOICE"/>
    <n v="1526007063"/>
    <n v="1000007344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60"/>
    <n v="1000007341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59"/>
    <n v="1000007340"/>
    <m/>
    <m/>
    <x v="12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384"/>
    <s v="EA"/>
    <n v="290.89999999999998"/>
    <s v="INR"/>
    <n v="111705.60000000001"/>
    <n v="0"/>
    <n v="111705.60000000001"/>
    <n v="0"/>
    <n v="0"/>
    <n v="0"/>
    <n v="0"/>
    <n v="111705.60000000001"/>
    <n v="0"/>
    <n v="0"/>
    <n v="0"/>
    <n v="0"/>
    <n v="0"/>
    <n v="0"/>
    <n v="0"/>
    <n v="0"/>
    <n v="111705.60000000001"/>
    <n v="0"/>
    <n v="0"/>
    <n v="311000"/>
    <s v="SALE FINISHED GOODS"/>
    <n v="4.5"/>
    <n v="4.5"/>
    <n v="0"/>
    <s v="AZ111331"/>
    <n v="1511"/>
    <s v="FG Loose 3WH"/>
    <n v="5094246814"/>
    <s v="11.05.2026"/>
  </r>
  <r>
    <n v="1115"/>
    <n v="1115"/>
    <n v="10"/>
    <n v="2"/>
    <s v="Three Wheelers"/>
    <s v="F2"/>
    <s v="COMMERCIAL INVOICE"/>
    <n v="1526007057"/>
    <n v="1000007338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56"/>
    <n v="1000007337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55"/>
    <n v="1000007336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54"/>
    <n v="1000007334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53"/>
    <n v="1000007333"/>
    <m/>
    <m/>
    <x v="12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243892"/>
    <s v="11.05.2026"/>
  </r>
  <r>
    <n v="1115"/>
    <n v="1115"/>
    <n v="10"/>
    <n v="2"/>
    <s v="Three Wheelers"/>
    <s v="F2"/>
    <s v="COMMERCIAL INVOICE"/>
    <n v="1526007052"/>
    <n v="1000007332"/>
    <m/>
    <m/>
    <x v="12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243894"/>
    <s v="11.05.2026"/>
  </r>
  <r>
    <n v="1115"/>
    <n v="1115"/>
    <n v="10"/>
    <n v="2"/>
    <s v="Three Wheelers"/>
    <s v="F2"/>
    <s v="COMMERCIAL INVOICE"/>
    <n v="1526007046"/>
    <n v="1000007331"/>
    <m/>
    <m/>
    <x v="12"/>
    <n v="5100001552"/>
    <s v="ZSCH"/>
    <s v="Normal Sales"/>
    <n v="4110023205"/>
    <s v="12.12.2019"/>
    <n v="5000"/>
    <s v="BAJAJ AUTO LIMITED (WALUJ)"/>
    <m/>
    <m/>
    <s v="27340676530V"/>
    <n v="1502040233"/>
    <s v="BB161099 MUDGUARD FRONT REFL"/>
    <x v="3"/>
    <n v="87082900"/>
    <n v="200"/>
    <s v="EA"/>
    <n v="317.45999999999998"/>
    <s v="INR"/>
    <n v="63492"/>
    <n v="0"/>
    <n v="63492"/>
    <n v="0"/>
    <n v="0"/>
    <n v="0"/>
    <n v="0"/>
    <n v="63492"/>
    <n v="0"/>
    <n v="0"/>
    <n v="0"/>
    <n v="0"/>
    <n v="0"/>
    <n v="0"/>
    <n v="0"/>
    <n v="0"/>
    <n v="63492"/>
    <n v="0"/>
    <n v="0"/>
    <n v="311000"/>
    <s v="SALE FINISHED GOODS"/>
    <n v="3.4"/>
    <n v="2"/>
    <n v="1.4"/>
    <s v="BB161099"/>
    <n v="1511"/>
    <s v="FG Loose 3WH"/>
    <n v="5094246758"/>
    <s v="11.05.2026"/>
  </r>
  <r>
    <n v="1115"/>
    <n v="1115"/>
    <n v="10"/>
    <n v="2"/>
    <s v="Three Wheelers"/>
    <s v="F2"/>
    <s v="COMMERCIAL INVOICE"/>
    <n v="1526007045"/>
    <n v="1000007330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2"/>
    <s v="EA"/>
    <n v="6585.55"/>
    <s v="INR"/>
    <n v="79026.600000000006"/>
    <n v="0"/>
    <n v="79026.600000000006"/>
    <n v="0"/>
    <n v="0"/>
    <n v="0"/>
    <n v="0"/>
    <n v="79026.600000000006"/>
    <n v="0"/>
    <n v="0"/>
    <n v="0"/>
    <n v="0"/>
    <n v="0"/>
    <n v="0"/>
    <n v="0"/>
    <n v="0"/>
    <n v="79026.600000000006"/>
    <n v="0"/>
    <n v="0"/>
    <n v="311000"/>
    <s v="SALE FINISHED GOODS"/>
    <n v="49.75"/>
    <n v="49.75"/>
    <n v="0"/>
    <s v="AA231532"/>
    <n v="1509"/>
    <s v="FG Body"/>
    <n v="5094246757"/>
    <s v="11.05.2026"/>
  </r>
  <r>
    <n v="1115"/>
    <n v="1115"/>
    <n v="10"/>
    <n v="2"/>
    <s v="Three Wheelers"/>
    <s v="F2"/>
    <s v="COMMERCIAL INVOICE"/>
    <n v="1526007043"/>
    <n v="1000007329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42"/>
    <n v="1000007328"/>
    <m/>
    <m/>
    <x v="12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040"/>
    <n v="1000007325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6"/>
    <s v="EA"/>
    <n v="8593.51"/>
    <s v="INR"/>
    <n v="51561.06"/>
    <n v="0"/>
    <n v="51561.06"/>
    <n v="0"/>
    <n v="0"/>
    <n v="0"/>
    <n v="0"/>
    <n v="51561.06"/>
    <n v="0"/>
    <n v="0"/>
    <n v="0"/>
    <n v="0"/>
    <n v="0"/>
    <n v="0"/>
    <n v="0"/>
    <n v="0"/>
    <n v="51561.06"/>
    <n v="0"/>
    <n v="0"/>
    <n v="311000"/>
    <s v="SALE FINISHED GOODS"/>
    <n v="93.34"/>
    <n v="75.430000000000007"/>
    <n v="17.91"/>
    <s v="52BB0638"/>
    <n v="1509"/>
    <s v="FG Body"/>
    <n v="5094234601"/>
    <s v="11.05.2026"/>
  </r>
  <r>
    <n v="1115"/>
    <n v="1115"/>
    <n v="10"/>
    <n v="2"/>
    <s v="Three Wheelers"/>
    <s v="F2"/>
    <s v="COMMERCIAL INVOICE"/>
    <n v="1526007039"/>
    <n v="1000007324"/>
    <m/>
    <m/>
    <x v="12"/>
    <n v="5100001934"/>
    <s v="ZSCH"/>
    <s v="Normal Sales"/>
    <n v="4110058649"/>
    <s v="10.02.2025"/>
    <n v="5000"/>
    <s v="BAJAJ AUTO LIMITED (WALUJ)"/>
    <m/>
    <m/>
    <s v="27340676530V"/>
    <n v="1502040217"/>
    <s v="AH111571 MUDGUARD ASSEMBLY FORNT"/>
    <x v="5"/>
    <n v="87082900"/>
    <n v="100"/>
    <s v="EA"/>
    <n v="380.93"/>
    <s v="INR"/>
    <n v="38093"/>
    <n v="0"/>
    <n v="38093"/>
    <n v="0"/>
    <n v="0"/>
    <n v="0"/>
    <n v="0"/>
    <n v="38093"/>
    <n v="0"/>
    <n v="0"/>
    <n v="0"/>
    <n v="0"/>
    <n v="0"/>
    <n v="0"/>
    <n v="0"/>
    <n v="0"/>
    <n v="38093"/>
    <n v="0"/>
    <n v="0"/>
    <n v="311000"/>
    <s v="SALE FINISHED GOODS"/>
    <n v="2.13"/>
    <n v="2.13"/>
    <n v="0"/>
    <s v="AH111571"/>
    <n v="1511"/>
    <s v="FG Loose 3WH"/>
    <n v="5094234662"/>
    <s v="11.05.2026"/>
  </r>
  <r>
    <n v="1115"/>
    <n v="1115"/>
    <n v="10"/>
    <n v="2"/>
    <s v="Three Wheelers"/>
    <s v="F2"/>
    <s v="COMMERCIAL INVOICE"/>
    <n v="1526007038"/>
    <n v="1000007323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1619"/>
    <s v="11.05.2026"/>
  </r>
  <r>
    <n v="1115"/>
    <n v="1115"/>
    <n v="10"/>
    <n v="2"/>
    <s v="Three Wheelers"/>
    <s v="F2"/>
    <s v="COMMERCIAL INVOICE"/>
    <n v="1526007037"/>
    <n v="1000007322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2690"/>
    <s v="11.05.2026"/>
  </r>
  <r>
    <n v="1115"/>
    <n v="1115"/>
    <n v="10"/>
    <n v="2"/>
    <s v="Three Wheelers"/>
    <s v="F2"/>
    <s v="COMMERCIAL INVOICE"/>
    <n v="1526007036"/>
    <n v="1000007321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1589"/>
    <s v="11.05.2026"/>
  </r>
  <r>
    <n v="1115"/>
    <n v="1115"/>
    <n v="10"/>
    <n v="2"/>
    <s v="Three Wheelers"/>
    <s v="F2"/>
    <s v="COMMERCIAL INVOICE"/>
    <n v="1526007035"/>
    <n v="1000007320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1520"/>
    <s v="11.05.2026"/>
  </r>
  <r>
    <n v="1115"/>
    <n v="1115"/>
    <n v="10"/>
    <n v="2"/>
    <s v="Three Wheelers"/>
    <s v="F2"/>
    <s v="COMMERCIAL INVOICE"/>
    <n v="1526007034"/>
    <n v="1000007319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6030"/>
    <s v="11.05.2026"/>
  </r>
  <r>
    <n v="1115"/>
    <n v="1115"/>
    <n v="10"/>
    <n v="2"/>
    <s v="Three Wheelers"/>
    <s v="F2"/>
    <s v="COMMERCIAL INVOICE"/>
    <n v="1526007033"/>
    <n v="1000007318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6813"/>
    <s v="11.05.2026"/>
  </r>
  <r>
    <n v="1115"/>
    <n v="1115"/>
    <n v="10"/>
    <n v="2"/>
    <s v="Three Wheelers"/>
    <s v="F2"/>
    <s v="COMMERCIAL INVOICE"/>
    <n v="1526007032"/>
    <n v="1000007317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6809"/>
    <s v="11.05.2026"/>
  </r>
  <r>
    <n v="1115"/>
    <n v="1115"/>
    <n v="10"/>
    <n v="2"/>
    <s v="Three Wheelers"/>
    <s v="F2"/>
    <s v="COMMERCIAL INVOICE"/>
    <n v="1526007031"/>
    <n v="1000007316"/>
    <m/>
    <m/>
    <x v="12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288"/>
    <s v="EA"/>
    <n v="134.19999999999999"/>
    <s v="INR"/>
    <n v="38649.599999999999"/>
    <n v="0"/>
    <n v="38649.599999999999"/>
    <n v="0"/>
    <n v="0"/>
    <n v="0"/>
    <n v="0"/>
    <n v="38649.599999999999"/>
    <n v="0"/>
    <n v="0"/>
    <n v="0"/>
    <n v="0"/>
    <n v="0"/>
    <n v="0"/>
    <n v="0"/>
    <n v="0"/>
    <n v="38649.599999999999"/>
    <n v="0"/>
    <n v="0"/>
    <n v="311000"/>
    <s v="SALE FINISHED GOODS"/>
    <n v="1.19"/>
    <n v="1.19"/>
    <n v="0"/>
    <s v="AF231720"/>
    <n v="1511"/>
    <s v="FG Loose 3WH"/>
    <n v="5094233658"/>
    <s v="11.05.2026"/>
  </r>
  <r>
    <n v="1115"/>
    <n v="1115"/>
    <n v="10"/>
    <n v="2"/>
    <s v="Three Wheelers"/>
    <s v="F2"/>
    <s v="COMMERCIAL INVOICE"/>
    <n v="1526007030"/>
    <n v="1000007315"/>
    <m/>
    <m/>
    <x v="12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288"/>
    <s v="EA"/>
    <n v="174.61"/>
    <s v="INR"/>
    <n v="50287.68"/>
    <n v="0"/>
    <n v="50287.68"/>
    <n v="0"/>
    <n v="0"/>
    <n v="0"/>
    <n v="0"/>
    <n v="50287.68"/>
    <n v="0"/>
    <n v="0"/>
    <n v="0"/>
    <n v="0"/>
    <n v="0"/>
    <n v="0"/>
    <n v="0"/>
    <n v="0"/>
    <n v="50287.68"/>
    <n v="0"/>
    <n v="0"/>
    <n v="311000"/>
    <s v="SALE FINISHED GOODS"/>
    <n v="0"/>
    <n v="0"/>
    <n v="0"/>
    <s v="AF232042"/>
    <n v="1511"/>
    <s v="FG Loose 3WH"/>
    <n v="5094232383"/>
    <s v="11.05.2026"/>
  </r>
  <r>
    <n v="1115"/>
    <n v="1115"/>
    <n v="10"/>
    <n v="2"/>
    <s v="Three Wheelers"/>
    <s v="F2"/>
    <s v="COMMERCIAL INVOICE"/>
    <n v="1526007029"/>
    <n v="1000007312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0727"/>
    <s v="11.05.2026"/>
  </r>
  <r>
    <n v="1115"/>
    <n v="1115"/>
    <n v="10"/>
    <n v="2"/>
    <s v="Three Wheelers"/>
    <s v="F2"/>
    <s v="COMMERCIAL INVOICE"/>
    <n v="1526007028"/>
    <n v="1000007311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31697"/>
    <s v="11.05.2026"/>
  </r>
  <r>
    <n v="1115"/>
    <n v="1115"/>
    <n v="10"/>
    <n v="2"/>
    <s v="Three Wheelers"/>
    <s v="F2"/>
    <s v="COMMERCIAL INVOICE"/>
    <n v="1526007023"/>
    <n v="1000007308"/>
    <m/>
    <m/>
    <x v="12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47023"/>
    <s v="11.05.2026"/>
  </r>
  <r>
    <n v="1115"/>
    <n v="1115"/>
    <n v="10"/>
    <n v="2"/>
    <s v="Three Wheelers"/>
    <s v="F2"/>
    <s v="COMMERCIAL INVOICE"/>
    <n v="1526007154"/>
    <n v="1000007443"/>
    <m/>
    <m/>
    <x v="12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512"/>
    <s v="EA"/>
    <n v="290.89999999999998"/>
    <s v="INR"/>
    <n v="148940.79999999999"/>
    <n v="0"/>
    <n v="148940.79999999999"/>
    <n v="0"/>
    <n v="0"/>
    <n v="0"/>
    <n v="0"/>
    <n v="148940.79999999999"/>
    <n v="0"/>
    <n v="0"/>
    <n v="0"/>
    <n v="0"/>
    <n v="0"/>
    <n v="0"/>
    <n v="0"/>
    <n v="0"/>
    <n v="148940.79999999999"/>
    <n v="0"/>
    <n v="0"/>
    <n v="311000"/>
    <s v="SALE FINISHED GOODS"/>
    <n v="4.5"/>
    <n v="4.5"/>
    <n v="0"/>
    <s v="AZ111331"/>
    <n v="1511"/>
    <s v="FG Loose 3WH"/>
    <n v="5094249896"/>
    <s v="11.05.2026"/>
  </r>
  <r>
    <n v="1115"/>
    <n v="1115"/>
    <n v="10"/>
    <n v="2"/>
    <s v="Three Wheelers"/>
    <s v="F2"/>
    <s v="COMMERCIAL INVOICE"/>
    <n v="1526007262"/>
    <n v="1000007554"/>
    <m/>
    <m/>
    <x v="11"/>
    <n v="5100001919"/>
    <s v="ZSCH"/>
    <s v="Normal Sales"/>
    <n v="5500000930"/>
    <s v="23.07.2024"/>
    <n v="5356"/>
    <s v="LUMINAZ SAFETY GLASS PVT. LTD."/>
    <m/>
    <m/>
    <m/>
    <n v="1402010546"/>
    <s v="AA231597 - MUDGAURD ASSEMBLY REAR LH"/>
    <x v="3"/>
    <n v="87082900"/>
    <n v="140"/>
    <s v="EA"/>
    <n v="108.65"/>
    <s v="INR"/>
    <n v="15211"/>
    <n v="0"/>
    <n v="15211"/>
    <n v="0"/>
    <n v="0"/>
    <n v="0"/>
    <n v="0"/>
    <n v="15211"/>
    <n v="0"/>
    <n v="0"/>
    <n v="0"/>
    <n v="0"/>
    <n v="0"/>
    <n v="0"/>
    <n v="0"/>
    <n v="0"/>
    <n v="15211"/>
    <n v="0"/>
    <n v="0"/>
    <n v="311001"/>
    <s v="SALE SEMI FINISHED"/>
    <n v="1.75"/>
    <n v="1.75"/>
    <n v="0"/>
    <n v="2000001018"/>
    <n v="1402"/>
    <s v="SF Assembly"/>
    <s v="PENDING"/>
    <s v="Pending"/>
  </r>
  <r>
    <n v="1115"/>
    <n v="1115"/>
    <n v="10"/>
    <n v="2"/>
    <s v="Three Wheelers"/>
    <s v="F2"/>
    <s v="COMMERCIAL INVOICE"/>
    <n v="1526007261"/>
    <n v="1000007553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5623"/>
    <s v="12.05.2026"/>
  </r>
  <r>
    <n v="1115"/>
    <n v="1115"/>
    <n v="10"/>
    <n v="2"/>
    <s v="Three Wheelers"/>
    <s v="F2"/>
    <s v="COMMERCIAL INVOICE"/>
    <n v="1526007260"/>
    <n v="1000007551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5795"/>
    <s v="12.05.2026"/>
  </r>
  <r>
    <n v="1115"/>
    <n v="1115"/>
    <n v="10"/>
    <n v="2"/>
    <s v="Three Wheelers"/>
    <s v="F2"/>
    <s v="COMMERCIAL INVOICE"/>
    <n v="1526007259"/>
    <n v="1000007550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5408"/>
    <s v="12.05.2026"/>
  </r>
  <r>
    <n v="1115"/>
    <n v="1115"/>
    <n v="10"/>
    <n v="2"/>
    <s v="Three Wheelers"/>
    <s v="F2"/>
    <s v="COMMERCIAL INVOICE"/>
    <n v="1526007258"/>
    <n v="1000007548"/>
    <m/>
    <m/>
    <x v="1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61344"/>
    <s v="12.05.2026"/>
  </r>
  <r>
    <n v="1115"/>
    <n v="1115"/>
    <n v="10"/>
    <n v="2"/>
    <s v="Three Wheelers"/>
    <s v="F2"/>
    <s v="COMMERCIAL INVOICE"/>
    <n v="1526007254"/>
    <n v="1000007543"/>
    <m/>
    <m/>
    <x v="11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288"/>
    <s v="EA"/>
    <n v="174.61"/>
    <s v="INR"/>
    <n v="50287.68"/>
    <n v="0"/>
    <n v="50287.68"/>
    <n v="0"/>
    <n v="0"/>
    <n v="0"/>
    <n v="0"/>
    <n v="50287.68"/>
    <n v="0"/>
    <n v="0"/>
    <n v="0"/>
    <n v="0"/>
    <n v="0"/>
    <n v="0"/>
    <n v="0"/>
    <n v="0"/>
    <n v="50287.68"/>
    <n v="0"/>
    <n v="0"/>
    <n v="311000"/>
    <s v="SALE FINISHED GOODS"/>
    <n v="0"/>
    <n v="0"/>
    <n v="0"/>
    <s v="AF232042"/>
    <n v="1511"/>
    <s v="FG Loose 3WH"/>
    <n v="5094259868"/>
    <s v="12.05.2026"/>
  </r>
  <r>
    <n v="1115"/>
    <n v="1115"/>
    <n v="10"/>
    <n v="2"/>
    <s v="Three Wheelers"/>
    <s v="F2"/>
    <s v="COMMERCIAL INVOICE"/>
    <n v="1526007253"/>
    <n v="1000007542"/>
    <m/>
    <m/>
    <x v="11"/>
    <n v="5100001913"/>
    <s v="ZSCH"/>
    <s v="Normal Sales"/>
    <n v="4110050475"/>
    <s v="12.04.2024"/>
    <n v="5000"/>
    <s v="BAJAJ AUTO LIMITED (WALUJ)"/>
    <m/>
    <m/>
    <s v="27340676530V"/>
    <n v="1502040289"/>
    <s v="AF232042 TUBE ASSLY SUPPORT BACKREST"/>
    <x v="10"/>
    <n v="87082900"/>
    <n v="100"/>
    <s v="EA"/>
    <n v="174.61"/>
    <s v="INR"/>
    <n v="17461"/>
    <n v="0"/>
    <n v="17461"/>
    <n v="0"/>
    <n v="0"/>
    <n v="0"/>
    <n v="0"/>
    <n v="17461"/>
    <n v="0"/>
    <n v="0"/>
    <n v="0"/>
    <n v="0"/>
    <n v="0"/>
    <n v="0"/>
    <n v="0"/>
    <n v="0"/>
    <n v="17461"/>
    <n v="0"/>
    <n v="0"/>
    <n v="311000"/>
    <s v="SALE FINISHED GOODS"/>
    <n v="0"/>
    <n v="0"/>
    <n v="0"/>
    <s v="AF232042"/>
    <n v="1511"/>
    <s v="FG Loose 3WH"/>
    <n v="5094257104"/>
    <s v="12.05.2026"/>
  </r>
  <r>
    <n v="1115"/>
    <n v="1115"/>
    <n v="10"/>
    <n v="2"/>
    <s v="Three Wheelers"/>
    <s v="F2"/>
    <s v="COMMERCIAL INVOICE"/>
    <n v="1526007252"/>
    <n v="1000007539"/>
    <m/>
    <m/>
    <x v="11"/>
    <n v="5100001568"/>
    <s v="ZSCH"/>
    <s v="Normal Sales"/>
    <n v="4110023868"/>
    <s v="07.01.2020"/>
    <n v="5000"/>
    <s v="BAJAJ AUTO LIMITED (WALUJ)"/>
    <m/>
    <m/>
    <s v="27340676530V"/>
    <n v="1502040236"/>
    <s v="AF231720 TUBE ASSLY SUPPORT BACKREST"/>
    <x v="10"/>
    <n v="87082900"/>
    <n v="144"/>
    <s v="EA"/>
    <n v="134.19999999999999"/>
    <s v="INR"/>
    <n v="19324.8"/>
    <n v="0"/>
    <n v="19324.8"/>
    <n v="0"/>
    <n v="0"/>
    <n v="0"/>
    <n v="0"/>
    <n v="19324.8"/>
    <n v="0"/>
    <n v="0"/>
    <n v="0"/>
    <n v="0"/>
    <n v="0"/>
    <n v="0"/>
    <n v="0"/>
    <n v="0"/>
    <n v="19324.8"/>
    <n v="0"/>
    <n v="0"/>
    <n v="311000"/>
    <s v="SALE FINISHED GOODS"/>
    <n v="1.19"/>
    <n v="1.19"/>
    <n v="0"/>
    <s v="AF231720"/>
    <n v="1511"/>
    <s v="FG Loose 3WH"/>
    <n v="5094257095"/>
    <s v="12.05.2026"/>
  </r>
  <r>
    <n v="1115"/>
    <n v="1115"/>
    <n v="10"/>
    <n v="2"/>
    <s v="Three Wheelers"/>
    <s v="F2"/>
    <s v="COMMERCIAL INVOICE"/>
    <n v="1526007250"/>
    <n v="1000007537"/>
    <m/>
    <m/>
    <x v="11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256952"/>
    <s v="12.05.2026"/>
  </r>
  <r>
    <n v="1115"/>
    <n v="1115"/>
    <n v="10"/>
    <n v="2"/>
    <s v="Three Wheelers"/>
    <s v="F2"/>
    <s v="COMMERCIAL INVOICE"/>
    <n v="1526007248"/>
    <n v="1000007534"/>
    <m/>
    <m/>
    <x v="11"/>
    <n v="5200000328"/>
    <s v="ZSPR"/>
    <s v="Spare Sales"/>
    <n v="4310001699"/>
    <s v="01.07.2017"/>
    <n v="5000"/>
    <s v="BAJAJ AUTO LIMITED (WALUJ)"/>
    <m/>
    <m/>
    <s v="27340676530V"/>
    <n v="1502010016"/>
    <s v="PLATE CHECK FRONT MUD MOUNTING"/>
    <x v="13"/>
    <n v="87082900"/>
    <n v="3600"/>
    <s v="EA"/>
    <n v="8.4600000000000009"/>
    <s v="INR"/>
    <n v="30456"/>
    <n v="0"/>
    <n v="30456"/>
    <n v="0"/>
    <n v="0"/>
    <n v="0"/>
    <n v="0"/>
    <n v="30456"/>
    <n v="0"/>
    <n v="0"/>
    <n v="0"/>
    <n v="0"/>
    <n v="0"/>
    <n v="0"/>
    <n v="0"/>
    <n v="0"/>
    <n v="30456"/>
    <n v="0"/>
    <n v="0"/>
    <n v="311000"/>
    <s v="SALE FINISHED GOODS"/>
    <n v="0.08"/>
    <n v="6.3E-2"/>
    <n v="1.7000000000000001E-2"/>
    <s v="AB161182"/>
    <n v="1508"/>
    <s v="FG Attached Vendor Components 3 WH"/>
    <n v="5094263829"/>
    <s v="12.05.2026"/>
  </r>
  <r>
    <n v="1115"/>
    <n v="1115"/>
    <n v="10"/>
    <n v="2"/>
    <s v="Three Wheelers"/>
    <s v="F2"/>
    <s v="COMMERCIAL INVOICE"/>
    <n v="1526007247"/>
    <n v="1000007533"/>
    <m/>
    <m/>
    <x v="11"/>
    <n v="5200000319"/>
    <s v="ZSPR"/>
    <s v="Spare Sales"/>
    <n v="4310001698"/>
    <s v="01.07.2017"/>
    <n v="5000"/>
    <s v="BAJAJ AUTO LIMITED (WALUJ)"/>
    <m/>
    <m/>
    <s v="27340676530V"/>
    <n v="1502010024"/>
    <s v="ENGINE BRACKET REAR"/>
    <x v="15"/>
    <n v="87082900"/>
    <n v="400"/>
    <s v="EA"/>
    <n v="143.5"/>
    <s v="INR"/>
    <n v="57400"/>
    <n v="0"/>
    <n v="57400"/>
    <n v="0"/>
    <n v="0"/>
    <n v="0"/>
    <n v="0"/>
    <n v="57400"/>
    <n v="0"/>
    <n v="0"/>
    <n v="0"/>
    <n v="0"/>
    <n v="0"/>
    <n v="0"/>
    <n v="0"/>
    <n v="0"/>
    <n v="57400"/>
    <n v="0"/>
    <n v="0"/>
    <n v="311000"/>
    <s v="SALE FINISHED GOODS"/>
    <n v="1.38"/>
    <n v="1.38"/>
    <n v="0"/>
    <s v="BA102159"/>
    <n v="1508"/>
    <s v="FG Attached Vendor Components 3 WH"/>
    <n v="5094262762"/>
    <s v="12.05.2026"/>
  </r>
  <r>
    <n v="1115"/>
    <n v="1115"/>
    <n v="10"/>
    <n v="2"/>
    <s v="Three Wheelers"/>
    <s v="F2"/>
    <s v="COMMERCIAL INVOICE"/>
    <n v="1526007246"/>
    <n v="1000007531"/>
    <m/>
    <m/>
    <x v="11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540"/>
    <s v="EA"/>
    <n v="217.33"/>
    <s v="INR"/>
    <n v="117358.2"/>
    <n v="0"/>
    <n v="117358.2"/>
    <n v="0"/>
    <n v="0"/>
    <n v="0"/>
    <n v="0"/>
    <n v="117358.2"/>
    <n v="0"/>
    <n v="0"/>
    <n v="0"/>
    <n v="0"/>
    <n v="0"/>
    <n v="0"/>
    <n v="0"/>
    <n v="0"/>
    <n v="117358.2"/>
    <n v="0"/>
    <n v="0"/>
    <n v="311000"/>
    <s v="SALE FINISHED GOODS"/>
    <n v="1.19"/>
    <n v="1.19"/>
    <n v="0"/>
    <s v="AA102281"/>
    <n v="1511"/>
    <s v="FG Loose 3WH"/>
    <n v="5094263347"/>
    <s v="12.05.2026"/>
  </r>
  <r>
    <n v="1115"/>
    <n v="1115"/>
    <n v="10"/>
    <n v="2"/>
    <s v="Three Wheelers"/>
    <s v="F2"/>
    <s v="COMMERCIAL INVOICE"/>
    <n v="1526007245"/>
    <n v="1000007530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2"/>
    <s v="EA"/>
    <n v="8593.51"/>
    <s v="INR"/>
    <n v="17187.02"/>
    <n v="0"/>
    <n v="17187.02"/>
    <n v="0"/>
    <n v="0"/>
    <n v="0"/>
    <n v="0"/>
    <n v="17187.02"/>
    <n v="0"/>
    <n v="0"/>
    <n v="0"/>
    <n v="0"/>
    <n v="0"/>
    <n v="0"/>
    <n v="0"/>
    <n v="0"/>
    <n v="17187.02"/>
    <n v="0"/>
    <n v="0"/>
    <n v="311000"/>
    <s v="SALE FINISHED GOODS"/>
    <n v="93.34"/>
    <n v="75.430000000000007"/>
    <n v="17.91"/>
    <s v="52BB0638"/>
    <n v="1509"/>
    <s v="FG Body"/>
    <n v="5094258016"/>
    <s v="12.05.2026"/>
  </r>
  <r>
    <n v="1115"/>
    <n v="1115"/>
    <n v="10"/>
    <n v="2"/>
    <s v="Three Wheelers"/>
    <s v="F2"/>
    <s v="COMMERCIAL INVOICE"/>
    <n v="1526007244"/>
    <n v="1000007529"/>
    <m/>
    <m/>
    <x v="11"/>
    <n v="5100001943"/>
    <s v="ZSCH"/>
    <s v="Normal Sales"/>
    <n v="4110061540"/>
    <s v="11.07.2025"/>
    <n v="5000"/>
    <s v="BAJAJ AUTO LIMITED (WALUJ)"/>
    <m/>
    <m/>
    <s v="27340676530V"/>
    <n v="1502020117"/>
    <s v="52BK0023 BODY ASSLY MAXIMA HD EV"/>
    <x v="6"/>
    <n v="87082900"/>
    <n v="6"/>
    <s v="EA"/>
    <n v="8350.51"/>
    <s v="INR"/>
    <n v="50103.06"/>
    <n v="0"/>
    <n v="50103.06"/>
    <n v="0"/>
    <n v="0"/>
    <n v="0"/>
    <n v="0"/>
    <n v="50103.06"/>
    <n v="0"/>
    <n v="0"/>
    <n v="0"/>
    <n v="0"/>
    <n v="0"/>
    <n v="0"/>
    <n v="0"/>
    <n v="0"/>
    <n v="50103.06"/>
    <n v="0"/>
    <n v="0"/>
    <n v="311000"/>
    <s v="SALE FINISHED GOODS"/>
    <n v="63"/>
    <n v="63"/>
    <n v="0"/>
    <s v="52BK0023"/>
    <n v="1509"/>
    <s v="FG Body"/>
    <n v="5094257925"/>
    <s v="12.05.2026"/>
  </r>
  <r>
    <n v="1115"/>
    <n v="1115"/>
    <n v="10"/>
    <n v="2"/>
    <s v="Three Wheelers"/>
    <s v="F2"/>
    <s v="COMMERCIAL INVOICE"/>
    <n v="1526007243"/>
    <n v="1000007528"/>
    <m/>
    <m/>
    <x v="11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268235"/>
    <s v="12.05.2026"/>
  </r>
  <r>
    <n v="1115"/>
    <n v="1115"/>
    <n v="10"/>
    <n v="2"/>
    <s v="Three Wheelers"/>
    <s v="F2"/>
    <s v="COMMERCIAL INVOICE"/>
    <n v="1526007242"/>
    <n v="1000007527"/>
    <m/>
    <m/>
    <x v="11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268241"/>
    <s v="12.05.2026"/>
  </r>
  <r>
    <n v="1115"/>
    <n v="1115"/>
    <n v="10"/>
    <n v="2"/>
    <s v="Three Wheelers"/>
    <s v="F2"/>
    <s v="COMMERCIAL INVOICE"/>
    <n v="1526007240"/>
    <n v="1000007526"/>
    <m/>
    <m/>
    <x v="1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67426"/>
    <s v="12.05.2026"/>
  </r>
  <r>
    <n v="1115"/>
    <n v="1115"/>
    <n v="10"/>
    <n v="2"/>
    <s v="Three Wheelers"/>
    <s v="F2"/>
    <s v="COMMERCIAL INVOICE"/>
    <n v="1526007239"/>
    <n v="1000007525"/>
    <m/>
    <m/>
    <x v="1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67428"/>
    <s v="12.05.2026"/>
  </r>
  <r>
    <n v="1115"/>
    <n v="1115"/>
    <n v="10"/>
    <n v="2"/>
    <s v="Three Wheelers"/>
    <s v="F2"/>
    <s v="COMMERCIAL INVOICE"/>
    <n v="1526007238"/>
    <n v="1000007524"/>
    <m/>
    <m/>
    <x v="11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n v="5094266413"/>
    <s v="12.05.2026"/>
  </r>
  <r>
    <n v="1115"/>
    <n v="1115"/>
    <n v="10"/>
    <n v="2"/>
    <s v="Three Wheelers"/>
    <s v="F2"/>
    <s v="COMMERCIAL INVOICE"/>
    <n v="1526007237"/>
    <n v="1000007523"/>
    <m/>
    <m/>
    <x v="1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48"/>
    <s v="EA"/>
    <n v="290.89999999999998"/>
    <s v="INR"/>
    <n v="130323.2"/>
    <n v="0"/>
    <n v="130323.2"/>
    <n v="0"/>
    <n v="0"/>
    <n v="0"/>
    <n v="0"/>
    <n v="130323.2"/>
    <n v="0"/>
    <n v="0"/>
    <n v="0"/>
    <n v="0"/>
    <n v="0"/>
    <n v="0"/>
    <n v="0"/>
    <n v="0"/>
    <n v="130323.2"/>
    <n v="0"/>
    <n v="0"/>
    <n v="311000"/>
    <s v="SALE FINISHED GOODS"/>
    <n v="4.5"/>
    <n v="4.5"/>
    <n v="0"/>
    <s v="AZ111331"/>
    <n v="1511"/>
    <s v="FG Loose 3WH"/>
    <n v="5094266411"/>
    <s v="12.05.2026"/>
  </r>
  <r>
    <n v="1115"/>
    <n v="1115"/>
    <n v="10"/>
    <n v="2"/>
    <s v="Three Wheelers"/>
    <s v="F2"/>
    <s v="COMMERCIAL INVOICE"/>
    <n v="1526007236"/>
    <n v="1000007522"/>
    <m/>
    <m/>
    <x v="11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257678"/>
    <s v="12.05.2026"/>
  </r>
  <r>
    <n v="1115"/>
    <n v="1115"/>
    <n v="10"/>
    <n v="2"/>
    <s v="Three Wheelers"/>
    <s v="F2"/>
    <s v="COMMERCIAL INVOICE"/>
    <n v="1526007234"/>
    <n v="1000007521"/>
    <m/>
    <m/>
    <x v="11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257677"/>
    <s v="12.05.2026"/>
  </r>
  <r>
    <n v="1115"/>
    <n v="1115"/>
    <n v="10"/>
    <n v="2"/>
    <s v="Three Wheelers"/>
    <s v="F2"/>
    <s v="COMMERCIAL INVOICE"/>
    <n v="1526007230"/>
    <n v="1000007518"/>
    <m/>
    <m/>
    <x v="1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67520"/>
    <s v="12.05.2026"/>
  </r>
  <r>
    <n v="1115"/>
    <n v="1115"/>
    <n v="10"/>
    <n v="2"/>
    <s v="Three Wheelers"/>
    <s v="F2"/>
    <s v="COMMERCIAL INVOICE"/>
    <n v="1526007229"/>
    <n v="1000007517"/>
    <m/>
    <m/>
    <x v="1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67368"/>
    <s v="12.05.2026"/>
  </r>
  <r>
    <n v="1115"/>
    <n v="1115"/>
    <n v="10"/>
    <n v="2"/>
    <s v="Three Wheelers"/>
    <s v="F2"/>
    <s v="COMMERCIAL INVOICE"/>
    <n v="1526007228"/>
    <n v="1000007516"/>
    <m/>
    <m/>
    <x v="11"/>
    <n v="5100001636"/>
    <s v="ZSCH"/>
    <s v="Normal Sales"/>
    <n v="4110026445"/>
    <s v="23.07.2020"/>
    <n v="5000"/>
    <s v="BAJAJ AUTO LIMITED (WALUJ)"/>
    <m/>
    <m/>
    <s v="27340676530V"/>
    <n v="1502020104"/>
    <s v="AA231532 BODY ASSLY PETROL"/>
    <x v="1"/>
    <n v="87082900"/>
    <n v="15"/>
    <s v="EA"/>
    <n v="6585.55"/>
    <s v="INR"/>
    <n v="98783.25"/>
    <n v="0"/>
    <n v="98783.25"/>
    <n v="0"/>
    <n v="0"/>
    <n v="0"/>
    <n v="0"/>
    <n v="98783.25"/>
    <n v="0"/>
    <n v="0"/>
    <n v="0"/>
    <n v="0"/>
    <n v="0"/>
    <n v="0"/>
    <n v="0"/>
    <n v="0"/>
    <n v="98783.25"/>
    <n v="0"/>
    <n v="0"/>
    <n v="311000"/>
    <s v="SALE FINISHED GOODS"/>
    <n v="49.75"/>
    <n v="49.75"/>
    <n v="0"/>
    <s v="AA231532"/>
    <n v="1509"/>
    <s v="FG Body"/>
    <n v="5094268226"/>
    <s v="12.05.2026"/>
  </r>
  <r>
    <n v="1115"/>
    <n v="1115"/>
    <n v="10"/>
    <n v="2"/>
    <s v="Three Wheelers"/>
    <s v="F2"/>
    <s v="COMMERCIAL INVOICE"/>
    <n v="1526007227"/>
    <n v="1000007515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57969"/>
    <s v="12.05.2026"/>
  </r>
  <r>
    <n v="1115"/>
    <n v="1115"/>
    <n v="10"/>
    <n v="2"/>
    <s v="Three Wheelers"/>
    <s v="F2"/>
    <s v="COMMERCIAL INVOICE"/>
    <n v="1526007226"/>
    <n v="1000007514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57960"/>
    <s v="12.05.2026"/>
  </r>
  <r>
    <n v="1115"/>
    <n v="1115"/>
    <n v="10"/>
    <n v="2"/>
    <s v="Three Wheelers"/>
    <s v="F2"/>
    <s v="COMMERCIAL INVOICE"/>
    <n v="1526007225"/>
    <n v="1000007513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58140"/>
    <s v="12.05.2026"/>
  </r>
  <r>
    <n v="1115"/>
    <n v="1115"/>
    <n v="10"/>
    <n v="2"/>
    <s v="Three Wheelers"/>
    <s v="F2"/>
    <s v="COMMERCIAL INVOICE"/>
    <n v="1526007222"/>
    <n v="1000007510"/>
    <m/>
    <m/>
    <x v="1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61504"/>
    <s v="12.05.2026"/>
  </r>
  <r>
    <n v="1115"/>
    <n v="1115"/>
    <n v="10"/>
    <n v="2"/>
    <s v="Three Wheelers"/>
    <s v="F2"/>
    <s v="COMMERCIAL INVOICE"/>
    <n v="1526007221"/>
    <n v="1000007509"/>
    <m/>
    <m/>
    <x v="1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59874"/>
    <s v="12.05.2026"/>
  </r>
  <r>
    <n v="1115"/>
    <n v="1115"/>
    <n v="10"/>
    <n v="2"/>
    <s v="Three Wheelers"/>
    <s v="F2"/>
    <s v="COMMERCIAL INVOICE"/>
    <n v="1526007220"/>
    <n v="1000007508"/>
    <m/>
    <m/>
    <x v="11"/>
    <n v="5100001101"/>
    <s v="ZSCH"/>
    <s v="Normal Sales"/>
    <n v="4110004653"/>
    <s v="01.07.2017"/>
    <n v="5000"/>
    <s v="BAJAJ AUTO LIMITED (WALUJ)"/>
    <m/>
    <m/>
    <s v="27340676530V"/>
    <n v="1502040194"/>
    <s v="AL161775 HYDROFORM CRADEL BSIV"/>
    <x v="7"/>
    <n v="87082900"/>
    <n v="48"/>
    <s v="EA"/>
    <n v="956.92"/>
    <s v="INR"/>
    <n v="45932.160000000003"/>
    <n v="0"/>
    <n v="45932.160000000003"/>
    <n v="0"/>
    <n v="0"/>
    <n v="0"/>
    <n v="0"/>
    <n v="45932.160000000003"/>
    <n v="0"/>
    <n v="0"/>
    <n v="0"/>
    <n v="0"/>
    <n v="0"/>
    <n v="0"/>
    <n v="0"/>
    <n v="0"/>
    <n v="45932.160000000003"/>
    <n v="0"/>
    <n v="0"/>
    <n v="311000"/>
    <s v="SALE FINISHED GOODS"/>
    <n v="6.3769999999999998"/>
    <n v="6.3769999999999998"/>
    <n v="0"/>
    <s v="AL161775"/>
    <n v="1511"/>
    <s v="FG Loose 3WH"/>
    <n v="5094253354"/>
    <s v="12.05.2026"/>
  </r>
  <r>
    <n v="1115"/>
    <n v="1115"/>
    <n v="10"/>
    <n v="2"/>
    <s v="Three Wheelers"/>
    <s v="F2"/>
    <s v="COMMERCIAL INVOICE"/>
    <n v="1526007297"/>
    <n v="1000007592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7246"/>
    <s v="12.05.2026"/>
  </r>
  <r>
    <n v="1115"/>
    <n v="1115"/>
    <n v="10"/>
    <n v="2"/>
    <s v="Three Wheelers"/>
    <s v="F2"/>
    <s v="COMMERCIAL INVOICE"/>
    <n v="1526007296"/>
    <n v="1000007591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70009"/>
    <s v="12.05.2026"/>
  </r>
  <r>
    <n v="1115"/>
    <n v="1115"/>
    <n v="10"/>
    <n v="2"/>
    <s v="Three Wheelers"/>
    <s v="F2"/>
    <s v="COMMERCIAL INVOICE"/>
    <n v="1526007295"/>
    <n v="1000007590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70012"/>
    <s v="12.05.2026"/>
  </r>
  <r>
    <n v="1115"/>
    <n v="1115"/>
    <n v="10"/>
    <n v="2"/>
    <s v="Three Wheelers"/>
    <s v="F2"/>
    <s v="COMMERCIAL INVOICE"/>
    <n v="1526007294"/>
    <n v="1000007589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2"/>
    <s v="EA"/>
    <n v="6570.77"/>
    <s v="INR"/>
    <n v="78849.240000000005"/>
    <n v="0"/>
    <n v="78849.240000000005"/>
    <n v="0"/>
    <n v="0"/>
    <n v="0"/>
    <n v="0"/>
    <n v="78849.240000000005"/>
    <n v="0"/>
    <n v="0"/>
    <n v="0"/>
    <n v="0"/>
    <n v="0"/>
    <n v="0"/>
    <n v="0"/>
    <n v="0"/>
    <n v="78849.240000000005"/>
    <n v="0"/>
    <n v="0"/>
    <n v="311000"/>
    <s v="SALE FINISHED GOODS"/>
    <n v="49.75"/>
    <n v="49.75"/>
    <n v="0"/>
    <s v="52AU0123"/>
    <n v="1509"/>
    <s v="FG Body"/>
    <n v="5094267092"/>
    <s v="12.05.2026"/>
  </r>
  <r>
    <n v="1115"/>
    <n v="1115"/>
    <n v="10"/>
    <n v="2"/>
    <s v="Three Wheelers"/>
    <s v="F2"/>
    <s v="COMMERCIAL INVOICE"/>
    <n v="1526007293"/>
    <n v="1000007586"/>
    <m/>
    <m/>
    <x v="11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90"/>
    <s v="EA"/>
    <n v="291.27999999999997"/>
    <s v="INR"/>
    <n v="26215.200000000001"/>
    <n v="0"/>
    <n v="26215.200000000001"/>
    <n v="0"/>
    <n v="0"/>
    <n v="0"/>
    <n v="0"/>
    <n v="26215.200000000001"/>
    <n v="0"/>
    <n v="0"/>
    <n v="0"/>
    <n v="0"/>
    <n v="0"/>
    <n v="0"/>
    <n v="0"/>
    <n v="0"/>
    <n v="26215.200000000001"/>
    <n v="0"/>
    <n v="0"/>
    <n v="311000"/>
    <s v="SALE FINISHED GOODS"/>
    <n v="2.37"/>
    <n v="2.37"/>
    <n v="0"/>
    <s v="AH115161"/>
    <n v="1511"/>
    <s v="FG Loose 3WH"/>
    <n v="5094266020"/>
    <s v="12.05.2026"/>
  </r>
  <r>
    <n v="1115"/>
    <n v="1115"/>
    <n v="10"/>
    <n v="2"/>
    <s v="Three Wheelers"/>
    <s v="F2"/>
    <s v="COMMERCIAL INVOICE"/>
    <n v="1526007292"/>
    <n v="1000007585"/>
    <m/>
    <m/>
    <x v="11"/>
    <n v="5100001899"/>
    <s v="ZSCH"/>
    <s v="Normal Sales"/>
    <n v="4110041854"/>
    <s v="03.03.2023"/>
    <n v="5000"/>
    <s v="BAJAJ AUTO LIMITED (WALUJ)"/>
    <m/>
    <m/>
    <s v="27340676530V"/>
    <n v="1502040267"/>
    <s v="AZ111331_06 SUPPORT ASSLY DASHBOARD"/>
    <x v="9"/>
    <n v="87082900"/>
    <n v="416"/>
    <s v="EA"/>
    <n v="290.89999999999998"/>
    <s v="INR"/>
    <n v="121014.39999999999"/>
    <n v="0"/>
    <n v="121014.39999999999"/>
    <n v="0"/>
    <n v="0"/>
    <n v="0"/>
    <n v="0"/>
    <n v="121014.39999999999"/>
    <n v="0"/>
    <n v="0"/>
    <n v="0"/>
    <n v="0"/>
    <n v="0"/>
    <n v="0"/>
    <n v="0"/>
    <n v="0"/>
    <n v="121014.39999999999"/>
    <n v="0"/>
    <n v="0"/>
    <n v="311000"/>
    <s v="SALE FINISHED GOODS"/>
    <n v="4.5"/>
    <n v="4.5"/>
    <n v="0"/>
    <s v="AZ111331"/>
    <n v="1511"/>
    <s v="FG Loose 3WH"/>
    <n v="5094266027"/>
    <s v="12.05.2026"/>
  </r>
  <r>
    <n v="1115"/>
    <n v="1115"/>
    <n v="10"/>
    <n v="2"/>
    <s v="Three Wheelers"/>
    <s v="F2"/>
    <s v="COMMERCIAL INVOICE"/>
    <n v="1526007291"/>
    <n v="1000007584"/>
    <m/>
    <m/>
    <x v="11"/>
    <n v="5100001907"/>
    <s v="ZSCH"/>
    <s v="Normal Sales"/>
    <n v="4110046150"/>
    <s v="11.10.2023"/>
    <n v="5000"/>
    <s v="BAJAJ AUTO LIMITED (WALUJ)"/>
    <m/>
    <m/>
    <s v="27340676530V"/>
    <n v="1502040271"/>
    <s v="AH181418_03 MUDGUARD ASSLY FRONT"/>
    <x v="16"/>
    <n v="87082900"/>
    <n v="100"/>
    <s v="EA"/>
    <n v="402.9"/>
    <s v="INR"/>
    <n v="40290"/>
    <n v="0"/>
    <n v="40290"/>
    <n v="0"/>
    <n v="0"/>
    <n v="0"/>
    <n v="0"/>
    <n v="40290"/>
    <n v="0"/>
    <n v="0"/>
    <n v="0"/>
    <n v="0"/>
    <n v="0"/>
    <n v="0"/>
    <n v="0"/>
    <n v="0"/>
    <n v="40290"/>
    <n v="0"/>
    <n v="0"/>
    <n v="311000"/>
    <s v="SALE FINISHED GOODS"/>
    <n v="1.82"/>
    <n v="1.82"/>
    <n v="0"/>
    <s v="AH181418"/>
    <n v="1511"/>
    <s v="FG Loose 3WH"/>
    <n v="5094265991"/>
    <s v="12.05.2026"/>
  </r>
  <r>
    <n v="1115"/>
    <n v="1115"/>
    <n v="10"/>
    <n v="2"/>
    <s v="Three Wheelers"/>
    <s v="F2"/>
    <s v="COMMERCIAL INVOICE"/>
    <n v="1526007290"/>
    <n v="1000007583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70596"/>
    <s v="12.05.2026"/>
  </r>
  <r>
    <n v="1115"/>
    <n v="1115"/>
    <n v="10"/>
    <n v="2"/>
    <s v="Three Wheelers"/>
    <s v="F2"/>
    <s v="COMMERCIAL INVOICE"/>
    <n v="1526007289"/>
    <n v="1000007582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7247"/>
    <s v="12.05.2026"/>
  </r>
  <r>
    <n v="1115"/>
    <n v="1115"/>
    <n v="10"/>
    <n v="2"/>
    <s v="Three Wheelers"/>
    <s v="F2"/>
    <s v="COMMERCIAL INVOICE"/>
    <n v="1526007288"/>
    <n v="1000007581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6115"/>
    <s v="12.05.2026"/>
  </r>
  <r>
    <n v="1115"/>
    <n v="1115"/>
    <n v="10"/>
    <n v="2"/>
    <s v="Three Wheelers"/>
    <s v="F2"/>
    <s v="COMMERCIAL INVOICE"/>
    <n v="1526007287"/>
    <n v="1000007580"/>
    <m/>
    <m/>
    <x v="11"/>
    <n v="5100001955"/>
    <s v="ZSCH"/>
    <s v="Normal Sales"/>
    <n v="5500001432"/>
    <s v="27.04.2026"/>
    <n v="5356"/>
    <s v="LUMINAZ SAFETY GLASS PVT. LTD."/>
    <m/>
    <m/>
    <m/>
    <n v="1104040829"/>
    <s v="AZ244025 DOOR INNER ENGINE ACC CVR UG"/>
    <x v="14"/>
    <n v="87141090"/>
    <n v="100"/>
    <s v="EA"/>
    <n v="136.6"/>
    <s v="INR"/>
    <n v="13660"/>
    <n v="0"/>
    <n v="13660"/>
    <n v="0"/>
    <n v="0"/>
    <n v="0"/>
    <n v="0"/>
    <n v="13660"/>
    <n v="0"/>
    <n v="0"/>
    <n v="0"/>
    <n v="0"/>
    <n v="0"/>
    <n v="0"/>
    <n v="0"/>
    <n v="0"/>
    <n v="13660"/>
    <n v="0"/>
    <n v="0"/>
    <n v="311003"/>
    <s v="SALE RAW MATERIAL"/>
    <n v="2.62"/>
    <n v="2.62"/>
    <n v="0"/>
    <n v="2000000894"/>
    <n v="1123"/>
    <s v="RM Comp. Press"/>
    <s v="PENDING"/>
    <s v="Pending"/>
  </r>
  <r>
    <n v="1115"/>
    <n v="1115"/>
    <n v="10"/>
    <n v="2"/>
    <s v="Three Wheelers"/>
    <s v="F2"/>
    <s v="COMMERCIAL INVOICE"/>
    <n v="1526007284"/>
    <n v="1000007577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72658"/>
    <s v="12.05.2026"/>
  </r>
  <r>
    <n v="1115"/>
    <n v="1115"/>
    <n v="10"/>
    <n v="2"/>
    <s v="Three Wheelers"/>
    <s v="F2"/>
    <s v="COMMERCIAL INVOICE"/>
    <n v="1526007283"/>
    <n v="1000007576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64341"/>
    <s v="12.05.2026"/>
  </r>
  <r>
    <n v="1115"/>
    <n v="1115"/>
    <n v="10"/>
    <n v="2"/>
    <s v="Three Wheelers"/>
    <s v="F2"/>
    <s v="COMMERCIAL INVOICE"/>
    <n v="1526007282"/>
    <n v="1000007575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59977"/>
    <s v="12.05.2026"/>
  </r>
  <r>
    <n v="1115"/>
    <n v="1115"/>
    <n v="10"/>
    <n v="2"/>
    <s v="Three Wheelers"/>
    <s v="F2"/>
    <s v="COMMERCIAL INVOICE"/>
    <n v="1526007281"/>
    <n v="1000007574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65694"/>
    <s v="12.05.2026"/>
  </r>
  <r>
    <n v="1115"/>
    <n v="1115"/>
    <n v="10"/>
    <n v="2"/>
    <s v="Three Wheelers"/>
    <s v="F2"/>
    <s v="COMMERCIAL INVOICE"/>
    <n v="1526007280"/>
    <n v="1000007573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59073"/>
    <s v="12.05.2026"/>
  </r>
  <r>
    <n v="1115"/>
    <n v="1115"/>
    <n v="10"/>
    <n v="2"/>
    <s v="Three Wheelers"/>
    <s v="F2"/>
    <s v="COMMERCIAL INVOICE"/>
    <n v="1526007278"/>
    <n v="1000007571"/>
    <m/>
    <m/>
    <x v="1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277"/>
    <n v="1000007570"/>
    <m/>
    <m/>
    <x v="1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276"/>
    <n v="1000007569"/>
    <m/>
    <m/>
    <x v="1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275"/>
    <n v="1000007568"/>
    <m/>
    <m/>
    <x v="1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274"/>
    <n v="1000007567"/>
    <m/>
    <m/>
    <x v="1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273"/>
    <n v="1000007566"/>
    <m/>
    <m/>
    <x v="1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272"/>
    <n v="1000007565"/>
    <m/>
    <m/>
    <x v="1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271"/>
    <n v="1000007564"/>
    <m/>
    <m/>
    <x v="1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270"/>
    <n v="1000007563"/>
    <m/>
    <m/>
    <x v="11"/>
    <n v="5100001919"/>
    <s v="ZSCH"/>
    <s v="Normal Sales"/>
    <n v="5500000930"/>
    <s v="23.07.2024"/>
    <n v="5356"/>
    <s v="LUMINAZ SAFETY GLASS PVT. LTD."/>
    <m/>
    <m/>
    <m/>
    <n v="1502010011"/>
    <s v="REAR MUDGUARD ASSEMBLY"/>
    <x v="12"/>
    <n v="87082900"/>
    <n v="432"/>
    <s v="EA"/>
    <n v="89.25"/>
    <s v="INR"/>
    <n v="38556"/>
    <n v="0"/>
    <n v="38556"/>
    <n v="0"/>
    <n v="0"/>
    <n v="0"/>
    <n v="0"/>
    <n v="38556"/>
    <n v="0"/>
    <n v="0"/>
    <n v="0"/>
    <n v="0"/>
    <n v="0"/>
    <n v="0"/>
    <n v="0"/>
    <n v="0"/>
    <n v="38556"/>
    <n v="0"/>
    <n v="0"/>
    <n v="311000"/>
    <s v="SALE FINISHED GOODS"/>
    <n v="1.32"/>
    <n v="0.72399999999999998"/>
    <n v="0.59599999999999997"/>
    <n v="2000001017"/>
    <n v="1508"/>
    <s v="FG Attached Vendor Components 3 WH"/>
    <s v="PENDING"/>
    <s v="Pending"/>
  </r>
  <r>
    <n v="1115"/>
    <n v="1115"/>
    <n v="10"/>
    <n v="2"/>
    <s v="Three Wheelers"/>
    <s v="F2"/>
    <s v="COMMERCIAL INVOICE"/>
    <n v="1526007269"/>
    <n v="1000007562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59142"/>
    <s v="12.05.2026"/>
  </r>
  <r>
    <n v="1115"/>
    <n v="1115"/>
    <n v="10"/>
    <n v="2"/>
    <s v="Three Wheelers"/>
    <s v="F2"/>
    <s v="COMMERCIAL INVOICE"/>
    <n v="1526007268"/>
    <n v="1000007561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57940"/>
    <s v="12.05.2026"/>
  </r>
  <r>
    <n v="1115"/>
    <n v="1115"/>
    <n v="10"/>
    <n v="2"/>
    <s v="Three Wheelers"/>
    <s v="F2"/>
    <s v="COMMERCIAL INVOICE"/>
    <n v="1526007267"/>
    <n v="1000007560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57934"/>
    <s v="12.05.2026"/>
  </r>
  <r>
    <n v="1115"/>
    <n v="1115"/>
    <n v="10"/>
    <n v="2"/>
    <s v="Three Wheelers"/>
    <s v="F2"/>
    <s v="COMMERCIAL INVOICE"/>
    <n v="1526007266"/>
    <n v="1000007558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5614"/>
    <s v="12.05.2026"/>
  </r>
  <r>
    <n v="1115"/>
    <n v="1115"/>
    <n v="10"/>
    <n v="2"/>
    <s v="Three Wheelers"/>
    <s v="F2"/>
    <s v="COMMERCIAL INVOICE"/>
    <n v="1526007264"/>
    <n v="1000007556"/>
    <m/>
    <m/>
    <x v="11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5610"/>
    <s v="12.05.2026"/>
  </r>
  <r>
    <n v="1115"/>
    <n v="1115"/>
    <n v="10"/>
    <n v="2"/>
    <s v="Three Wheelers"/>
    <s v="F2"/>
    <s v="COMMERCIAL INVOICE"/>
    <n v="1526007263"/>
    <n v="1000007555"/>
    <m/>
    <m/>
    <x v="11"/>
    <n v="5100001919"/>
    <s v="ZSCH"/>
    <s v="Normal Sales"/>
    <n v="5500000930"/>
    <s v="23.07.2024"/>
    <n v="5356"/>
    <s v="LUMINAZ SAFETY GLASS PVT. LTD."/>
    <m/>
    <m/>
    <m/>
    <n v="1402010547"/>
    <s v="AA231598 - MUDGAURD ASSEMBLY REAR RH"/>
    <x v="3"/>
    <n v="87082900"/>
    <n v="140"/>
    <s v="EA"/>
    <n v="108.65"/>
    <s v="INR"/>
    <n v="15211"/>
    <n v="0"/>
    <n v="15211"/>
    <n v="0"/>
    <n v="0"/>
    <n v="0"/>
    <n v="0"/>
    <n v="15211"/>
    <n v="0"/>
    <n v="0"/>
    <n v="0"/>
    <n v="0"/>
    <n v="0"/>
    <n v="0"/>
    <n v="0"/>
    <n v="0"/>
    <n v="15211"/>
    <n v="0"/>
    <n v="0"/>
    <n v="311001"/>
    <s v="SALE SEMI FINISHED"/>
    <n v="1.75"/>
    <n v="1.75"/>
    <n v="0"/>
    <n v="2000001019"/>
    <n v="1402"/>
    <s v="SF Assembly"/>
    <s v="PENDING"/>
    <s v="Pending"/>
  </r>
  <r>
    <n v="1115"/>
    <n v="1115"/>
    <n v="10"/>
    <n v="2"/>
    <s v="Three Wheelers"/>
    <s v="F2"/>
    <s v="COMMERCIAL INVOICE"/>
    <n v="1526007219"/>
    <n v="1000007507"/>
    <m/>
    <m/>
    <x v="11"/>
    <n v="5100001588"/>
    <s v="ZSCH"/>
    <s v="Normal Sales"/>
    <n v="4110025058"/>
    <s v="18.02.2020"/>
    <n v="5000"/>
    <s v="BAJAJ AUTO LIMITED (WALUJ)"/>
    <m/>
    <m/>
    <s v="27340676530V"/>
    <n v="1502040235"/>
    <s v="AA102281_ASSLY HANDLE STARTING"/>
    <x v="11"/>
    <n v="87082900"/>
    <n v="300"/>
    <s v="EA"/>
    <n v="217.33"/>
    <s v="INR"/>
    <n v="65199"/>
    <n v="0"/>
    <n v="65199"/>
    <n v="0"/>
    <n v="0"/>
    <n v="0"/>
    <n v="0"/>
    <n v="65199"/>
    <n v="0"/>
    <n v="0"/>
    <n v="0"/>
    <n v="0"/>
    <n v="0"/>
    <n v="0"/>
    <n v="0"/>
    <n v="0"/>
    <n v="65199"/>
    <n v="0"/>
    <n v="0"/>
    <n v="311000"/>
    <s v="SALE FINISHED GOODS"/>
    <n v="1.19"/>
    <n v="1.19"/>
    <n v="0"/>
    <s v="AA102281"/>
    <n v="1511"/>
    <s v="FG Loose 3WH"/>
    <n v="5094257123"/>
    <s v="12.05.2026"/>
  </r>
  <r>
    <n v="1115"/>
    <n v="1115"/>
    <n v="10"/>
    <n v="2"/>
    <s v="Three Wheelers"/>
    <s v="F2"/>
    <s v="COMMERCIAL INVOICE"/>
    <n v="1526007185"/>
    <n v="1000007474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56819"/>
    <s v="11.05.2026"/>
  </r>
  <r>
    <n v="1115"/>
    <n v="1115"/>
    <n v="10"/>
    <n v="2"/>
    <s v="Three Wheelers"/>
    <s v="F2"/>
    <s v="COMMERCIAL INVOICE"/>
    <n v="1526007184"/>
    <n v="1000007473"/>
    <m/>
    <m/>
    <x v="12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251876"/>
    <s v="11.05.2026"/>
  </r>
  <r>
    <n v="1115"/>
    <n v="1115"/>
    <n v="10"/>
    <n v="2"/>
    <s v="Three Wheelers"/>
    <s v="F2"/>
    <s v="COMMERCIAL INVOICE"/>
    <n v="1526007183"/>
    <n v="1000007472"/>
    <m/>
    <m/>
    <x v="12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250021"/>
    <s v="11.05.2026"/>
  </r>
  <r>
    <n v="1115"/>
    <n v="1115"/>
    <n v="10"/>
    <n v="2"/>
    <s v="Three Wheelers"/>
    <s v="F2"/>
    <s v="COMMERCIAL INVOICE"/>
    <n v="1526007182"/>
    <n v="1000007471"/>
    <m/>
    <m/>
    <x v="12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250061"/>
    <s v="11.05.2026"/>
  </r>
  <r>
    <n v="1115"/>
    <n v="1115"/>
    <n v="10"/>
    <n v="2"/>
    <s v="Three Wheelers"/>
    <s v="F2"/>
    <s v="COMMERCIAL INVOICE"/>
    <n v="1526007181"/>
    <n v="1000007470"/>
    <m/>
    <m/>
    <x v="12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249977"/>
    <s v="11.05.2026"/>
  </r>
  <r>
    <n v="1115"/>
    <n v="1115"/>
    <n v="10"/>
    <n v="2"/>
    <s v="Three Wheelers"/>
    <s v="F2"/>
    <s v="COMMERCIAL INVOICE"/>
    <n v="1526007180"/>
    <n v="1000007469"/>
    <m/>
    <m/>
    <x v="12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251874"/>
    <s v="11.05.2026"/>
  </r>
  <r>
    <n v="1115"/>
    <n v="1115"/>
    <n v="10"/>
    <n v="2"/>
    <s v="Three Wheelers"/>
    <s v="F2"/>
    <s v="COMMERCIAL INVOICE"/>
    <n v="1526007179"/>
    <n v="1000007468"/>
    <m/>
    <m/>
    <x v="12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249701"/>
    <s v="11.05.2026"/>
  </r>
  <r>
    <n v="1115"/>
    <n v="1115"/>
    <n v="10"/>
    <n v="2"/>
    <s v="Three Wheelers"/>
    <s v="F2"/>
    <s v="COMMERCIAL INVOICE"/>
    <n v="1526007178"/>
    <n v="1000007467"/>
    <m/>
    <m/>
    <x v="12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250118"/>
    <s v="11.05.2026"/>
  </r>
  <r>
    <n v="1115"/>
    <n v="1115"/>
    <n v="10"/>
    <n v="2"/>
    <s v="Three Wheelers"/>
    <s v="F2"/>
    <s v="COMMERCIAL INVOICE"/>
    <n v="1526007177"/>
    <n v="1000007466"/>
    <m/>
    <m/>
    <x v="12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260000"/>
    <s v="11.05.2026"/>
  </r>
  <r>
    <n v="1115"/>
    <n v="1115"/>
    <n v="10"/>
    <n v="2"/>
    <s v="Three Wheelers"/>
    <s v="F2"/>
    <s v="COMMERCIAL INVOICE"/>
    <n v="1526007176"/>
    <n v="1000007465"/>
    <m/>
    <m/>
    <x v="12"/>
    <n v="5100001227"/>
    <s v="ZSCH"/>
    <s v="Normal Sales"/>
    <n v="4110011319"/>
    <s v="18.12.2017"/>
    <n v="5000"/>
    <s v="BAJAJ AUTO LIMITED (WALUJ)"/>
    <m/>
    <m/>
    <s v="27340676530V"/>
    <n v="1502020074"/>
    <s v="52AZ0184 BODY ASSLY MAX Z WTH REGU. HOOD"/>
    <x v="0"/>
    <n v="87082900"/>
    <n v="10"/>
    <s v="EA"/>
    <n v="9397.5"/>
    <s v="INR"/>
    <n v="93975"/>
    <n v="0"/>
    <n v="93975"/>
    <n v="0"/>
    <n v="0"/>
    <n v="0"/>
    <n v="0"/>
    <n v="93975"/>
    <n v="0"/>
    <n v="0"/>
    <n v="0"/>
    <n v="0"/>
    <n v="0"/>
    <n v="0"/>
    <n v="0"/>
    <n v="0"/>
    <n v="93975"/>
    <n v="0"/>
    <n v="0"/>
    <n v="311000"/>
    <s v="SALE FINISHED GOODS"/>
    <n v="69.5"/>
    <n v="69.5"/>
    <n v="0"/>
    <s v="52AZ0184"/>
    <n v="1509"/>
    <s v="FG Body"/>
    <n v="5094258205"/>
    <s v="11.05.2026"/>
  </r>
  <r>
    <n v="1115"/>
    <n v="1115"/>
    <n v="10"/>
    <n v="2"/>
    <s v="Three Wheelers"/>
    <s v="F2"/>
    <s v="COMMERCIAL INVOICE"/>
    <n v="1526007175"/>
    <n v="1000007464"/>
    <m/>
    <m/>
    <x v="12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257018"/>
    <s v="11.05.2026"/>
  </r>
  <r>
    <n v="1115"/>
    <n v="1115"/>
    <n v="10"/>
    <n v="2"/>
    <s v="Three Wheelers"/>
    <s v="F2"/>
    <s v="COMMERCIAL INVOICE"/>
    <n v="1526007174"/>
    <n v="1000007463"/>
    <m/>
    <m/>
    <x v="12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257437"/>
    <s v="11.05.2026"/>
  </r>
  <r>
    <n v="1115"/>
    <n v="1115"/>
    <n v="10"/>
    <n v="2"/>
    <s v="Three Wheelers"/>
    <s v="F2"/>
    <s v="COMMERCIAL INVOICE"/>
    <n v="1526007173"/>
    <n v="1000007462"/>
    <m/>
    <m/>
    <x v="12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257526"/>
    <s v="11.05.2026"/>
  </r>
  <r>
    <n v="1115"/>
    <n v="1115"/>
    <n v="10"/>
    <n v="2"/>
    <s v="Three Wheelers"/>
    <s v="F2"/>
    <s v="COMMERCIAL INVOICE"/>
    <n v="1526007172"/>
    <n v="1000007461"/>
    <m/>
    <m/>
    <x v="12"/>
    <n v="5100001939"/>
    <s v="ZSCH"/>
    <s v="Normal Sales"/>
    <n v="4110059608"/>
    <s v="24.03.2025"/>
    <n v="5000"/>
    <s v="BAJAJ AUTO LIMITED (WALUJ)"/>
    <m/>
    <m/>
    <s v="27340676530V"/>
    <n v="1502020129"/>
    <s v="52AU0352 BODY ASSLY RE AIR COOLED PETROL"/>
    <x v="1"/>
    <n v="87082900"/>
    <n v="15"/>
    <s v="EA"/>
    <n v="6500.18"/>
    <s v="INR"/>
    <n v="97502.7"/>
    <n v="0"/>
    <n v="97502.7"/>
    <n v="0"/>
    <n v="0"/>
    <n v="0"/>
    <n v="0"/>
    <n v="97502.7"/>
    <n v="0"/>
    <n v="0"/>
    <n v="0"/>
    <n v="0"/>
    <n v="0"/>
    <n v="0"/>
    <n v="0"/>
    <n v="0"/>
    <n v="97502.7"/>
    <n v="0"/>
    <n v="0"/>
    <n v="311000"/>
    <s v="SALE FINISHED GOODS"/>
    <n v="0"/>
    <n v="0"/>
    <n v="0"/>
    <s v="52AU0352"/>
    <n v="1509"/>
    <s v="FG Body"/>
    <n v="5094249998"/>
    <s v="11.05.2026"/>
  </r>
  <r>
    <n v="1115"/>
    <n v="1115"/>
    <n v="10"/>
    <n v="2"/>
    <s v="Three Wheelers"/>
    <s v="F2"/>
    <s v="COMMERCIAL INVOICE"/>
    <n v="1526007171"/>
    <n v="1000007460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694"/>
    <s v="11.05.2026"/>
  </r>
  <r>
    <n v="1115"/>
    <n v="1115"/>
    <n v="10"/>
    <n v="2"/>
    <s v="Three Wheelers"/>
    <s v="F2"/>
    <s v="COMMERCIAL INVOICE"/>
    <n v="1526007170"/>
    <n v="1000007459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695"/>
    <s v="11.05.2026"/>
  </r>
  <r>
    <n v="1115"/>
    <n v="1115"/>
    <n v="10"/>
    <n v="2"/>
    <s v="Three Wheelers"/>
    <s v="F2"/>
    <s v="COMMERCIAL INVOICE"/>
    <n v="1526007169"/>
    <n v="1000007458"/>
    <m/>
    <m/>
    <x v="12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734"/>
    <s v="11.05.2026"/>
  </r>
  <r>
    <n v="1115"/>
    <n v="1115"/>
    <n v="10"/>
    <n v="2"/>
    <s v="Three Wheelers"/>
    <s v="F2"/>
    <s v="COMMERCIAL INVOICE"/>
    <n v="1526007168"/>
    <n v="1000007457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914"/>
    <s v="11.05.2026"/>
  </r>
  <r>
    <n v="1115"/>
    <n v="1115"/>
    <n v="10"/>
    <n v="2"/>
    <s v="Three Wheelers"/>
    <s v="F2"/>
    <s v="COMMERCIAL INVOICE"/>
    <n v="1526007167"/>
    <n v="1000007456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918"/>
    <s v="11.05.2026"/>
  </r>
  <r>
    <n v="1115"/>
    <n v="1115"/>
    <n v="10"/>
    <n v="2"/>
    <s v="Three Wheelers"/>
    <s v="F2"/>
    <s v="COMMERCIAL INVOICE"/>
    <n v="1526007166"/>
    <n v="1000007455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912"/>
    <s v="11.05.2026"/>
  </r>
  <r>
    <n v="1115"/>
    <n v="1115"/>
    <n v="10"/>
    <n v="2"/>
    <s v="Three Wheelers"/>
    <s v="F2"/>
    <s v="COMMERCIAL INVOICE"/>
    <n v="1526007165"/>
    <n v="1000007454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913"/>
    <s v="11.05.2026"/>
  </r>
  <r>
    <n v="1115"/>
    <n v="1115"/>
    <n v="10"/>
    <n v="2"/>
    <s v="Three Wheelers"/>
    <s v="F2"/>
    <s v="COMMERCIAL INVOICE"/>
    <n v="1526007164"/>
    <n v="1000007453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911"/>
    <s v="11.05.2026"/>
  </r>
  <r>
    <n v="1115"/>
    <n v="1115"/>
    <n v="10"/>
    <n v="2"/>
    <s v="Three Wheelers"/>
    <s v="F2"/>
    <s v="COMMERCIAL INVOICE"/>
    <n v="1526007163"/>
    <n v="1000007452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49976"/>
    <s v="11.05.2026"/>
  </r>
  <r>
    <n v="1115"/>
    <n v="1115"/>
    <n v="10"/>
    <n v="2"/>
    <s v="Three Wheelers"/>
    <s v="F2"/>
    <s v="COMMERCIAL INVOICE"/>
    <n v="1526007162"/>
    <n v="1000007451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5544"/>
    <s v="11.05.2026"/>
  </r>
  <r>
    <n v="1115"/>
    <n v="1115"/>
    <n v="10"/>
    <n v="2"/>
    <s v="Three Wheelers"/>
    <s v="F2"/>
    <s v="COMMERCIAL INVOICE"/>
    <n v="1526007161"/>
    <n v="1000007450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9535"/>
    <s v="11.05.2026"/>
  </r>
  <r>
    <n v="1115"/>
    <n v="1115"/>
    <n v="10"/>
    <n v="2"/>
    <s v="Three Wheelers"/>
    <s v="F2"/>
    <s v="COMMERCIAL INVOICE"/>
    <n v="1526007160"/>
    <n v="1000007449"/>
    <m/>
    <m/>
    <x v="12"/>
    <n v="5100001924"/>
    <s v="ZSCH"/>
    <s v="Normal Sales"/>
    <n v="4110055642"/>
    <s v="09.09.2024"/>
    <n v="5000"/>
    <s v="BAJAJ AUTO LIMITED (WALUJ)"/>
    <m/>
    <m/>
    <s v="27340676530V"/>
    <n v="1502040316"/>
    <s v="52BA0857  RE DOOR ASSLY LH BLACK"/>
    <x v="4"/>
    <n v="87082900"/>
    <n v="120"/>
    <s v="EA"/>
    <n v="497.87"/>
    <s v="INR"/>
    <n v="59744.4"/>
    <n v="0"/>
    <n v="59744.4"/>
    <n v="0"/>
    <n v="0"/>
    <n v="0"/>
    <n v="0"/>
    <n v="59744.4"/>
    <n v="0"/>
    <n v="0"/>
    <n v="0"/>
    <n v="0"/>
    <n v="0"/>
    <n v="0"/>
    <n v="0"/>
    <n v="0"/>
    <n v="59744.4"/>
    <n v="0"/>
    <n v="0"/>
    <n v="311000"/>
    <s v="SALE FINISHED GOODS"/>
    <n v="2.27"/>
    <n v="2.27"/>
    <n v="0"/>
    <s v="52BA0857"/>
    <n v="1511"/>
    <s v="FG Loose 3WH"/>
    <n v="5094268263"/>
    <s v="11.05.2026"/>
  </r>
  <r>
    <n v="1115"/>
    <n v="1115"/>
    <n v="10"/>
    <n v="2"/>
    <s v="Three Wheelers"/>
    <s v="F2"/>
    <s v="COMMERCIAL INVOICE"/>
    <n v="1526007159"/>
    <n v="1000007448"/>
    <m/>
    <m/>
    <x v="12"/>
    <n v="5100001924"/>
    <s v="ZSCH"/>
    <s v="Normal Sales"/>
    <n v="4110055642"/>
    <s v="09.09.2024"/>
    <n v="5000"/>
    <s v="BAJAJ AUTO LIMITED (WALUJ)"/>
    <m/>
    <m/>
    <s v="27340676530V"/>
    <n v="1502040315"/>
    <s v="52BA0856  RE DOOR ASSLY RH BLACK"/>
    <x v="4"/>
    <n v="87082900"/>
    <n v="120"/>
    <s v="EA"/>
    <n v="497.08"/>
    <s v="INR"/>
    <n v="59649.599999999999"/>
    <n v="0"/>
    <n v="59649.599999999999"/>
    <n v="0"/>
    <n v="0"/>
    <n v="0"/>
    <n v="0"/>
    <n v="59649.599999999999"/>
    <n v="0"/>
    <n v="0"/>
    <n v="0"/>
    <n v="0"/>
    <n v="0"/>
    <n v="0"/>
    <n v="0"/>
    <n v="0"/>
    <n v="59649.599999999999"/>
    <n v="0"/>
    <n v="0"/>
    <n v="311000"/>
    <s v="SALE FINISHED GOODS"/>
    <n v="2.27"/>
    <n v="2.27"/>
    <n v="0"/>
    <s v="52BA0856"/>
    <n v="1511"/>
    <s v="FG Loose 3WH"/>
    <n v="5094268260"/>
    <s v="11.05.2026"/>
  </r>
  <r>
    <n v="1115"/>
    <n v="1115"/>
    <n v="10"/>
    <n v="2"/>
    <s v="Three Wheelers"/>
    <s v="F2"/>
    <s v="COMMERCIAL INVOICE"/>
    <n v="1526007158"/>
    <n v="1000007447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58080"/>
    <s v="11.05.2026"/>
  </r>
  <r>
    <n v="1115"/>
    <n v="1115"/>
    <n v="10"/>
    <n v="2"/>
    <s v="Three Wheelers"/>
    <s v="F2"/>
    <s v="COMMERCIAL INVOICE"/>
    <n v="1526007157"/>
    <n v="1000007446"/>
    <m/>
    <m/>
    <x v="12"/>
    <n v="5100001603"/>
    <s v="ZSCH"/>
    <s v="Normal Sales"/>
    <n v="4110025468"/>
    <s v="19.03.2020"/>
    <n v="5000"/>
    <s v="BAJAJ AUTO LIMITED (WALUJ)"/>
    <m/>
    <m/>
    <s v="27340676530V"/>
    <n v="1502020102"/>
    <s v="52BB0638 BODY ASSLY MAXIMA X WIDE"/>
    <x v="6"/>
    <n v="87082900"/>
    <n v="8"/>
    <s v="EA"/>
    <n v="8593.51"/>
    <s v="INR"/>
    <n v="68748.08"/>
    <n v="0"/>
    <n v="68748.08"/>
    <n v="0"/>
    <n v="0"/>
    <n v="0"/>
    <n v="0"/>
    <n v="68748.08"/>
    <n v="0"/>
    <n v="0"/>
    <n v="0"/>
    <n v="0"/>
    <n v="0"/>
    <n v="0"/>
    <n v="0"/>
    <n v="0"/>
    <n v="68748.08"/>
    <n v="0"/>
    <n v="0"/>
    <n v="311000"/>
    <s v="SALE FINISHED GOODS"/>
    <n v="93.34"/>
    <n v="75.430000000000007"/>
    <n v="17.91"/>
    <s v="52BB0638"/>
    <n v="1509"/>
    <s v="FG Body"/>
    <n v="5094261229"/>
    <s v="11.05.2026"/>
  </r>
  <r>
    <n v="1115"/>
    <n v="1115"/>
    <n v="10"/>
    <n v="2"/>
    <s v="Three Wheelers"/>
    <s v="F2"/>
    <s v="COMMERCIAL INVOICE"/>
    <n v="1526007156"/>
    <n v="1000007445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904"/>
    <s v="11.05.2026"/>
  </r>
  <r>
    <n v="1115"/>
    <n v="1115"/>
    <n v="10"/>
    <n v="2"/>
    <s v="Three Wheelers"/>
    <s v="F2"/>
    <s v="COMMERCIAL INVOICE"/>
    <n v="1526007155"/>
    <n v="1000007444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870"/>
    <s v="11.05.2026"/>
  </r>
  <r>
    <n v="1115"/>
    <n v="1115"/>
    <n v="10"/>
    <n v="2"/>
    <s v="Three Wheelers"/>
    <s v="F2"/>
    <s v="COMMERCIAL INVOICE"/>
    <n v="1526007218"/>
    <n v="1000007506"/>
    <m/>
    <m/>
    <x v="11"/>
    <n v="5100001099"/>
    <s v="ZSCH"/>
    <s v="Normal Sales"/>
    <n v="4110004650"/>
    <s v="01.07.2017"/>
    <n v="5000"/>
    <s v="BAJAJ AUTO LIMITED (WALUJ)"/>
    <m/>
    <m/>
    <s v="27340676530V"/>
    <n v="1502040133"/>
    <s v="52BB0109 - COVER REAR RH FL YELLOW"/>
    <x v="8"/>
    <n v="87082900"/>
    <n v="55"/>
    <s v="EA"/>
    <n v="164.49"/>
    <s v="INR"/>
    <n v="9046.9500000000007"/>
    <n v="0"/>
    <n v="9046.9500000000007"/>
    <n v="0"/>
    <n v="0"/>
    <n v="0"/>
    <n v="0"/>
    <n v="9046.9500000000007"/>
    <n v="0"/>
    <n v="0"/>
    <n v="0"/>
    <n v="0"/>
    <n v="0"/>
    <n v="0"/>
    <n v="0"/>
    <n v="0"/>
    <n v="9046.9500000000007"/>
    <n v="0"/>
    <n v="0"/>
    <n v="311000"/>
    <s v="SALE FINISHED GOODS"/>
    <n v="1.248"/>
    <n v="1.248"/>
    <n v="0"/>
    <s v="52BB0109"/>
    <n v="1511"/>
    <s v="FG Loose 3WH"/>
    <n v="5094252548"/>
    <s v="12.05.2026"/>
  </r>
  <r>
    <n v="1115"/>
    <n v="1115"/>
    <n v="10"/>
    <n v="2"/>
    <s v="Three Wheelers"/>
    <s v="F2"/>
    <s v="COMMERCIAL INVOICE"/>
    <n v="1526007217"/>
    <n v="1000007505"/>
    <m/>
    <m/>
    <x v="11"/>
    <n v="5100001099"/>
    <s v="ZSCH"/>
    <s v="Normal Sales"/>
    <n v="4110004650"/>
    <s v="01.07.2017"/>
    <n v="5000"/>
    <s v="BAJAJ AUTO LIMITED (WALUJ)"/>
    <m/>
    <m/>
    <s v="27340676530V"/>
    <n v="1502040132"/>
    <s v="52BB0108 - COVER REAR LH FL YELLOW"/>
    <x v="8"/>
    <n v="87082900"/>
    <n v="55"/>
    <s v="EA"/>
    <n v="159.41"/>
    <s v="INR"/>
    <n v="8767.5499999999993"/>
    <n v="0"/>
    <n v="8767.5499999999993"/>
    <n v="0"/>
    <n v="0"/>
    <n v="0"/>
    <n v="0"/>
    <n v="8767.5499999999993"/>
    <n v="0"/>
    <n v="0"/>
    <n v="0"/>
    <n v="0"/>
    <n v="0"/>
    <n v="0"/>
    <n v="0"/>
    <n v="0"/>
    <n v="8767.5499999999993"/>
    <n v="0"/>
    <n v="0"/>
    <n v="311000"/>
    <s v="SALE FINISHED GOODS"/>
    <n v="1.1659999999999999"/>
    <n v="1.1659999999999999"/>
    <n v="0"/>
    <s v="52BB0108"/>
    <n v="1511"/>
    <s v="FG Loose 3WH"/>
    <n v="5094252547"/>
    <s v="12.05.2026"/>
  </r>
  <r>
    <n v="1115"/>
    <n v="1115"/>
    <n v="10"/>
    <n v="2"/>
    <s v="Three Wheelers"/>
    <s v="F2"/>
    <s v="COMMERCIAL INVOICE"/>
    <n v="1526007216"/>
    <n v="1000007504"/>
    <m/>
    <m/>
    <x v="11"/>
    <n v="5100001925"/>
    <s v="ZSCH"/>
    <s v="Normal Sales"/>
    <n v="4110055667"/>
    <s v="10.09.2024"/>
    <n v="5000"/>
    <s v="BAJAJ AUTO LIMITED (WALUJ)"/>
    <m/>
    <m/>
    <s v="27340676530V"/>
    <n v="1502040318"/>
    <s v="52BA0833  RE DOOR ASSLY L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3"/>
    <n v="1511"/>
    <s v="FG Loose 3WH"/>
    <n v="5094268245"/>
    <s v="12.05.2026"/>
  </r>
  <r>
    <n v="1115"/>
    <n v="1115"/>
    <n v="10"/>
    <n v="2"/>
    <s v="Three Wheelers"/>
    <s v="F2"/>
    <s v="COMMERCIAL INVOICE"/>
    <n v="1526007215"/>
    <n v="1000007503"/>
    <m/>
    <m/>
    <x v="11"/>
    <n v="5100001925"/>
    <s v="ZSCH"/>
    <s v="Normal Sales"/>
    <n v="4110055667"/>
    <s v="10.09.2024"/>
    <n v="5000"/>
    <s v="BAJAJ AUTO LIMITED (WALUJ)"/>
    <m/>
    <m/>
    <s v="27340676530V"/>
    <n v="1502040317"/>
    <s v="52BA0832  RE DOOR ASSLY RH GREEN"/>
    <x v="4"/>
    <n v="87082900"/>
    <n v="120"/>
    <s v="EA"/>
    <n v="506.59"/>
    <s v="INR"/>
    <n v="60790.8"/>
    <n v="0"/>
    <n v="60790.8"/>
    <n v="0"/>
    <n v="0"/>
    <n v="0"/>
    <n v="0"/>
    <n v="60790.8"/>
    <n v="0"/>
    <n v="0"/>
    <n v="0"/>
    <n v="0"/>
    <n v="0"/>
    <n v="0"/>
    <n v="0"/>
    <n v="0"/>
    <n v="60790.8"/>
    <n v="0"/>
    <n v="0"/>
    <n v="311000"/>
    <s v="SALE FINISHED GOODS"/>
    <n v="2.27"/>
    <n v="2.27"/>
    <n v="0"/>
    <s v="52BA0832"/>
    <n v="1511"/>
    <s v="FG Loose 3WH"/>
    <n v="5094268248"/>
    <s v="12.05.2026"/>
  </r>
  <r>
    <n v="1115"/>
    <n v="1115"/>
    <n v="10"/>
    <n v="2"/>
    <s v="Three Wheelers"/>
    <s v="F2"/>
    <s v="COMMERCIAL INVOICE"/>
    <n v="1526007214"/>
    <n v="1000007502"/>
    <m/>
    <m/>
    <x v="11"/>
    <n v="5100001100"/>
    <s v="ZSCH"/>
    <s v="Normal Sales"/>
    <n v="4110004652"/>
    <s v="01.07.2017"/>
    <n v="5000"/>
    <s v="BAJAJ AUTO LIMITED (WALUJ)"/>
    <m/>
    <m/>
    <s v="27340676530V"/>
    <n v="1502040165"/>
    <s v="52BB0126 REAR COVER ASSLY GREEN RH"/>
    <x v="8"/>
    <n v="87082900"/>
    <n v="55"/>
    <s v="EA"/>
    <n v="165.65"/>
    <s v="INR"/>
    <n v="9110.75"/>
    <n v="0"/>
    <n v="9110.75"/>
    <n v="0"/>
    <n v="0"/>
    <n v="0"/>
    <n v="0"/>
    <n v="9110.75"/>
    <n v="0"/>
    <n v="0"/>
    <n v="0"/>
    <n v="0"/>
    <n v="0"/>
    <n v="0"/>
    <n v="0"/>
    <n v="0"/>
    <n v="9110.75"/>
    <n v="0"/>
    <n v="0"/>
    <n v="311000"/>
    <s v="SALE FINISHED GOODS"/>
    <n v="1.248"/>
    <n v="1.248"/>
    <n v="0"/>
    <s v="52BB0126"/>
    <n v="1511"/>
    <s v="FG Loose 3WH"/>
    <s v="PENDING"/>
    <s v="Pending"/>
  </r>
  <r>
    <n v="1115"/>
    <n v="1115"/>
    <n v="10"/>
    <n v="2"/>
    <s v="Three Wheelers"/>
    <s v="F2"/>
    <s v="COMMERCIAL INVOICE"/>
    <n v="1526007213"/>
    <n v="1000007501"/>
    <m/>
    <m/>
    <x v="11"/>
    <n v="5100001100"/>
    <s v="ZSCH"/>
    <s v="Normal Sales"/>
    <n v="4110004652"/>
    <s v="01.07.2017"/>
    <n v="5000"/>
    <s v="BAJAJ AUTO LIMITED (WALUJ)"/>
    <m/>
    <m/>
    <s v="27340676530V"/>
    <n v="1502040164"/>
    <s v="52BB0125 REAR COVER ASSLY GREEN LH"/>
    <x v="8"/>
    <n v="87082900"/>
    <n v="55"/>
    <s v="EA"/>
    <n v="160.52000000000001"/>
    <s v="INR"/>
    <n v="8828.6"/>
    <n v="0"/>
    <n v="8828.6"/>
    <n v="0"/>
    <n v="0"/>
    <n v="0"/>
    <n v="0"/>
    <n v="8828.6"/>
    <n v="0"/>
    <n v="0"/>
    <n v="0"/>
    <n v="0"/>
    <n v="0"/>
    <n v="0"/>
    <n v="0"/>
    <n v="0"/>
    <n v="8828.6"/>
    <n v="0"/>
    <n v="0"/>
    <n v="311000"/>
    <s v="SALE FINISHED GOODS"/>
    <n v="1.1659999999999999"/>
    <n v="1.1659999999999999"/>
    <n v="0"/>
    <s v="52BB0125"/>
    <n v="1511"/>
    <s v="FG Loose 3WH"/>
    <s v="PENDING"/>
    <s v="Pending"/>
  </r>
  <r>
    <n v="1115"/>
    <n v="1115"/>
    <n v="10"/>
    <n v="2"/>
    <s v="Three Wheelers"/>
    <s v="F2"/>
    <s v="COMMERCIAL INVOICE"/>
    <n v="1526007212"/>
    <n v="1000007500"/>
    <m/>
    <m/>
    <x v="11"/>
    <n v="5100001100"/>
    <s v="ZSCH"/>
    <s v="Normal Sales"/>
    <n v="4110004652"/>
    <s v="01.07.2017"/>
    <n v="5000"/>
    <s v="BAJAJ AUTO LIMITED (WALUJ)"/>
    <m/>
    <m/>
    <s v="27340676530V"/>
    <n v="1502040126"/>
    <s v="BB231369-COVER REAR LH FL"/>
    <x v="8"/>
    <n v="87082900"/>
    <n v="55"/>
    <s v="EA"/>
    <n v="155.58000000000001"/>
    <s v="INR"/>
    <n v="8556.9"/>
    <n v="0"/>
    <n v="8556.9"/>
    <n v="0"/>
    <n v="0"/>
    <n v="0"/>
    <n v="0"/>
    <n v="8556.9"/>
    <n v="0"/>
    <n v="0"/>
    <n v="0"/>
    <n v="0"/>
    <n v="0"/>
    <n v="0"/>
    <n v="0"/>
    <n v="0"/>
    <n v="8556.9"/>
    <n v="0"/>
    <n v="0"/>
    <n v="311000"/>
    <s v="SALE FINISHED GOODS"/>
    <n v="1.1850000000000001"/>
    <n v="1.1850000000000001"/>
    <n v="0"/>
    <s v="BB231369"/>
    <n v="1511"/>
    <s v="FG Loose 3WH"/>
    <n v="5094263806"/>
    <s v="12.05.2026"/>
  </r>
  <r>
    <n v="1115"/>
    <n v="1115"/>
    <n v="10"/>
    <n v="2"/>
    <s v="Three Wheelers"/>
    <s v="F2"/>
    <s v="COMMERCIAL INVOICE"/>
    <n v="1526007211"/>
    <n v="1000007499"/>
    <m/>
    <m/>
    <x v="11"/>
    <n v="5100001100"/>
    <s v="ZSCH"/>
    <s v="Normal Sales"/>
    <n v="4110004652"/>
    <s v="01.07.2017"/>
    <n v="5000"/>
    <s v="BAJAJ AUTO LIMITED (WALUJ)"/>
    <m/>
    <m/>
    <s v="27340676530V"/>
    <n v="1502040125"/>
    <s v="BB231370-COVER REAR RH FL"/>
    <x v="8"/>
    <n v="87082900"/>
    <n v="55"/>
    <s v="EA"/>
    <n v="160.44999999999999"/>
    <s v="INR"/>
    <n v="8824.75"/>
    <n v="0"/>
    <n v="8824.75"/>
    <n v="0"/>
    <n v="0"/>
    <n v="0"/>
    <n v="0"/>
    <n v="8824.75"/>
    <n v="0"/>
    <n v="0"/>
    <n v="0"/>
    <n v="0"/>
    <n v="0"/>
    <n v="0"/>
    <n v="0"/>
    <n v="0"/>
    <n v="8824.75"/>
    <n v="0"/>
    <n v="0"/>
    <n v="311000"/>
    <s v="SALE FINISHED GOODS"/>
    <n v="1.1850000000000001"/>
    <n v="1.1850000000000001"/>
    <n v="0"/>
    <s v="BB231370"/>
    <n v="1511"/>
    <s v="FG Loose 3WH"/>
    <n v="5094263860"/>
    <s v="12.05.2026"/>
  </r>
  <r>
    <n v="1115"/>
    <n v="1115"/>
    <n v="10"/>
    <n v="2"/>
    <s v="Three Wheelers"/>
    <s v="F2"/>
    <s v="COMMERCIAL INVOICE"/>
    <n v="1526007208"/>
    <n v="1000007497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5790"/>
    <s v="12.05.2026"/>
  </r>
  <r>
    <n v="1115"/>
    <n v="1115"/>
    <n v="10"/>
    <n v="2"/>
    <s v="Three Wheelers"/>
    <s v="F2"/>
    <s v="COMMERCIAL INVOICE"/>
    <n v="1526007207"/>
    <n v="1000007496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7006"/>
    <s v="12.05.2026"/>
  </r>
  <r>
    <n v="1115"/>
    <n v="1115"/>
    <n v="10"/>
    <n v="2"/>
    <s v="Three Wheelers"/>
    <s v="F2"/>
    <s v="COMMERCIAL INVOICE"/>
    <n v="1526007206"/>
    <n v="1000007495"/>
    <m/>
    <m/>
    <x v="11"/>
    <n v="5100001730"/>
    <s v="ZSCH"/>
    <s v="Normal Sales"/>
    <n v="4110029871"/>
    <s v="08.03.2021"/>
    <n v="5000"/>
    <s v="BAJAJ AUTO LIMITED (WALUJ)"/>
    <m/>
    <m/>
    <s v="27340676530V"/>
    <n v="1502020112"/>
    <s v="52AY0087-BODY ASSLY EXPORT FOLDABLE SEAT"/>
    <x v="0"/>
    <n v="87082900"/>
    <n v="10"/>
    <s v="EA"/>
    <n v="9441.75"/>
    <s v="INR"/>
    <n v="94417.5"/>
    <n v="0"/>
    <n v="94417.5"/>
    <n v="0"/>
    <n v="0"/>
    <n v="0"/>
    <n v="0"/>
    <n v="94417.5"/>
    <n v="0"/>
    <n v="0"/>
    <n v="0"/>
    <n v="0"/>
    <n v="0"/>
    <n v="0"/>
    <n v="0"/>
    <n v="0"/>
    <n v="94417.5"/>
    <n v="0"/>
    <n v="0"/>
    <n v="311000"/>
    <s v="SALE FINISHED GOODS"/>
    <n v="75"/>
    <n v="75"/>
    <n v="0"/>
    <s v="52AY0087"/>
    <n v="1509"/>
    <s v="FG Body"/>
    <n v="5094272640"/>
    <s v="12.05.2026"/>
  </r>
  <r>
    <n v="1115"/>
    <n v="1115"/>
    <n v="10"/>
    <n v="2"/>
    <s v="Three Wheelers"/>
    <s v="F2"/>
    <s v="COMMERCIAL INVOICE"/>
    <n v="1526007205"/>
    <n v="1000007494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6"/>
    <s v="EA"/>
    <n v="6570.77"/>
    <s v="INR"/>
    <n v="39424.620000000003"/>
    <n v="0"/>
    <n v="39424.620000000003"/>
    <n v="0"/>
    <n v="0"/>
    <n v="0"/>
    <n v="0"/>
    <n v="39424.620000000003"/>
    <n v="0"/>
    <n v="0"/>
    <n v="0"/>
    <n v="0"/>
    <n v="0"/>
    <n v="0"/>
    <n v="0"/>
    <n v="0"/>
    <n v="39424.620000000003"/>
    <n v="0"/>
    <n v="0"/>
    <n v="311000"/>
    <s v="SALE FINISHED GOODS"/>
    <n v="49.75"/>
    <n v="49.75"/>
    <n v="0"/>
    <s v="52AU0123"/>
    <n v="1509"/>
    <s v="FG Body"/>
    <n v="5094268099"/>
    <s v="12.05.2026"/>
  </r>
  <r>
    <n v="1115"/>
    <n v="1115"/>
    <n v="10"/>
    <n v="2"/>
    <s v="Three Wheelers"/>
    <s v="F2"/>
    <s v="COMMERCIAL INVOICE"/>
    <n v="1526007204"/>
    <n v="1000007493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2"/>
    <s v="EA"/>
    <n v="6570.77"/>
    <s v="INR"/>
    <n v="78849.240000000005"/>
    <n v="0"/>
    <n v="78849.240000000005"/>
    <n v="0"/>
    <n v="0"/>
    <n v="0"/>
    <n v="0"/>
    <n v="78849.240000000005"/>
    <n v="0"/>
    <n v="0"/>
    <n v="0"/>
    <n v="0"/>
    <n v="0"/>
    <n v="0"/>
    <n v="0"/>
    <n v="0"/>
    <n v="78849.240000000005"/>
    <n v="0"/>
    <n v="0"/>
    <n v="311000"/>
    <s v="SALE FINISHED GOODS"/>
    <n v="49.75"/>
    <n v="49.75"/>
    <n v="0"/>
    <s v="52AU0123"/>
    <n v="1509"/>
    <s v="FG Body"/>
    <n v="5094256532"/>
    <s v="12.05.2026"/>
  </r>
  <r>
    <n v="1115"/>
    <n v="1115"/>
    <n v="10"/>
    <n v="2"/>
    <s v="Three Wheelers"/>
    <s v="F2"/>
    <s v="COMMERCIAL INVOICE"/>
    <n v="1526007203"/>
    <n v="1000007492"/>
    <m/>
    <m/>
    <x v="11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30"/>
    <s v="EA"/>
    <n v="291.27999999999997"/>
    <s v="INR"/>
    <n v="8738.4"/>
    <n v="0"/>
    <n v="8738.4"/>
    <n v="0"/>
    <n v="0"/>
    <n v="0"/>
    <n v="0"/>
    <n v="8738.4"/>
    <n v="0"/>
    <n v="0"/>
    <n v="0"/>
    <n v="0"/>
    <n v="0"/>
    <n v="0"/>
    <n v="0"/>
    <n v="0"/>
    <n v="8738.4"/>
    <n v="0"/>
    <n v="0"/>
    <n v="311000"/>
    <s v="SALE FINISHED GOODS"/>
    <n v="2.37"/>
    <n v="2.37"/>
    <n v="0"/>
    <s v="AH115161"/>
    <n v="1511"/>
    <s v="FG Loose 3WH"/>
    <n v="5094256503"/>
    <s v="12.05.2026"/>
  </r>
  <r>
    <n v="1115"/>
    <n v="1115"/>
    <n v="10"/>
    <n v="2"/>
    <s v="Three Wheelers"/>
    <s v="F2"/>
    <s v="COMMERCIAL INVOICE"/>
    <n v="1526007202"/>
    <n v="1000007491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51822"/>
    <s v="12.05.2026"/>
  </r>
  <r>
    <n v="1115"/>
    <n v="1115"/>
    <n v="10"/>
    <n v="2"/>
    <s v="Three Wheelers"/>
    <s v="F2"/>
    <s v="COMMERCIAL INVOICE"/>
    <n v="1526007201"/>
    <n v="1000007490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9"/>
    <s v="EA"/>
    <n v="6570.77"/>
    <s v="INR"/>
    <n v="59136.93"/>
    <n v="0"/>
    <n v="59136.93"/>
    <n v="0"/>
    <n v="0"/>
    <n v="0"/>
    <n v="0"/>
    <n v="59136.93"/>
    <n v="0"/>
    <n v="0"/>
    <n v="0"/>
    <n v="0"/>
    <n v="0"/>
    <n v="0"/>
    <n v="0"/>
    <n v="0"/>
    <n v="59136.93"/>
    <n v="0"/>
    <n v="0"/>
    <n v="311000"/>
    <s v="SALE FINISHED GOODS"/>
    <n v="49.75"/>
    <n v="49.75"/>
    <n v="0"/>
    <s v="52AU0123"/>
    <n v="1509"/>
    <s v="FG Body"/>
    <n v="5094268027"/>
    <s v="12.05.2026"/>
  </r>
  <r>
    <n v="1115"/>
    <n v="1115"/>
    <n v="10"/>
    <n v="2"/>
    <s v="Three Wheelers"/>
    <s v="F2"/>
    <s v="COMMERCIAL INVOICE"/>
    <n v="1526007200"/>
    <n v="1000007489"/>
    <m/>
    <m/>
    <x v="11"/>
    <n v="5100001949"/>
    <s v="ZSCH"/>
    <s v="Normal Sales"/>
    <n v="4110063766"/>
    <s v="23.01.2026"/>
    <n v="5000"/>
    <s v="BAJAJ AUTO LIMITED (WALUJ)"/>
    <m/>
    <m/>
    <s v="27340676530V"/>
    <n v="1502040322"/>
    <s v="AH115161 SUPPORT ASSLY DASHBOARD"/>
    <x v="9"/>
    <n v="87082900"/>
    <n v="60"/>
    <s v="EA"/>
    <n v="291.27999999999997"/>
    <s v="INR"/>
    <n v="17476.8"/>
    <n v="0"/>
    <n v="17476.8"/>
    <n v="0"/>
    <n v="0"/>
    <n v="0"/>
    <n v="0"/>
    <n v="17476.8"/>
    <n v="0"/>
    <n v="0"/>
    <n v="0"/>
    <n v="0"/>
    <n v="0"/>
    <n v="0"/>
    <n v="0"/>
    <n v="0"/>
    <n v="17476.8"/>
    <n v="0"/>
    <n v="0"/>
    <n v="311000"/>
    <s v="SALE FINISHED GOODS"/>
    <n v="2.37"/>
    <n v="2.37"/>
    <n v="0"/>
    <s v="AH115161"/>
    <n v="1511"/>
    <s v="FG Loose 3WH"/>
    <n v="5094256711"/>
    <s v="12.05.2026"/>
  </r>
  <r>
    <n v="1115"/>
    <n v="1115"/>
    <n v="10"/>
    <n v="2"/>
    <s v="Three Wheelers"/>
    <s v="F2"/>
    <s v="COMMERCIAL INVOICE"/>
    <n v="1526007199"/>
    <n v="1000007488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2"/>
    <s v="EA"/>
    <n v="6570.77"/>
    <s v="INR"/>
    <n v="78849.240000000005"/>
    <n v="0"/>
    <n v="78849.240000000005"/>
    <n v="0"/>
    <n v="0"/>
    <n v="0"/>
    <n v="0"/>
    <n v="78849.240000000005"/>
    <n v="0"/>
    <n v="0"/>
    <n v="0"/>
    <n v="0"/>
    <n v="0"/>
    <n v="0"/>
    <n v="0"/>
    <n v="0"/>
    <n v="78849.240000000005"/>
    <n v="0"/>
    <n v="0"/>
    <n v="311000"/>
    <s v="SALE FINISHED GOODS"/>
    <n v="49.75"/>
    <n v="49.75"/>
    <n v="0"/>
    <s v="52AU0123"/>
    <n v="1509"/>
    <s v="FG Body"/>
    <n v="5094256714"/>
    <s v="12.05.2026"/>
  </r>
  <r>
    <n v="1115"/>
    <n v="1115"/>
    <n v="10"/>
    <n v="2"/>
    <s v="Three Wheelers"/>
    <s v="F2"/>
    <s v="COMMERCIAL INVOICE"/>
    <n v="1526007198"/>
    <n v="1000007487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56535"/>
    <s v="12.05.2026"/>
  </r>
  <r>
    <n v="1115"/>
    <n v="1115"/>
    <n v="10"/>
    <n v="2"/>
    <s v="Three Wheelers"/>
    <s v="F2"/>
    <s v="COMMERCIAL INVOICE"/>
    <n v="1526007197"/>
    <n v="1000007486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56506"/>
    <s v="12.05.2026"/>
  </r>
  <r>
    <n v="1115"/>
    <n v="1115"/>
    <n v="10"/>
    <n v="2"/>
    <s v="Three Wheelers"/>
    <s v="F2"/>
    <s v="COMMERCIAL INVOICE"/>
    <n v="1526007196"/>
    <n v="1000007485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56665"/>
    <s v="12.05.2026"/>
  </r>
  <r>
    <n v="1115"/>
    <n v="1115"/>
    <n v="10"/>
    <n v="2"/>
    <s v="Three Wheelers"/>
    <s v="F2"/>
    <s v="COMMERCIAL INVOICE"/>
    <n v="1526007195"/>
    <n v="1000007484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56536"/>
    <s v="12.05.2026"/>
  </r>
  <r>
    <n v="1115"/>
    <n v="1115"/>
    <n v="10"/>
    <n v="2"/>
    <s v="Three Wheelers"/>
    <s v="F2"/>
    <s v="COMMERCIAL INVOICE"/>
    <n v="1526007194"/>
    <n v="1000007483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6803"/>
    <s v="12.05.2026"/>
  </r>
  <r>
    <n v="1115"/>
    <n v="1115"/>
    <n v="10"/>
    <n v="2"/>
    <s v="Three Wheelers"/>
    <s v="F2"/>
    <s v="COMMERCIAL INVOICE"/>
    <n v="1526007193"/>
    <n v="1000007482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64312"/>
    <s v="12.05.2026"/>
  </r>
  <r>
    <n v="1115"/>
    <n v="1115"/>
    <n v="10"/>
    <n v="2"/>
    <s v="Three Wheelers"/>
    <s v="F2"/>
    <s v="COMMERCIAL INVOICE"/>
    <n v="1526007192"/>
    <n v="1000007481"/>
    <m/>
    <m/>
    <x v="11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56534"/>
    <s v="12.05.2026"/>
  </r>
  <r>
    <n v="1115"/>
    <n v="1115"/>
    <n v="10"/>
    <n v="2"/>
    <s v="Three Wheelers"/>
    <s v="F2"/>
    <s v="COMMERCIAL INVOICE"/>
    <n v="1526007191"/>
    <n v="1000007480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700"/>
    <s v="12.05.2026"/>
  </r>
  <r>
    <n v="1115"/>
    <n v="1115"/>
    <n v="10"/>
    <n v="2"/>
    <s v="Three Wheelers"/>
    <s v="F2"/>
    <s v="COMMERCIAL INVOICE"/>
    <n v="1526007190"/>
    <n v="1000007479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800"/>
    <s v="12.05.2026"/>
  </r>
  <r>
    <n v="1115"/>
    <n v="1115"/>
    <n v="10"/>
    <n v="2"/>
    <s v="Three Wheelers"/>
    <s v="F2"/>
    <s v="COMMERCIAL INVOICE"/>
    <n v="1526007189"/>
    <n v="1000007478"/>
    <m/>
    <m/>
    <x v="11"/>
    <n v="5100001928"/>
    <s v="ZSCH"/>
    <s v="Normal Sales"/>
    <n v="4110057393"/>
    <s v="28.11.2024"/>
    <n v="5000"/>
    <s v="BAJAJ AUTO LIMITED (WALUJ)"/>
    <m/>
    <m/>
    <s v="27340676530V"/>
    <n v="1502020122"/>
    <s v="52AH0692 BODY ASSLY MAXIMA Z EV"/>
    <x v="2"/>
    <n v="87082900"/>
    <n v="10"/>
    <s v="EA"/>
    <n v="9566.51"/>
    <s v="INR"/>
    <n v="95665.1"/>
    <n v="0"/>
    <n v="95665.1"/>
    <n v="0"/>
    <n v="0"/>
    <n v="0"/>
    <n v="0"/>
    <n v="95665.1"/>
    <n v="0"/>
    <n v="0"/>
    <n v="0"/>
    <n v="0"/>
    <n v="0"/>
    <n v="0"/>
    <n v="0"/>
    <n v="0"/>
    <n v="95665.1"/>
    <n v="0"/>
    <n v="0"/>
    <n v="311000"/>
    <s v="SALE FINISHED GOODS"/>
    <n v="0"/>
    <n v="61"/>
    <n v="-61"/>
    <s v="52AH0692"/>
    <n v="1509"/>
    <s v="FG Body"/>
    <n v="5094249614"/>
    <s v="12.05.2026"/>
  </r>
  <r>
    <n v="1115"/>
    <n v="1115"/>
    <n v="10"/>
    <n v="2"/>
    <s v="Three Wheelers"/>
    <s v="F2"/>
    <s v="COMMERCIAL INVOICE"/>
    <n v="1526007188"/>
    <n v="1000007477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57090"/>
    <s v="11.05.2026"/>
  </r>
  <r>
    <n v="1115"/>
    <n v="1115"/>
    <n v="10"/>
    <n v="2"/>
    <s v="Three Wheelers"/>
    <s v="F2"/>
    <s v="COMMERCIAL INVOICE"/>
    <n v="1526007187"/>
    <n v="1000007476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49959"/>
    <s v="11.05.2026"/>
  </r>
  <r>
    <n v="1115"/>
    <n v="1115"/>
    <n v="10"/>
    <n v="2"/>
    <s v="Three Wheelers"/>
    <s v="F2"/>
    <s v="COMMERCIAL INVOICE"/>
    <n v="1526007186"/>
    <n v="1000007475"/>
    <m/>
    <m/>
    <x v="12"/>
    <n v="5100001666"/>
    <s v="ZSCH"/>
    <s v="Normal Sales"/>
    <n v="4110027035"/>
    <s v="03.09.2020"/>
    <n v="5000"/>
    <s v="BAJAJ AUTO LIMITED (WALUJ)"/>
    <m/>
    <m/>
    <s v="27340676530V"/>
    <n v="1502020105"/>
    <s v="52AU0123 BODY ASSLY 4S PETROL"/>
    <x v="1"/>
    <n v="87082900"/>
    <n v="15"/>
    <s v="EA"/>
    <n v="6570.77"/>
    <s v="INR"/>
    <n v="98561.55"/>
    <n v="0"/>
    <n v="98561.55"/>
    <n v="0"/>
    <n v="0"/>
    <n v="0"/>
    <n v="0"/>
    <n v="98561.55"/>
    <n v="0"/>
    <n v="0"/>
    <n v="0"/>
    <n v="0"/>
    <n v="0"/>
    <n v="0"/>
    <n v="0"/>
    <n v="0"/>
    <n v="98561.55"/>
    <n v="0"/>
    <n v="0"/>
    <n v="311000"/>
    <s v="SALE FINISHED GOODS"/>
    <n v="49.75"/>
    <n v="49.75"/>
    <n v="0"/>
    <s v="52AU0123"/>
    <n v="1509"/>
    <s v="FG Body"/>
    <n v="5094256715"/>
    <s v="11.05.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O22" firstHeaderRow="1" firstDataRow="2" firstDataCol="1"/>
  <pivotFields count="5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ascending">
      <items count="14">
        <item x="3"/>
        <item x="2"/>
        <item x="4"/>
        <item x="0"/>
        <item x="1"/>
        <item x="5"/>
        <item x="6"/>
        <item x="7"/>
        <item x="8"/>
        <item x="9"/>
        <item x="12"/>
        <item x="11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9">
        <item x="7"/>
        <item x="9"/>
        <item x="15"/>
        <item x="5"/>
        <item x="3"/>
        <item x="13"/>
        <item x="0"/>
        <item x="2"/>
        <item x="6"/>
        <item x="4"/>
        <item x="1"/>
        <item x="8"/>
        <item x="12"/>
        <item x="11"/>
        <item x="10"/>
        <item x="14"/>
        <item m="1" x="17"/>
        <item x="1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1">
    <field x="1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Billing Qty" fld="2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W65459"/>
  <sheetViews>
    <sheetView tabSelected="1" workbookViewId="0">
      <selection activeCell="E26" sqref="E26"/>
    </sheetView>
  </sheetViews>
  <sheetFormatPr defaultRowHeight="14.4"/>
  <cols>
    <col min="2" max="2" width="12.6640625" style="17" customWidth="1"/>
    <col min="3" max="3" width="20.44140625" style="17" customWidth="1"/>
    <col min="4" max="4" width="8.88671875" style="17"/>
    <col min="5" max="5" width="7.88671875" style="17" bestFit="1" customWidth="1"/>
    <col min="6" max="6" width="8.88671875" style="17" bestFit="1" customWidth="1"/>
    <col min="7" max="7" width="8.5546875" style="17" customWidth="1"/>
    <col min="8" max="8" width="11.77734375" style="17" bestFit="1" customWidth="1"/>
    <col min="9" max="9" width="10" style="17" bestFit="1" customWidth="1"/>
    <col min="10" max="10" width="9.21875" style="17" customWidth="1"/>
    <col min="11" max="14" width="9.77734375" style="17" bestFit="1" customWidth="1"/>
    <col min="15" max="15" width="9.21875" style="17" customWidth="1"/>
    <col min="16" max="17" width="8.77734375" style="17" bestFit="1" customWidth="1"/>
    <col min="18" max="23" width="9.21875" style="17" customWidth="1"/>
  </cols>
  <sheetData>
    <row r="2" spans="2:23">
      <c r="B2" s="3"/>
      <c r="C2" s="3"/>
      <c r="D2" s="3"/>
      <c r="E2" s="3"/>
      <c r="F2" s="3"/>
      <c r="G2" s="3"/>
      <c r="H2" s="3" t="s">
        <v>74</v>
      </c>
      <c r="I2" s="3">
        <v>10</v>
      </c>
      <c r="J2" s="3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</row>
    <row r="3" spans="2:23">
      <c r="B3" s="107"/>
      <c r="C3" s="204" t="s">
        <v>75</v>
      </c>
      <c r="D3" s="204"/>
      <c r="E3" s="108"/>
      <c r="F3" s="108"/>
      <c r="G3" s="108"/>
      <c r="H3" s="108"/>
      <c r="I3" s="108"/>
      <c r="J3" s="10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</row>
    <row r="4" spans="2:23" ht="43.2">
      <c r="B4" s="4" t="s">
        <v>76</v>
      </c>
      <c r="C4" s="5" t="s">
        <v>19</v>
      </c>
      <c r="D4" s="6">
        <v>46143</v>
      </c>
      <c r="E4" s="7" t="s">
        <v>77</v>
      </c>
      <c r="F4" s="7" t="s">
        <v>78</v>
      </c>
      <c r="G4" s="7" t="s">
        <v>79</v>
      </c>
      <c r="H4" s="7" t="s">
        <v>80</v>
      </c>
      <c r="I4" s="7" t="s">
        <v>81</v>
      </c>
      <c r="J4" s="7" t="s">
        <v>82</v>
      </c>
      <c r="K4" s="116">
        <f t="shared" ref="K4:U4" si="0">+L4+1</f>
        <v>46155</v>
      </c>
      <c r="L4" s="116">
        <f t="shared" si="0"/>
        <v>46154</v>
      </c>
      <c r="M4" s="116">
        <f t="shared" si="0"/>
        <v>46153</v>
      </c>
      <c r="N4" s="116">
        <f t="shared" si="0"/>
        <v>46152</v>
      </c>
      <c r="O4" s="116">
        <f t="shared" si="0"/>
        <v>46151</v>
      </c>
      <c r="P4" s="116">
        <f t="shared" si="0"/>
        <v>46150</v>
      </c>
      <c r="Q4" s="116">
        <f t="shared" si="0"/>
        <v>46149</v>
      </c>
      <c r="R4" s="116">
        <f t="shared" si="0"/>
        <v>46148</v>
      </c>
      <c r="S4" s="116">
        <f t="shared" si="0"/>
        <v>46147</v>
      </c>
      <c r="T4" s="116">
        <f t="shared" si="0"/>
        <v>46146</v>
      </c>
      <c r="U4" s="116">
        <f t="shared" si="0"/>
        <v>46145</v>
      </c>
      <c r="V4" s="116">
        <f>+W4+1</f>
        <v>46144</v>
      </c>
      <c r="W4" s="116">
        <v>46143</v>
      </c>
    </row>
    <row r="5" spans="2:23">
      <c r="B5" s="205" t="s">
        <v>83</v>
      </c>
      <c r="C5" s="8" t="s">
        <v>60</v>
      </c>
      <c r="D5" s="9">
        <f>+Monthly!AD35</f>
        <v>24224.68</v>
      </c>
      <c r="E5" s="9">
        <f>+D5/26</f>
        <v>931.7184615384615</v>
      </c>
      <c r="F5" s="9">
        <f>+G5/$I$2</f>
        <v>820.5</v>
      </c>
      <c r="G5" s="10">
        <f>SUM(K5:W5)</f>
        <v>8205</v>
      </c>
      <c r="H5" s="89" t="s">
        <v>206</v>
      </c>
      <c r="I5" s="11">
        <f t="shared" ref="I5:I21" si="1">+F5/E5</f>
        <v>0.88063082773436019</v>
      </c>
      <c r="J5" s="90">
        <f>+G5/D5</f>
        <v>0.33870416451321544</v>
      </c>
      <c r="K5" s="120">
        <f>VLOOKUP(C5,Sheet8!$A$5:$N$21,14,0)</f>
        <v>807</v>
      </c>
      <c r="L5" s="120">
        <f>VLOOKUP(C5,Sheet8!$A$5:$M$21,13,0)</f>
        <v>633</v>
      </c>
      <c r="M5" s="120">
        <f>VLOOKUP(C5,Sheet8!$A$5:$L$22,12,0)</f>
        <v>759</v>
      </c>
      <c r="N5" s="183">
        <f>VLOOKUP(C5,Sheet8!$A$5:$K$20,11,0)</f>
        <v>120</v>
      </c>
      <c r="O5" s="183">
        <f>VLOOKUP(C5,Sheet8!$A$5:$J$20,10,0)</f>
        <v>846</v>
      </c>
      <c r="P5" s="183">
        <f>VLOOKUP(C5,Sheet8!$A$5:$I$20,9,0)</f>
        <v>861</v>
      </c>
      <c r="Q5" s="183">
        <f>VLOOKUP(C5,Sheet8!$A$5:$H$20,8,0)</f>
        <v>705</v>
      </c>
      <c r="R5" s="183">
        <f>VLOOKUP(C5,Sheet8!$A$5:$G$21,7,0)</f>
        <v>822</v>
      </c>
      <c r="S5" s="183">
        <f>VLOOKUP(C5,Sheet8!$A$5:$F$20,6,0)</f>
        <v>885</v>
      </c>
      <c r="T5" s="120">
        <f>VLOOKUP(C5,Sheet8!$A$5:$E$20,5,0)</f>
        <v>516</v>
      </c>
      <c r="U5" s="180">
        <f>VLOOKUP(C5,Sheet8!$A$5:$D$20,4,0)</f>
        <v>630</v>
      </c>
      <c r="V5" s="180">
        <f>VLOOKUP(C5,Sheet8!$A$5:$C$20,3,0)</f>
        <v>501</v>
      </c>
      <c r="W5" s="180">
        <f>VLOOKUP(C5,Sheet8!$A$5:$B$20,2,0)</f>
        <v>120</v>
      </c>
    </row>
    <row r="6" spans="2:23">
      <c r="B6" s="205"/>
      <c r="C6" s="12" t="s">
        <v>62</v>
      </c>
      <c r="D6" s="13">
        <f>+Monthly!AD47+Monthly!AD48</f>
        <v>63224</v>
      </c>
      <c r="E6" s="9">
        <f t="shared" ref="E6:E21" si="2">+D6/26</f>
        <v>2431.6923076923076</v>
      </c>
      <c r="F6" s="13">
        <f t="shared" ref="F6:F21" si="3">+G6/$I$2</f>
        <v>2056.3000000000002</v>
      </c>
      <c r="G6" s="10">
        <f t="shared" ref="G6:G21" si="4">SUM(K6:W6)</f>
        <v>20563</v>
      </c>
      <c r="H6" s="13">
        <f>+G6-(G5*2+G12+G14)</f>
        <v>1369</v>
      </c>
      <c r="I6" s="14">
        <f t="shared" si="1"/>
        <v>0.84562507908389228</v>
      </c>
      <c r="J6" s="91">
        <f t="shared" ref="J6:J21" si="5">+G6/D6</f>
        <v>0.32524041503226625</v>
      </c>
      <c r="K6" s="120">
        <f>VLOOKUP(C6,Sheet8!$A$5:$N$21,14,0)</f>
        <v>2204</v>
      </c>
      <c r="L6" s="120">
        <f>VLOOKUP(C6,Sheet8!$A$5:$M$21,13,0)</f>
        <v>2120</v>
      </c>
      <c r="M6" s="120">
        <f>VLOOKUP(C6,Sheet8!$A$5:$L$22,12,0)</f>
        <v>2410</v>
      </c>
      <c r="N6" s="183">
        <f>VLOOKUP(C6,Sheet8!$A$5:$K$20,11,0)</f>
        <v>0</v>
      </c>
      <c r="O6" s="183">
        <f>VLOOKUP(C6,Sheet8!$A$5:$J$20,10,0)</f>
        <v>2080</v>
      </c>
      <c r="P6" s="183">
        <f>VLOOKUP(C6,Sheet8!$A$5:$I$20,9,0)</f>
        <v>2350</v>
      </c>
      <c r="Q6" s="183">
        <f>VLOOKUP(C6,Sheet8!$A$5:$H$20,8,0)</f>
        <v>1280</v>
      </c>
      <c r="R6" s="183">
        <f>VLOOKUP(C6,Sheet8!$A$5:$G$21,7,0)</f>
        <v>2139</v>
      </c>
      <c r="S6" s="183">
        <f>VLOOKUP(C6,Sheet8!$A$5:$F$20,6,0)</f>
        <v>2080</v>
      </c>
      <c r="T6" s="120">
        <f>VLOOKUP(C6,Sheet8!$A$5:$E$20,5,0)</f>
        <v>1660</v>
      </c>
      <c r="U6" s="180">
        <f>VLOOKUP(C6,Sheet8!$A$5:$D$20,4,0)</f>
        <v>1280</v>
      </c>
      <c r="V6" s="180">
        <f>VLOOKUP(C6,Sheet8!$A$5:$C$20,3,0)</f>
        <v>960</v>
      </c>
      <c r="W6" s="180">
        <f>VLOOKUP(C6,Sheet8!$A$5:$B$20,2,0)</f>
        <v>0</v>
      </c>
    </row>
    <row r="7" spans="2:23">
      <c r="B7" s="205"/>
      <c r="C7" s="92" t="s">
        <v>65</v>
      </c>
      <c r="D7" s="13">
        <f>+Monthly!AD49</f>
        <v>2596</v>
      </c>
      <c r="E7" s="9">
        <f t="shared" si="2"/>
        <v>99.84615384615384</v>
      </c>
      <c r="F7" s="13">
        <f t="shared" si="3"/>
        <v>35</v>
      </c>
      <c r="G7" s="10">
        <f t="shared" si="4"/>
        <v>350</v>
      </c>
      <c r="H7" s="13">
        <f>+(G7-E7*I2)</f>
        <v>-648.46153846153834</v>
      </c>
      <c r="I7" s="14">
        <f t="shared" si="1"/>
        <v>0.35053929121725735</v>
      </c>
      <c r="J7" s="91">
        <f t="shared" si="5"/>
        <v>0.13482280431432975</v>
      </c>
      <c r="K7" s="120">
        <f>VLOOKUP(C7,Sheet8!$A$5:$N$21,14,0)</f>
        <v>100</v>
      </c>
      <c r="L7" s="120">
        <f>VLOOKUP(C7,Sheet8!$A$5:$M$21,13,0)</f>
        <v>100</v>
      </c>
      <c r="M7" s="120">
        <f>VLOOKUP(C7,Sheet8!$A$5:$L$22,12,0)</f>
        <v>150</v>
      </c>
      <c r="N7" s="183">
        <v>0</v>
      </c>
      <c r="O7" s="183">
        <v>0</v>
      </c>
      <c r="P7" s="183">
        <v>0</v>
      </c>
      <c r="Q7" s="183">
        <v>0</v>
      </c>
      <c r="R7" s="183">
        <v>0</v>
      </c>
      <c r="S7" s="183">
        <v>0</v>
      </c>
      <c r="T7" s="120">
        <v>0</v>
      </c>
      <c r="U7" s="180">
        <v>0</v>
      </c>
      <c r="V7" s="180">
        <v>0</v>
      </c>
      <c r="W7" s="180">
        <v>0</v>
      </c>
    </row>
    <row r="8" spans="2:23">
      <c r="B8" s="205"/>
      <c r="C8" s="12" t="s">
        <v>67</v>
      </c>
      <c r="D8" s="13">
        <f>+Monthly!AD46</f>
        <v>97110</v>
      </c>
      <c r="E8" s="9">
        <f t="shared" si="2"/>
        <v>3735</v>
      </c>
      <c r="F8" s="13">
        <f t="shared" si="3"/>
        <v>4924.8</v>
      </c>
      <c r="G8" s="10">
        <f t="shared" si="4"/>
        <v>49248</v>
      </c>
      <c r="H8" s="13">
        <f>+(G8-G5*4)</f>
        <v>16428</v>
      </c>
      <c r="I8" s="14">
        <f t="shared" si="1"/>
        <v>1.31855421686747</v>
      </c>
      <c r="J8" s="91">
        <f t="shared" si="5"/>
        <v>0.50713623725671919</v>
      </c>
      <c r="K8" s="120">
        <f>VLOOKUP(C8,Sheet8!$A$5:$N$21,14,0)</f>
        <v>3456</v>
      </c>
      <c r="L8" s="120">
        <f>VLOOKUP(C8,Sheet8!$A$5:$M$21,13,0)</f>
        <v>3888</v>
      </c>
      <c r="M8" s="120">
        <f>VLOOKUP(C8,Sheet8!$A$5:$L$22,12,0)</f>
        <v>4320</v>
      </c>
      <c r="N8" s="183">
        <f>VLOOKUP(C8,Sheet8!$A$5:$K$20,11,0)</f>
        <v>2160</v>
      </c>
      <c r="O8" s="183">
        <f>VLOOKUP(C8,Sheet8!$A$5:$J$20,10,0)</f>
        <v>2592</v>
      </c>
      <c r="P8" s="183">
        <f>VLOOKUP(C8,Sheet8!$A$5:$I$20,9,0)</f>
        <v>4320</v>
      </c>
      <c r="Q8" s="183">
        <f>VLOOKUP(C8,Sheet8!$A$5:$H$20,8,0)</f>
        <v>4752</v>
      </c>
      <c r="R8" s="183">
        <f>VLOOKUP(C8,Sheet8!$A$5:$G$21,7,0)</f>
        <v>3888</v>
      </c>
      <c r="S8" s="183">
        <f>VLOOKUP(C8,Sheet8!$A$5:$F$20,6,0)</f>
        <v>5184</v>
      </c>
      <c r="T8" s="120">
        <f>VLOOKUP(C8,Sheet8!$A$5:$E$20,5,0)</f>
        <v>4320</v>
      </c>
      <c r="U8" s="180">
        <f>VLOOKUP(C8,Sheet8!$A$5:$D$20,4,0)</f>
        <v>5184</v>
      </c>
      <c r="V8" s="180">
        <f>VLOOKUP(C8,Sheet8!$A$5:$C$20,3,0)</f>
        <v>5184</v>
      </c>
      <c r="W8" s="180">
        <f>VLOOKUP(C8,Sheet8!$A$5:$B$20,2,0)</f>
        <v>0</v>
      </c>
    </row>
    <row r="9" spans="2:23">
      <c r="B9" s="205"/>
      <c r="C9" s="15" t="s">
        <v>31</v>
      </c>
      <c r="D9" s="13">
        <f>+Monthly!AD45</f>
        <v>77736</v>
      </c>
      <c r="E9" s="9">
        <f t="shared" si="2"/>
        <v>2989.8461538461538</v>
      </c>
      <c r="F9" s="13">
        <f t="shared" si="3"/>
        <v>2328</v>
      </c>
      <c r="G9" s="10">
        <f t="shared" si="4"/>
        <v>23280</v>
      </c>
      <c r="H9" s="13">
        <f>G9-(G5*2+G12+G14+G15)</f>
        <v>868</v>
      </c>
      <c r="I9" s="14">
        <f t="shared" si="1"/>
        <v>0.77863538129052179</v>
      </c>
      <c r="J9" s="91">
        <f t="shared" si="5"/>
        <v>0.2994751466502007</v>
      </c>
      <c r="K9" s="120">
        <f>VLOOKUP(C9,Sheet8!$A$5:$N$21,14,0)</f>
        <v>2082</v>
      </c>
      <c r="L9" s="120">
        <f>VLOOKUP(C9,Sheet8!$A$5:$M$21,13,0)</f>
        <v>2118</v>
      </c>
      <c r="M9" s="120">
        <f>VLOOKUP(C9,Sheet8!$A$5:$L$22,12,0)</f>
        <v>2038</v>
      </c>
      <c r="N9" s="183">
        <f>VLOOKUP(C9,Sheet8!$A$5:$K$20,11,0)</f>
        <v>920</v>
      </c>
      <c r="O9" s="183">
        <f>VLOOKUP(C9,Sheet8!$A$5:$J$20,10,0)</f>
        <v>1792</v>
      </c>
      <c r="P9" s="183">
        <f>VLOOKUP(C9,Sheet8!$A$5:$I$20,9,0)</f>
        <v>2152</v>
      </c>
      <c r="Q9" s="183">
        <f>VLOOKUP(C9,Sheet8!$A$5:$H$20,8,0)</f>
        <v>2448</v>
      </c>
      <c r="R9" s="183">
        <f>VLOOKUP(C9,Sheet8!$A$5:$G$21,7,0)</f>
        <v>1224</v>
      </c>
      <c r="S9" s="183">
        <f>VLOOKUP(C9,Sheet8!$A$5:$F$20,6,0)</f>
        <v>2428</v>
      </c>
      <c r="T9" s="120">
        <f>VLOOKUP(C9,Sheet8!$A$5:$E$20,5,0)</f>
        <v>2362</v>
      </c>
      <c r="U9" s="180">
        <f>VLOOKUP(C9,Sheet8!$A$5:$D$20,4,0)</f>
        <v>1240</v>
      </c>
      <c r="V9" s="180">
        <f>VLOOKUP(C9,Sheet8!$A$5:$C$20,3,0)</f>
        <v>1660</v>
      </c>
      <c r="W9" s="180">
        <f>VLOOKUP(C9,Sheet8!$A$5:$B$20,2,0)</f>
        <v>816</v>
      </c>
    </row>
    <row r="10" spans="2:23">
      <c r="B10" s="205"/>
      <c r="C10" s="16" t="s">
        <v>66</v>
      </c>
      <c r="D10" s="13">
        <f>+Monthly!AD61</f>
        <v>48629</v>
      </c>
      <c r="E10" s="9">
        <f t="shared" si="2"/>
        <v>1870.3461538461538</v>
      </c>
      <c r="F10" s="13">
        <f t="shared" si="3"/>
        <v>1402.9</v>
      </c>
      <c r="G10" s="10">
        <f t="shared" si="4"/>
        <v>14029</v>
      </c>
      <c r="H10" s="13">
        <f>+G10-G5*2</f>
        <v>-2381</v>
      </c>
      <c r="I10" s="14">
        <f t="shared" si="1"/>
        <v>0.75007505809290753</v>
      </c>
      <c r="J10" s="91">
        <f t="shared" si="5"/>
        <v>0.28849040695881056</v>
      </c>
      <c r="K10" s="120">
        <f>VLOOKUP(C10,Sheet8!$A$5:$N$21,14,0)</f>
        <v>1080</v>
      </c>
      <c r="L10" s="120">
        <f>VLOOKUP(C10,Sheet8!$A$5:$M$21,13,0)</f>
        <v>1380</v>
      </c>
      <c r="M10" s="120">
        <f>VLOOKUP(C10,Sheet8!$A$5:$L$22,12,0)</f>
        <v>1530</v>
      </c>
      <c r="N10" s="183">
        <f>VLOOKUP(C10,Sheet8!$A$5:$K$20,11,0)</f>
        <v>0</v>
      </c>
      <c r="O10" s="183">
        <f>VLOOKUP(C10,Sheet8!$A$5:$J$20,10,0)</f>
        <v>1079</v>
      </c>
      <c r="P10" s="183">
        <f>VLOOKUP(C10,Sheet8!$A$5:$I$20,9,0)</f>
        <v>1080</v>
      </c>
      <c r="Q10" s="183">
        <f>VLOOKUP(C10,Sheet8!$A$5:$H$20,8,0)</f>
        <v>1350</v>
      </c>
      <c r="R10" s="183">
        <f>VLOOKUP(C10,Sheet8!$A$5:$G$21,7,0)</f>
        <v>1620</v>
      </c>
      <c r="S10" s="183">
        <f>VLOOKUP(C10,Sheet8!$A$5:$F$20,6,0)</f>
        <v>1350</v>
      </c>
      <c r="T10" s="120">
        <f>VLOOKUP(C10,Sheet8!$A$5:$E$20,5,0)</f>
        <v>1080</v>
      </c>
      <c r="U10" s="180">
        <f>VLOOKUP(C10,Sheet8!$A$5:$D$20,4,0)</f>
        <v>720</v>
      </c>
      <c r="V10" s="180">
        <f>VLOOKUP(C10,Sheet8!$A$5:$C$20,3,0)</f>
        <v>1760</v>
      </c>
      <c r="W10" s="180">
        <f>VLOOKUP(C10,Sheet8!$A$5:$B$20,2,0)</f>
        <v>0</v>
      </c>
    </row>
    <row r="11" spans="2:23">
      <c r="B11" s="205"/>
      <c r="C11" s="15" t="s">
        <v>48</v>
      </c>
      <c r="D11" s="13">
        <f>+Monthly!AD64</f>
        <v>51825</v>
      </c>
      <c r="E11" s="9">
        <f t="shared" si="2"/>
        <v>1993.2692307692307</v>
      </c>
      <c r="F11" s="13">
        <f t="shared" si="3"/>
        <v>1698.1</v>
      </c>
      <c r="G11" s="10">
        <f t="shared" si="4"/>
        <v>16981</v>
      </c>
      <c r="H11" s="13">
        <f>+G11-G5*2</f>
        <v>571</v>
      </c>
      <c r="I11" s="14">
        <f t="shared" si="1"/>
        <v>0.85191702846116735</v>
      </c>
      <c r="J11" s="91">
        <f t="shared" si="5"/>
        <v>0.32766039556198745</v>
      </c>
      <c r="K11" s="120">
        <f>VLOOKUP(C11,Sheet8!$A$5:$N$21,14,0)</f>
        <v>1473</v>
      </c>
      <c r="L11" s="120">
        <f>VLOOKUP(C11,Sheet8!$A$5:$M$21,13,0)</f>
        <v>916</v>
      </c>
      <c r="M11" s="120">
        <f>VLOOKUP(C11,Sheet8!$A$5:$L$22,12,0)</f>
        <v>1344</v>
      </c>
      <c r="N11" s="183">
        <f>VLOOKUP(C11,Sheet8!$A$5:$K$20,11,0)</f>
        <v>0</v>
      </c>
      <c r="O11" s="183">
        <f>VLOOKUP(C11,Sheet8!$A$5:$J$20,10,0)</f>
        <v>1200</v>
      </c>
      <c r="P11" s="183">
        <f>VLOOKUP(C11,Sheet8!$A$5:$I$20,9,0)</f>
        <v>1688</v>
      </c>
      <c r="Q11" s="183">
        <f>VLOOKUP(C11,Sheet8!$A$5:$H$20,8,0)</f>
        <v>1248</v>
      </c>
      <c r="R11" s="183">
        <f>VLOOKUP(C11,Sheet8!$A$5:$G$21,7,0)</f>
        <v>1688</v>
      </c>
      <c r="S11" s="183">
        <f>VLOOKUP(C11,Sheet8!$A$5:$F$20,6,0)</f>
        <v>2160</v>
      </c>
      <c r="T11" s="120">
        <f>VLOOKUP(C11,Sheet8!$A$5:$E$20,5,0)</f>
        <v>1200</v>
      </c>
      <c r="U11" s="180">
        <f>VLOOKUP(C11,Sheet8!$A$5:$D$20,4,0)</f>
        <v>1688</v>
      </c>
      <c r="V11" s="180">
        <f>VLOOKUP(C11,Sheet8!$A$5:$C$20,3,0)</f>
        <v>2376</v>
      </c>
      <c r="W11" s="180">
        <f>VLOOKUP(C11,Sheet8!$A$5:$B$20,2,0)</f>
        <v>0</v>
      </c>
    </row>
    <row r="12" spans="2:23">
      <c r="B12" s="205" t="s">
        <v>84</v>
      </c>
      <c r="C12" s="88" t="s">
        <v>59</v>
      </c>
      <c r="D12" s="9">
        <f>+Monthly!AD41</f>
        <v>5819</v>
      </c>
      <c r="E12" s="9">
        <f t="shared" si="2"/>
        <v>223.80769230769232</v>
      </c>
      <c r="F12" s="9">
        <f>+G12/$I$2</f>
        <v>141.80000000000001</v>
      </c>
      <c r="G12" s="10">
        <f t="shared" si="4"/>
        <v>1418</v>
      </c>
      <c r="H12" s="89" t="s">
        <v>206</v>
      </c>
      <c r="I12" s="11">
        <f t="shared" si="1"/>
        <v>0.63357965286131634</v>
      </c>
      <c r="J12" s="93">
        <f t="shared" si="5"/>
        <v>0.24368448186973707</v>
      </c>
      <c r="K12" s="120">
        <f>VLOOKUP(C12,Sheet8!$A$5:$N$21,14,0)</f>
        <v>144</v>
      </c>
      <c r="L12" s="120">
        <f>VLOOKUP(C12,Sheet8!$A$5:$M$21,13,0)</f>
        <v>152</v>
      </c>
      <c r="M12" s="120">
        <f>VLOOKUP(C12,Sheet8!$A$5:$L$22,12,0)</f>
        <v>230</v>
      </c>
      <c r="N12" s="183">
        <f>VLOOKUP(C12,Sheet8!$A$5:$K$20,11,0)</f>
        <v>0</v>
      </c>
      <c r="O12" s="183">
        <f>VLOOKUP(C12,Sheet8!$A$5:$J$20,10,0)</f>
        <v>42</v>
      </c>
      <c r="P12" s="183">
        <f>VLOOKUP(C12,Sheet8!$A$5:$I$20,9,0)</f>
        <v>124</v>
      </c>
      <c r="Q12" s="183">
        <f>VLOOKUP(C12,Sheet8!$A$5:$H$20,8,0)</f>
        <v>158</v>
      </c>
      <c r="R12" s="183">
        <f>VLOOKUP(C12,Sheet8!$A$5:$G$21,7,0)</f>
        <v>90</v>
      </c>
      <c r="S12" s="183">
        <f>VLOOKUP(C12,Sheet8!$A$5:$F$20,6,0)</f>
        <v>144</v>
      </c>
      <c r="T12" s="120">
        <f>VLOOKUP(C12,Sheet8!$A$5:$E$20,5,0)</f>
        <v>138</v>
      </c>
      <c r="U12" s="180">
        <f>VLOOKUP(C12,Sheet8!$A$5:$D$20,4,0)</f>
        <v>24</v>
      </c>
      <c r="V12" s="180">
        <f>VLOOKUP(C12,Sheet8!$A$5:$C$20,3,0)</f>
        <v>172</v>
      </c>
      <c r="W12" s="180">
        <f>VLOOKUP(C12,Sheet8!$A$5:$B$20,2,0)</f>
        <v>0</v>
      </c>
    </row>
    <row r="13" spans="2:23">
      <c r="B13" s="205"/>
      <c r="C13" s="15" t="s">
        <v>51</v>
      </c>
      <c r="D13" s="13">
        <f>+Monthly!AD67</f>
        <v>21876</v>
      </c>
      <c r="E13" s="9">
        <f t="shared" si="2"/>
        <v>841.38461538461536</v>
      </c>
      <c r="F13" s="13">
        <f t="shared" si="3"/>
        <v>338</v>
      </c>
      <c r="G13" s="10">
        <f t="shared" si="4"/>
        <v>3380</v>
      </c>
      <c r="H13" s="13">
        <f>+(G13-G12*2)/2</f>
        <v>272</v>
      </c>
      <c r="I13" s="14">
        <v>1</v>
      </c>
      <c r="J13" s="91">
        <f t="shared" si="5"/>
        <v>0.15450722252697019</v>
      </c>
      <c r="K13" s="120">
        <f>VLOOKUP(C13,Sheet8!$A$5:$N$21,14,0)</f>
        <v>330</v>
      </c>
      <c r="L13" s="120">
        <f>VLOOKUP(C13,Sheet8!$A$5:$M$21,13,0)</f>
        <v>440</v>
      </c>
      <c r="M13" s="120">
        <f>VLOOKUP(C13,Sheet8!$A$5:$L$22,12,0)</f>
        <v>0</v>
      </c>
      <c r="N13" s="183">
        <f>VLOOKUP(C13,Sheet8!$A$5:$K$20,11,0)</f>
        <v>0</v>
      </c>
      <c r="O13" s="183">
        <f>VLOOKUP(C13,Sheet8!$A$5:$J$20,10,0)</f>
        <v>110</v>
      </c>
      <c r="P13" s="183">
        <f>VLOOKUP(C13,Sheet8!$A$5:$I$20,9,0)</f>
        <v>330</v>
      </c>
      <c r="Q13" s="183">
        <f>VLOOKUP(C13,Sheet8!$A$5:$H$20,8,0)</f>
        <v>330</v>
      </c>
      <c r="R13" s="183">
        <f>VLOOKUP(C13,Sheet8!$A$5:$G$21,7,0)</f>
        <v>330</v>
      </c>
      <c r="S13" s="183">
        <f>VLOOKUP(C13,Sheet8!$A$5:$F$20,6,0)</f>
        <v>440</v>
      </c>
      <c r="T13" s="120">
        <f>VLOOKUP(C13,Sheet8!$A$5:$E$20,5,0)</f>
        <v>520</v>
      </c>
      <c r="U13" s="180">
        <f>VLOOKUP(C13,Sheet8!$A$5:$D$20,4,0)</f>
        <v>330</v>
      </c>
      <c r="V13" s="180">
        <f>VLOOKUP(C13,Sheet8!$A$5:$C$20,3,0)</f>
        <v>220</v>
      </c>
      <c r="W13" s="180">
        <f>VLOOKUP(C13,Sheet8!$A$5:$B$20,2,0)</f>
        <v>0</v>
      </c>
    </row>
    <row r="14" spans="2:23">
      <c r="B14" s="206" t="s">
        <v>85</v>
      </c>
      <c r="C14" s="25" t="s">
        <v>61</v>
      </c>
      <c r="D14" s="9">
        <f>+Monthly!AD36</f>
        <v>4936</v>
      </c>
      <c r="E14" s="9">
        <f t="shared" si="2"/>
        <v>189.84615384615384</v>
      </c>
      <c r="F14" s="9">
        <f t="shared" si="3"/>
        <v>136.6</v>
      </c>
      <c r="G14" s="10">
        <f t="shared" si="4"/>
        <v>1366</v>
      </c>
      <c r="H14" s="207">
        <f>+(G14+G15)/(D14+D15)</f>
        <v>0.32964188120235871</v>
      </c>
      <c r="I14" s="11">
        <f t="shared" si="1"/>
        <v>0.71952998379254451</v>
      </c>
      <c r="J14" s="93">
        <f t="shared" si="5"/>
        <v>0.27674230145867101</v>
      </c>
      <c r="K14" s="120">
        <f>VLOOKUP(C14,Sheet8!$A$5:$N$21,14,0)</f>
        <v>200</v>
      </c>
      <c r="L14" s="120">
        <f>VLOOKUP(C14,Sheet8!$A$5:$M$21,13,0)</f>
        <v>30</v>
      </c>
      <c r="M14" s="120">
        <f>VLOOKUP(C14,Sheet8!$A$5:$L$22,12,0)</f>
        <v>90</v>
      </c>
      <c r="N14" s="183">
        <f>VLOOKUP(C14,Sheet8!$A$5:$K$20,11,0)</f>
        <v>90</v>
      </c>
      <c r="O14" s="183">
        <f>VLOOKUP(C14,Sheet8!$A$5:$J$20,10,0)</f>
        <v>0</v>
      </c>
      <c r="P14" s="183">
        <f>VLOOKUP(C14,Sheet8!$A$5:$I$20,9,0)</f>
        <v>70</v>
      </c>
      <c r="Q14" s="183">
        <f>VLOOKUP(C14,Sheet8!$A$5:$H$20,8,0)</f>
        <v>240</v>
      </c>
      <c r="R14" s="183">
        <f>VLOOKUP(C14,Sheet8!$A$5:$G$21,7,0)</f>
        <v>88</v>
      </c>
      <c r="S14" s="183">
        <f>VLOOKUP(C14,Sheet8!$A$5:$F$20,6,0)</f>
        <v>260</v>
      </c>
      <c r="T14" s="120">
        <f>VLOOKUP(C14,Sheet8!$A$5:$E$20,5,0)</f>
        <v>60</v>
      </c>
      <c r="U14" s="180">
        <f>VLOOKUP(C14,Sheet8!$A$5:$D$20,4,0)</f>
        <v>168</v>
      </c>
      <c r="V14" s="180">
        <f>VLOOKUP(C14,Sheet8!$A$5:$C$20,3,0)</f>
        <v>70</v>
      </c>
      <c r="W14" s="180">
        <f>VLOOKUP(C14,Sheet8!$A$5:$B$20,2,0)</f>
        <v>0</v>
      </c>
    </row>
    <row r="15" spans="2:23">
      <c r="B15" s="206"/>
      <c r="C15" s="22" t="s">
        <v>101</v>
      </c>
      <c r="D15" s="9">
        <f>+Monthly!AD37</f>
        <v>8970</v>
      </c>
      <c r="E15" s="9">
        <f t="shared" si="2"/>
        <v>345</v>
      </c>
      <c r="F15" s="13">
        <f t="shared" si="3"/>
        <v>321.8</v>
      </c>
      <c r="G15" s="10">
        <f t="shared" si="4"/>
        <v>3218</v>
      </c>
      <c r="H15" s="207"/>
      <c r="I15" s="11">
        <f t="shared" si="1"/>
        <v>0.93275362318840582</v>
      </c>
      <c r="J15" s="93">
        <f t="shared" si="5"/>
        <v>0.35875139353400221</v>
      </c>
      <c r="K15" s="120">
        <f>VLOOKUP(C15,Sheet8!$A$5:$N$21,14,0)</f>
        <v>280</v>
      </c>
      <c r="L15" s="120">
        <f>VLOOKUP(C15,Sheet8!$A$5:$M$21,13,0)</f>
        <v>250</v>
      </c>
      <c r="M15" s="120">
        <f>VLOOKUP(C15,Sheet8!$A$5:$L$22,12,0)</f>
        <v>200</v>
      </c>
      <c r="N15" s="183">
        <f>VLOOKUP(C15,Sheet8!$A$5:$K$20,11,0)</f>
        <v>110</v>
      </c>
      <c r="O15" s="183">
        <f>VLOOKUP(C15,Sheet8!$A$5:$J$20,10,0)</f>
        <v>380</v>
      </c>
      <c r="P15" s="183">
        <f>VLOOKUP(C15,Sheet8!$A$5:$I$20,9,0)</f>
        <v>328</v>
      </c>
      <c r="Q15" s="183">
        <f>VLOOKUP(C15,Sheet8!$A$5:$H$20,8,0)</f>
        <v>180</v>
      </c>
      <c r="R15" s="183">
        <f>VLOOKUP(C15,Sheet8!$A$5:$G$21,7,0)</f>
        <v>330</v>
      </c>
      <c r="S15" s="183">
        <f>VLOOKUP(C15,Sheet8!$A$5:$F$20,6,0)</f>
        <v>280</v>
      </c>
      <c r="T15" s="120">
        <f>VLOOKUP(C15,Sheet8!$A$5:$E$20,5,0)</f>
        <v>338</v>
      </c>
      <c r="U15" s="180">
        <f>VLOOKUP(C15,Sheet8!$A$5:$D$20,4,0)</f>
        <v>186</v>
      </c>
      <c r="V15" s="180">
        <f>VLOOKUP(C15,Sheet8!$A$5:$C$20,3,0)</f>
        <v>150</v>
      </c>
      <c r="W15" s="180">
        <f>VLOOKUP(C15,Sheet8!$A$5:$B$20,2,0)</f>
        <v>206</v>
      </c>
    </row>
    <row r="16" spans="2:23">
      <c r="B16" s="206"/>
      <c r="C16" s="22" t="s">
        <v>100</v>
      </c>
      <c r="D16" s="9">
        <f>+D15</f>
        <v>8970</v>
      </c>
      <c r="E16" s="9">
        <f t="shared" si="2"/>
        <v>345</v>
      </c>
      <c r="F16" s="13">
        <f t="shared" si="3"/>
        <v>357.6</v>
      </c>
      <c r="G16" s="10">
        <f t="shared" si="4"/>
        <v>3576</v>
      </c>
      <c r="H16" s="9">
        <f>+G16-G15</f>
        <v>358</v>
      </c>
      <c r="I16" s="11">
        <f t="shared" si="1"/>
        <v>1.0365217391304349</v>
      </c>
      <c r="J16" s="93">
        <f t="shared" si="5"/>
        <v>0.39866220735785951</v>
      </c>
      <c r="K16" s="120">
        <f>VLOOKUP(C16,Sheet8!$A$5:$N$21,14,0)</f>
        <v>131</v>
      </c>
      <c r="L16" s="120">
        <f>VLOOKUP(C16,Sheet8!$A$5:$M$21,13,0)</f>
        <v>190</v>
      </c>
      <c r="M16" s="120">
        <f>VLOOKUP(C16,Sheet8!$A$5:$L$22,12,0)</f>
        <v>430</v>
      </c>
      <c r="N16" s="183">
        <f>VLOOKUP(C16,Sheet8!$A$5:$K$20,11,0)</f>
        <v>0</v>
      </c>
      <c r="O16" s="183">
        <f>VLOOKUP(C16,Sheet8!$A$5:$J$20,10,0)</f>
        <v>300</v>
      </c>
      <c r="P16" s="183">
        <f>VLOOKUP(C16,Sheet8!$A$5:$I$20,9,0)</f>
        <v>430</v>
      </c>
      <c r="Q16" s="183">
        <f>VLOOKUP(C16,Sheet8!$A$5:$H$20,8,0)</f>
        <v>370</v>
      </c>
      <c r="R16" s="183">
        <f>VLOOKUP(C16,Sheet8!$A$5:$G$21,7,0)</f>
        <v>360</v>
      </c>
      <c r="S16" s="183">
        <f>VLOOKUP(C16,Sheet8!$A$5:$F$20,6,0)</f>
        <v>230</v>
      </c>
      <c r="T16" s="120">
        <f>VLOOKUP(C16,Sheet8!$A$5:$E$20,5,0)</f>
        <v>375</v>
      </c>
      <c r="U16" s="180">
        <f>VLOOKUP(C16,Sheet8!$A$5:$D$20,4,0)</f>
        <v>280</v>
      </c>
      <c r="V16" s="180">
        <f>VLOOKUP(C16,Sheet8!$A$5:$C$20,3,0)</f>
        <v>280</v>
      </c>
      <c r="W16" s="180">
        <f>VLOOKUP(C16,Sheet8!$A$5:$B$20,2,0)</f>
        <v>200</v>
      </c>
    </row>
    <row r="17" spans="2:23">
      <c r="B17" s="206"/>
      <c r="C17" s="15" t="s">
        <v>43</v>
      </c>
      <c r="D17" s="13">
        <f>+Monthly!AD57</f>
        <v>8890</v>
      </c>
      <c r="E17" s="9">
        <f t="shared" si="2"/>
        <v>341.92307692307691</v>
      </c>
      <c r="F17" s="13">
        <f t="shared" si="3"/>
        <v>271.60000000000002</v>
      </c>
      <c r="G17" s="10">
        <f t="shared" si="4"/>
        <v>2716</v>
      </c>
      <c r="H17" s="13">
        <f>+(G17-E17)/I2</f>
        <v>237.40769230769229</v>
      </c>
      <c r="I17" s="14">
        <f t="shared" si="1"/>
        <v>0.79433070866141742</v>
      </c>
      <c r="J17" s="91">
        <f t="shared" si="5"/>
        <v>0.30551181102362207</v>
      </c>
      <c r="K17" s="120">
        <f>VLOOKUP(C17,Sheet8!$A$5:$N$21,14,0)</f>
        <v>192</v>
      </c>
      <c r="L17" s="120">
        <f>VLOOKUP(C17,Sheet8!$A$5:$M$21,13,0)</f>
        <v>288</v>
      </c>
      <c r="M17" s="120">
        <f>VLOOKUP(C17,Sheet8!$A$5:$L$22,12,0)</f>
        <v>268</v>
      </c>
      <c r="N17" s="183">
        <f>VLOOKUP(C17,Sheet8!$A$5:$K$20,11,0)</f>
        <v>0</v>
      </c>
      <c r="O17" s="183">
        <f>VLOOKUP(C17,Sheet8!$A$5:$J$20,10,0)</f>
        <v>192</v>
      </c>
      <c r="P17" s="183">
        <f>VLOOKUP(C17,Sheet8!$A$5:$I$20,9,0)</f>
        <v>240</v>
      </c>
      <c r="Q17" s="183">
        <f>VLOOKUP(C17,Sheet8!$A$5:$H$20,8,0)</f>
        <v>240</v>
      </c>
      <c r="R17" s="183">
        <f>VLOOKUP(C17,Sheet8!$A$5:$G$21,7,0)</f>
        <v>192</v>
      </c>
      <c r="S17" s="183">
        <f>VLOOKUP(C17,Sheet8!$A$5:$F$20,6,0)</f>
        <v>240</v>
      </c>
      <c r="T17" s="120">
        <f>VLOOKUP(C17,Sheet8!$A$5:$E$20,5,0)</f>
        <v>288</v>
      </c>
      <c r="U17" s="180">
        <f>VLOOKUP(C17,Sheet8!$A$5:$D$20,4,0)</f>
        <v>288</v>
      </c>
      <c r="V17" s="180">
        <f>VLOOKUP(C17,Sheet8!$A$5:$C$20,3,0)</f>
        <v>288</v>
      </c>
      <c r="W17" s="180">
        <f>VLOOKUP(C17,Sheet8!$A$5:$B$20,2,0)</f>
        <v>0</v>
      </c>
    </row>
    <row r="18" spans="2:23">
      <c r="B18" s="206"/>
      <c r="C18" s="184" t="s">
        <v>324</v>
      </c>
      <c r="D18" s="13">
        <f>+D14+D15</f>
        <v>13906</v>
      </c>
      <c r="E18" s="9">
        <f t="shared" si="2"/>
        <v>534.84615384615381</v>
      </c>
      <c r="F18" s="13">
        <f t="shared" si="3"/>
        <v>355.7</v>
      </c>
      <c r="G18" s="10">
        <f t="shared" si="4"/>
        <v>3557</v>
      </c>
      <c r="H18" s="13">
        <f>+G18-(G14+G15)</f>
        <v>-1027</v>
      </c>
      <c r="I18" s="14"/>
      <c r="J18" s="91"/>
      <c r="K18" s="87">
        <v>510</v>
      </c>
      <c r="L18" s="87">
        <v>424</v>
      </c>
      <c r="M18" s="120">
        <v>0</v>
      </c>
      <c r="N18" s="183">
        <v>0</v>
      </c>
      <c r="O18" s="183">
        <v>0</v>
      </c>
      <c r="P18" s="183">
        <v>210</v>
      </c>
      <c r="Q18" s="183">
        <v>0</v>
      </c>
      <c r="R18" s="87">
        <v>1221</v>
      </c>
      <c r="S18" s="183">
        <v>0</v>
      </c>
      <c r="T18" s="87">
        <v>931</v>
      </c>
      <c r="U18" s="87">
        <v>261</v>
      </c>
      <c r="V18" s="180">
        <v>0</v>
      </c>
      <c r="W18" s="180">
        <v>0</v>
      </c>
    </row>
    <row r="19" spans="2:23">
      <c r="B19" s="206"/>
      <c r="C19" s="15" t="s">
        <v>39</v>
      </c>
      <c r="D19" s="13">
        <f>+Monthly!AD56</f>
        <v>3043</v>
      </c>
      <c r="E19" s="9">
        <f t="shared" si="2"/>
        <v>117.03846153846153</v>
      </c>
      <c r="F19" s="13">
        <f t="shared" si="3"/>
        <v>113.2</v>
      </c>
      <c r="G19" s="10">
        <f t="shared" si="4"/>
        <v>1132</v>
      </c>
      <c r="H19" s="13">
        <f>+G19-E19/I2</f>
        <v>1120.2961538461539</v>
      </c>
      <c r="I19" s="14">
        <f t="shared" si="1"/>
        <v>0.96720341767992124</v>
      </c>
      <c r="J19" s="91">
        <f t="shared" si="5"/>
        <v>0.37200131449227736</v>
      </c>
      <c r="K19" s="120">
        <f>VLOOKUP(C19,Sheet8!$A$5:$N$21,14,0)</f>
        <v>0</v>
      </c>
      <c r="L19" s="120">
        <f>VLOOKUP(C19,Sheet8!$A$5:$M$21,13,0)</f>
        <v>400</v>
      </c>
      <c r="M19" s="120">
        <f>VLOOKUP(C19,Sheet8!$A$5:$L$22,12,0)</f>
        <v>324</v>
      </c>
      <c r="N19" s="183">
        <f>VLOOKUP(C19,Sheet8!$A$5:$K$20,11,0)</f>
        <v>0</v>
      </c>
      <c r="O19" s="183">
        <v>0</v>
      </c>
      <c r="P19" s="183">
        <f>VLOOKUP(C19,Sheet8!$A$5:$I$20,9,0)</f>
        <v>84</v>
      </c>
      <c r="Q19" s="183">
        <f>VLOOKUP(C19,Sheet8!$A$5:$H$20,8,0)</f>
        <v>84</v>
      </c>
      <c r="R19" s="183">
        <f>VLOOKUP(C19,Sheet8!$A$5:$G$21,7,0)</f>
        <v>0</v>
      </c>
      <c r="S19" s="183">
        <f>VLOOKUP(C19,Sheet8!$A$5:$F$20,6,0)</f>
        <v>84</v>
      </c>
      <c r="T19" s="120">
        <f>VLOOKUP(C19,Sheet8!$A$5:$E$20,5,0)</f>
        <v>0</v>
      </c>
      <c r="U19" s="180">
        <f>VLOOKUP(C19,Sheet8!$A$5:$D$20,4,0)</f>
        <v>72</v>
      </c>
      <c r="V19" s="180">
        <f>VLOOKUP(C19,Sheet8!$A$5:$C$20,3,0)</f>
        <v>84</v>
      </c>
      <c r="W19" s="180">
        <f>VLOOKUP(C19,Sheet8!$A$5:$B$20,2,0)</f>
        <v>0</v>
      </c>
    </row>
    <row r="20" spans="2:23">
      <c r="B20" s="3"/>
      <c r="C20" s="15" t="s">
        <v>68</v>
      </c>
      <c r="D20" s="13">
        <v>141241</v>
      </c>
      <c r="E20" s="9">
        <f t="shared" si="2"/>
        <v>5432.3461538461543</v>
      </c>
      <c r="F20" s="13">
        <f t="shared" si="3"/>
        <v>4221</v>
      </c>
      <c r="G20" s="10">
        <f t="shared" si="4"/>
        <v>42210</v>
      </c>
      <c r="H20" s="13"/>
      <c r="I20" s="14">
        <f t="shared" si="1"/>
        <v>0.77701234060931312</v>
      </c>
      <c r="J20" s="91">
        <f t="shared" si="5"/>
        <v>0.29885090023435124</v>
      </c>
      <c r="K20" s="120">
        <f>VLOOKUP(C20,Sheet8!$A$5:$N$21,14,0)</f>
        <v>15270</v>
      </c>
      <c r="L20" s="120">
        <f>VLOOKUP(C20,Sheet8!$A$5:$M$21,13,0)</f>
        <v>3600</v>
      </c>
      <c r="M20" s="120">
        <f>VLOOKUP(C20,Sheet8!$A$5:$L$22,12,0)</f>
        <v>2000</v>
      </c>
      <c r="N20" s="183">
        <f>VLOOKUP(C20,Sheet8!$A$5:$K$20,11,0)</f>
        <v>0</v>
      </c>
      <c r="O20" s="183">
        <v>0</v>
      </c>
      <c r="P20" s="183">
        <f>VLOOKUP(C20,Sheet8!$A$5:$I$20,9,0)</f>
        <v>2000</v>
      </c>
      <c r="Q20" s="183">
        <f>VLOOKUP(C20,Sheet8!$A$5:$H$20,8,0)</f>
        <v>2084</v>
      </c>
      <c r="R20" s="183">
        <f>VLOOKUP(C20,Sheet8!$A$5:$G$21,7,0)</f>
        <v>0</v>
      </c>
      <c r="S20" s="183">
        <f>VLOOKUP(C20,Sheet8!$A$5:$F$20,6,0)</f>
        <v>84</v>
      </c>
      <c r="T20" s="120">
        <f>VLOOKUP(C20,Sheet8!$A$5:$E$20,5,0)</f>
        <v>2000</v>
      </c>
      <c r="U20" s="180">
        <f>VLOOKUP(C20,Sheet8!$A$5:$D$20,4,0)</f>
        <v>72</v>
      </c>
      <c r="V20" s="180">
        <f>VLOOKUP(C20,Sheet8!$A$5:$C$20,3,0)</f>
        <v>15100</v>
      </c>
      <c r="W20" s="180">
        <f>VLOOKUP(C20,Sheet8!$A$5:$B$20,2,0)</f>
        <v>0</v>
      </c>
    </row>
    <row r="21" spans="2:23">
      <c r="B21" s="3"/>
      <c r="C21" s="200" t="s">
        <v>71</v>
      </c>
      <c r="D21" s="13">
        <f>+Monthly!AD70</f>
        <v>33800</v>
      </c>
      <c r="E21" s="9">
        <f t="shared" si="2"/>
        <v>1300</v>
      </c>
      <c r="F21" s="13">
        <f t="shared" si="3"/>
        <v>1040</v>
      </c>
      <c r="G21" s="10">
        <f t="shared" si="4"/>
        <v>10400</v>
      </c>
      <c r="H21" s="13">
        <f>+G21-G5</f>
        <v>2195</v>
      </c>
      <c r="I21" s="14">
        <f t="shared" si="1"/>
        <v>0.8</v>
      </c>
      <c r="J21" s="91">
        <f t="shared" si="5"/>
        <v>0.30769230769230771</v>
      </c>
      <c r="K21" s="120">
        <f>VLOOKUP(C21,Sheet8!$A$5:$N$21,14,0)</f>
        <v>960</v>
      </c>
      <c r="L21" s="120">
        <f>VLOOKUP(C21,Sheet8!$A$5:$M$21,13,0)</f>
        <v>720</v>
      </c>
      <c r="M21" s="120">
        <f>VLOOKUP(C21,Sheet8!$A$5:$L$22,12,0)</f>
        <v>960</v>
      </c>
      <c r="N21" s="183">
        <f>VLOOKUP(C21,Sheet8!$A$5:$K$20,11,0)</f>
        <v>0</v>
      </c>
      <c r="O21" s="183">
        <f>VLOOKUP(C21,Sheet8!$A$5:$J$20,10,0)</f>
        <v>960</v>
      </c>
      <c r="P21" s="183">
        <f>VLOOKUP(C21,Sheet8!$A$5:$I$20,9,0)</f>
        <v>960</v>
      </c>
      <c r="Q21" s="183">
        <f>VLOOKUP(C21,Sheet8!$A$5:$H$20,8,0)</f>
        <v>1200</v>
      </c>
      <c r="R21" s="183">
        <f>VLOOKUP(C21,Sheet8!$A$5:$G$21,7,0)</f>
        <v>1120</v>
      </c>
      <c r="S21" s="183">
        <f>VLOOKUP(C21,Sheet8!$A$5:$F$20,6,0)</f>
        <v>1120</v>
      </c>
      <c r="T21" s="120">
        <f>VLOOKUP(C21,Sheet8!$A$5:$E$20,5,0)</f>
        <v>720</v>
      </c>
      <c r="U21" s="180">
        <f>VLOOKUP(C21,Sheet8!$A$5:$D$20,4,0)</f>
        <v>720</v>
      </c>
      <c r="V21" s="180">
        <f>VLOOKUP(C21,Sheet8!$A$5:$C$20,3,0)</f>
        <v>960</v>
      </c>
      <c r="W21" s="180">
        <f>VLOOKUP(C21,Sheet8!$A$5:$B$20,2,0)</f>
        <v>0</v>
      </c>
    </row>
    <row r="22" spans="2:23">
      <c r="B22" s="3"/>
      <c r="C22" s="109" t="s">
        <v>0</v>
      </c>
      <c r="D22" s="110">
        <f>SUM(D5:D21)</f>
        <v>616795.67999999993</v>
      </c>
      <c r="E22" s="9">
        <f>SUM(E5:E21)</f>
        <v>23722.910769230766</v>
      </c>
      <c r="F22" s="110"/>
      <c r="G22" s="10">
        <f>SUM(G5:G21)</f>
        <v>205629</v>
      </c>
      <c r="H22" s="110"/>
      <c r="I22" s="111">
        <f>AVERAGE(I5:I21)</f>
        <v>0.83980677179193308</v>
      </c>
      <c r="J22" s="112">
        <f>AVERAGE(J5:J21)</f>
        <v>0.30862084440483295</v>
      </c>
      <c r="K22" s="119"/>
      <c r="L22" s="119"/>
      <c r="M22" s="119"/>
      <c r="N22" s="119"/>
      <c r="O22" s="119"/>
      <c r="P22" s="183">
        <v>0</v>
      </c>
      <c r="Q22" s="119"/>
      <c r="R22" s="119"/>
      <c r="S22" s="119"/>
      <c r="T22" s="119"/>
      <c r="U22" s="119"/>
      <c r="V22" s="119"/>
      <c r="W22" s="119"/>
    </row>
    <row r="23" spans="2:23">
      <c r="G23" s="18"/>
    </row>
    <row r="24" spans="2:23">
      <c r="D24" s="18"/>
      <c r="G24" s="18"/>
    </row>
    <row r="25" spans="2:23">
      <c r="F25" s="18"/>
      <c r="G25" s="18"/>
    </row>
    <row r="26" spans="2:23">
      <c r="D26" s="18"/>
      <c r="G26" s="18"/>
    </row>
    <row r="27" spans="2:23">
      <c r="G27" s="18"/>
    </row>
    <row r="28" spans="2:23">
      <c r="G28" s="18"/>
    </row>
    <row r="31" spans="2:23">
      <c r="G31" s="18"/>
    </row>
    <row r="32" spans="2:23">
      <c r="G32" s="18"/>
    </row>
    <row r="65459" spans="5:23">
      <c r="E65459" s="19">
        <f>+D65459/25</f>
        <v>0</v>
      </c>
      <c r="F65459" s="20"/>
      <c r="G65459" s="20"/>
      <c r="H65459" s="20"/>
      <c r="I65459" s="20"/>
      <c r="J65459" s="20"/>
      <c r="K65459" s="20"/>
      <c r="L65459" s="20"/>
      <c r="M65459" s="20"/>
      <c r="N65459" s="20"/>
      <c r="O65459" s="20"/>
      <c r="P65459" s="20"/>
      <c r="Q65459" s="20"/>
      <c r="R65459" s="20"/>
      <c r="S65459" s="20"/>
      <c r="T65459" s="20"/>
      <c r="U65459" s="20"/>
      <c r="V65459" s="20"/>
      <c r="W65459" s="20"/>
    </row>
  </sheetData>
  <mergeCells count="5">
    <mergeCell ref="C3:D3"/>
    <mergeCell ref="B5:B11"/>
    <mergeCell ref="B12:B13"/>
    <mergeCell ref="B14:B19"/>
    <mergeCell ref="H14:H15"/>
  </mergeCells>
  <conditionalFormatting sqref="H5:H14 H16:H21">
    <cfRule type="cellIs" dxfId="4" priority="2" stopIfTrue="1" operator="lessThan">
      <formula>0</formula>
    </cfRule>
  </conditionalFormatting>
  <pageMargins left="0.2" right="0.2" top="0.75" bottom="0.75" header="0.3" footer="0.3"/>
  <pageSetup paperSize="9" scale="1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70"/>
  <sheetViews>
    <sheetView topLeftCell="A4" workbookViewId="0">
      <selection activeCell="AC20" sqref="A15:AE40"/>
    </sheetView>
  </sheetViews>
  <sheetFormatPr defaultRowHeight="13.2"/>
  <cols>
    <col min="1" max="1" width="4" customWidth="1"/>
    <col min="2" max="2" width="44.88671875" bestFit="1" customWidth="1"/>
    <col min="3" max="3" width="5.88671875" customWidth="1"/>
    <col min="4" max="4" width="6.5546875" bestFit="1" customWidth="1"/>
    <col min="5" max="5" width="7.44140625" bestFit="1" customWidth="1"/>
    <col min="6" max="6" width="6.5546875" bestFit="1" customWidth="1"/>
    <col min="7" max="7" width="10" bestFit="1" customWidth="1"/>
    <col min="8" max="11" width="9.44140625" hidden="1" customWidth="1"/>
    <col min="12" max="12" width="12" bestFit="1" customWidth="1"/>
    <col min="13" max="13" width="11.109375" customWidth="1"/>
    <col min="14" max="14" width="8.109375" bestFit="1" customWidth="1"/>
    <col min="15" max="15" width="6.5546875" bestFit="1" customWidth="1"/>
    <col min="16" max="16" width="8.44140625" customWidth="1"/>
    <col min="17" max="17" width="11.109375" customWidth="1"/>
    <col min="19" max="19" width="19.21875" bestFit="1" customWidth="1"/>
    <col min="24" max="24" width="10.44140625" bestFit="1" customWidth="1"/>
    <col min="27" max="27" width="17.77734375" bestFit="1" customWidth="1"/>
    <col min="28" max="28" width="11" bestFit="1" customWidth="1"/>
    <col min="29" max="29" width="45.5546875" bestFit="1" customWidth="1"/>
    <col min="30" max="30" width="15" bestFit="1" customWidth="1"/>
    <col min="257" max="257" width="4" customWidth="1"/>
    <col min="258" max="258" width="44.88671875" bestFit="1" customWidth="1"/>
    <col min="259" max="259" width="5.88671875" customWidth="1"/>
    <col min="260" max="260" width="6.5546875" bestFit="1" customWidth="1"/>
    <col min="261" max="261" width="7.44140625" bestFit="1" customWidth="1"/>
    <col min="262" max="262" width="6.5546875" bestFit="1" customWidth="1"/>
    <col min="263" max="263" width="10" bestFit="1" customWidth="1"/>
    <col min="264" max="267" width="0" hidden="1" customWidth="1"/>
    <col min="268" max="268" width="12" bestFit="1" customWidth="1"/>
    <col min="269" max="269" width="11.109375" customWidth="1"/>
    <col min="270" max="270" width="8.109375" bestFit="1" customWidth="1"/>
    <col min="271" max="271" width="6.5546875" bestFit="1" customWidth="1"/>
    <col min="272" max="272" width="8.44140625" customWidth="1"/>
    <col min="273" max="273" width="11.109375" customWidth="1"/>
    <col min="275" max="275" width="19.21875" bestFit="1" customWidth="1"/>
    <col min="280" max="280" width="10.44140625" bestFit="1" customWidth="1"/>
    <col min="283" max="283" width="17.77734375" bestFit="1" customWidth="1"/>
    <col min="284" max="284" width="11" bestFit="1" customWidth="1"/>
    <col min="285" max="285" width="45.5546875" bestFit="1" customWidth="1"/>
    <col min="286" max="286" width="15" bestFit="1" customWidth="1"/>
    <col min="513" max="513" width="4" customWidth="1"/>
    <col min="514" max="514" width="44.88671875" bestFit="1" customWidth="1"/>
    <col min="515" max="515" width="5.88671875" customWidth="1"/>
    <col min="516" max="516" width="6.5546875" bestFit="1" customWidth="1"/>
    <col min="517" max="517" width="7.44140625" bestFit="1" customWidth="1"/>
    <col min="518" max="518" width="6.5546875" bestFit="1" customWidth="1"/>
    <col min="519" max="519" width="10" bestFit="1" customWidth="1"/>
    <col min="520" max="523" width="0" hidden="1" customWidth="1"/>
    <col min="524" max="524" width="12" bestFit="1" customWidth="1"/>
    <col min="525" max="525" width="11.109375" customWidth="1"/>
    <col min="526" max="526" width="8.109375" bestFit="1" customWidth="1"/>
    <col min="527" max="527" width="6.5546875" bestFit="1" customWidth="1"/>
    <col min="528" max="528" width="8.44140625" customWidth="1"/>
    <col min="529" max="529" width="11.109375" customWidth="1"/>
    <col min="531" max="531" width="19.21875" bestFit="1" customWidth="1"/>
    <col min="536" max="536" width="10.44140625" bestFit="1" customWidth="1"/>
    <col min="539" max="539" width="17.77734375" bestFit="1" customWidth="1"/>
    <col min="540" max="540" width="11" bestFit="1" customWidth="1"/>
    <col min="541" max="541" width="45.5546875" bestFit="1" customWidth="1"/>
    <col min="542" max="542" width="15" bestFit="1" customWidth="1"/>
    <col min="769" max="769" width="4" customWidth="1"/>
    <col min="770" max="770" width="44.88671875" bestFit="1" customWidth="1"/>
    <col min="771" max="771" width="5.88671875" customWidth="1"/>
    <col min="772" max="772" width="6.5546875" bestFit="1" customWidth="1"/>
    <col min="773" max="773" width="7.44140625" bestFit="1" customWidth="1"/>
    <col min="774" max="774" width="6.5546875" bestFit="1" customWidth="1"/>
    <col min="775" max="775" width="10" bestFit="1" customWidth="1"/>
    <col min="776" max="779" width="0" hidden="1" customWidth="1"/>
    <col min="780" max="780" width="12" bestFit="1" customWidth="1"/>
    <col min="781" max="781" width="11.109375" customWidth="1"/>
    <col min="782" max="782" width="8.109375" bestFit="1" customWidth="1"/>
    <col min="783" max="783" width="6.5546875" bestFit="1" customWidth="1"/>
    <col min="784" max="784" width="8.44140625" customWidth="1"/>
    <col min="785" max="785" width="11.109375" customWidth="1"/>
    <col min="787" max="787" width="19.21875" bestFit="1" customWidth="1"/>
    <col min="792" max="792" width="10.44140625" bestFit="1" customWidth="1"/>
    <col min="795" max="795" width="17.77734375" bestFit="1" customWidth="1"/>
    <col min="796" max="796" width="11" bestFit="1" customWidth="1"/>
    <col min="797" max="797" width="45.5546875" bestFit="1" customWidth="1"/>
    <col min="798" max="798" width="15" bestFit="1" customWidth="1"/>
    <col min="1025" max="1025" width="4" customWidth="1"/>
    <col min="1026" max="1026" width="44.88671875" bestFit="1" customWidth="1"/>
    <col min="1027" max="1027" width="5.88671875" customWidth="1"/>
    <col min="1028" max="1028" width="6.5546875" bestFit="1" customWidth="1"/>
    <col min="1029" max="1029" width="7.44140625" bestFit="1" customWidth="1"/>
    <col min="1030" max="1030" width="6.5546875" bestFit="1" customWidth="1"/>
    <col min="1031" max="1031" width="10" bestFit="1" customWidth="1"/>
    <col min="1032" max="1035" width="0" hidden="1" customWidth="1"/>
    <col min="1036" max="1036" width="12" bestFit="1" customWidth="1"/>
    <col min="1037" max="1037" width="11.109375" customWidth="1"/>
    <col min="1038" max="1038" width="8.109375" bestFit="1" customWidth="1"/>
    <col min="1039" max="1039" width="6.5546875" bestFit="1" customWidth="1"/>
    <col min="1040" max="1040" width="8.44140625" customWidth="1"/>
    <col min="1041" max="1041" width="11.109375" customWidth="1"/>
    <col min="1043" max="1043" width="19.21875" bestFit="1" customWidth="1"/>
    <col min="1048" max="1048" width="10.44140625" bestFit="1" customWidth="1"/>
    <col min="1051" max="1051" width="17.77734375" bestFit="1" customWidth="1"/>
    <col min="1052" max="1052" width="11" bestFit="1" customWidth="1"/>
    <col min="1053" max="1053" width="45.5546875" bestFit="1" customWidth="1"/>
    <col min="1054" max="1054" width="15" bestFit="1" customWidth="1"/>
    <col min="1281" max="1281" width="4" customWidth="1"/>
    <col min="1282" max="1282" width="44.88671875" bestFit="1" customWidth="1"/>
    <col min="1283" max="1283" width="5.88671875" customWidth="1"/>
    <col min="1284" max="1284" width="6.5546875" bestFit="1" customWidth="1"/>
    <col min="1285" max="1285" width="7.44140625" bestFit="1" customWidth="1"/>
    <col min="1286" max="1286" width="6.5546875" bestFit="1" customWidth="1"/>
    <col min="1287" max="1287" width="10" bestFit="1" customWidth="1"/>
    <col min="1288" max="1291" width="0" hidden="1" customWidth="1"/>
    <col min="1292" max="1292" width="12" bestFit="1" customWidth="1"/>
    <col min="1293" max="1293" width="11.109375" customWidth="1"/>
    <col min="1294" max="1294" width="8.109375" bestFit="1" customWidth="1"/>
    <col min="1295" max="1295" width="6.5546875" bestFit="1" customWidth="1"/>
    <col min="1296" max="1296" width="8.44140625" customWidth="1"/>
    <col min="1297" max="1297" width="11.109375" customWidth="1"/>
    <col min="1299" max="1299" width="19.21875" bestFit="1" customWidth="1"/>
    <col min="1304" max="1304" width="10.44140625" bestFit="1" customWidth="1"/>
    <col min="1307" max="1307" width="17.77734375" bestFit="1" customWidth="1"/>
    <col min="1308" max="1308" width="11" bestFit="1" customWidth="1"/>
    <col min="1309" max="1309" width="45.5546875" bestFit="1" customWidth="1"/>
    <col min="1310" max="1310" width="15" bestFit="1" customWidth="1"/>
    <col min="1537" max="1537" width="4" customWidth="1"/>
    <col min="1538" max="1538" width="44.88671875" bestFit="1" customWidth="1"/>
    <col min="1539" max="1539" width="5.88671875" customWidth="1"/>
    <col min="1540" max="1540" width="6.5546875" bestFit="1" customWidth="1"/>
    <col min="1541" max="1541" width="7.44140625" bestFit="1" customWidth="1"/>
    <col min="1542" max="1542" width="6.5546875" bestFit="1" customWidth="1"/>
    <col min="1543" max="1543" width="10" bestFit="1" customWidth="1"/>
    <col min="1544" max="1547" width="0" hidden="1" customWidth="1"/>
    <col min="1548" max="1548" width="12" bestFit="1" customWidth="1"/>
    <col min="1549" max="1549" width="11.109375" customWidth="1"/>
    <col min="1550" max="1550" width="8.109375" bestFit="1" customWidth="1"/>
    <col min="1551" max="1551" width="6.5546875" bestFit="1" customWidth="1"/>
    <col min="1552" max="1552" width="8.44140625" customWidth="1"/>
    <col min="1553" max="1553" width="11.109375" customWidth="1"/>
    <col min="1555" max="1555" width="19.21875" bestFit="1" customWidth="1"/>
    <col min="1560" max="1560" width="10.44140625" bestFit="1" customWidth="1"/>
    <col min="1563" max="1563" width="17.77734375" bestFit="1" customWidth="1"/>
    <col min="1564" max="1564" width="11" bestFit="1" customWidth="1"/>
    <col min="1565" max="1565" width="45.5546875" bestFit="1" customWidth="1"/>
    <col min="1566" max="1566" width="15" bestFit="1" customWidth="1"/>
    <col min="1793" max="1793" width="4" customWidth="1"/>
    <col min="1794" max="1794" width="44.88671875" bestFit="1" customWidth="1"/>
    <col min="1795" max="1795" width="5.88671875" customWidth="1"/>
    <col min="1796" max="1796" width="6.5546875" bestFit="1" customWidth="1"/>
    <col min="1797" max="1797" width="7.44140625" bestFit="1" customWidth="1"/>
    <col min="1798" max="1798" width="6.5546875" bestFit="1" customWidth="1"/>
    <col min="1799" max="1799" width="10" bestFit="1" customWidth="1"/>
    <col min="1800" max="1803" width="0" hidden="1" customWidth="1"/>
    <col min="1804" max="1804" width="12" bestFit="1" customWidth="1"/>
    <col min="1805" max="1805" width="11.109375" customWidth="1"/>
    <col min="1806" max="1806" width="8.109375" bestFit="1" customWidth="1"/>
    <col min="1807" max="1807" width="6.5546875" bestFit="1" customWidth="1"/>
    <col min="1808" max="1808" width="8.44140625" customWidth="1"/>
    <col min="1809" max="1809" width="11.109375" customWidth="1"/>
    <col min="1811" max="1811" width="19.21875" bestFit="1" customWidth="1"/>
    <col min="1816" max="1816" width="10.44140625" bestFit="1" customWidth="1"/>
    <col min="1819" max="1819" width="17.77734375" bestFit="1" customWidth="1"/>
    <col min="1820" max="1820" width="11" bestFit="1" customWidth="1"/>
    <col min="1821" max="1821" width="45.5546875" bestFit="1" customWidth="1"/>
    <col min="1822" max="1822" width="15" bestFit="1" customWidth="1"/>
    <col min="2049" max="2049" width="4" customWidth="1"/>
    <col min="2050" max="2050" width="44.88671875" bestFit="1" customWidth="1"/>
    <col min="2051" max="2051" width="5.88671875" customWidth="1"/>
    <col min="2052" max="2052" width="6.5546875" bestFit="1" customWidth="1"/>
    <col min="2053" max="2053" width="7.44140625" bestFit="1" customWidth="1"/>
    <col min="2054" max="2054" width="6.5546875" bestFit="1" customWidth="1"/>
    <col min="2055" max="2055" width="10" bestFit="1" customWidth="1"/>
    <col min="2056" max="2059" width="0" hidden="1" customWidth="1"/>
    <col min="2060" max="2060" width="12" bestFit="1" customWidth="1"/>
    <col min="2061" max="2061" width="11.109375" customWidth="1"/>
    <col min="2062" max="2062" width="8.109375" bestFit="1" customWidth="1"/>
    <col min="2063" max="2063" width="6.5546875" bestFit="1" customWidth="1"/>
    <col min="2064" max="2064" width="8.44140625" customWidth="1"/>
    <col min="2065" max="2065" width="11.109375" customWidth="1"/>
    <col min="2067" max="2067" width="19.21875" bestFit="1" customWidth="1"/>
    <col min="2072" max="2072" width="10.44140625" bestFit="1" customWidth="1"/>
    <col min="2075" max="2075" width="17.77734375" bestFit="1" customWidth="1"/>
    <col min="2076" max="2076" width="11" bestFit="1" customWidth="1"/>
    <col min="2077" max="2077" width="45.5546875" bestFit="1" customWidth="1"/>
    <col min="2078" max="2078" width="15" bestFit="1" customWidth="1"/>
    <col min="2305" max="2305" width="4" customWidth="1"/>
    <col min="2306" max="2306" width="44.88671875" bestFit="1" customWidth="1"/>
    <col min="2307" max="2307" width="5.88671875" customWidth="1"/>
    <col min="2308" max="2308" width="6.5546875" bestFit="1" customWidth="1"/>
    <col min="2309" max="2309" width="7.44140625" bestFit="1" customWidth="1"/>
    <col min="2310" max="2310" width="6.5546875" bestFit="1" customWidth="1"/>
    <col min="2311" max="2311" width="10" bestFit="1" customWidth="1"/>
    <col min="2312" max="2315" width="0" hidden="1" customWidth="1"/>
    <col min="2316" max="2316" width="12" bestFit="1" customWidth="1"/>
    <col min="2317" max="2317" width="11.109375" customWidth="1"/>
    <col min="2318" max="2318" width="8.109375" bestFit="1" customWidth="1"/>
    <col min="2319" max="2319" width="6.5546875" bestFit="1" customWidth="1"/>
    <col min="2320" max="2320" width="8.44140625" customWidth="1"/>
    <col min="2321" max="2321" width="11.109375" customWidth="1"/>
    <col min="2323" max="2323" width="19.21875" bestFit="1" customWidth="1"/>
    <col min="2328" max="2328" width="10.44140625" bestFit="1" customWidth="1"/>
    <col min="2331" max="2331" width="17.77734375" bestFit="1" customWidth="1"/>
    <col min="2332" max="2332" width="11" bestFit="1" customWidth="1"/>
    <col min="2333" max="2333" width="45.5546875" bestFit="1" customWidth="1"/>
    <col min="2334" max="2334" width="15" bestFit="1" customWidth="1"/>
    <col min="2561" max="2561" width="4" customWidth="1"/>
    <col min="2562" max="2562" width="44.88671875" bestFit="1" customWidth="1"/>
    <col min="2563" max="2563" width="5.88671875" customWidth="1"/>
    <col min="2564" max="2564" width="6.5546875" bestFit="1" customWidth="1"/>
    <col min="2565" max="2565" width="7.44140625" bestFit="1" customWidth="1"/>
    <col min="2566" max="2566" width="6.5546875" bestFit="1" customWidth="1"/>
    <col min="2567" max="2567" width="10" bestFit="1" customWidth="1"/>
    <col min="2568" max="2571" width="0" hidden="1" customWidth="1"/>
    <col min="2572" max="2572" width="12" bestFit="1" customWidth="1"/>
    <col min="2573" max="2573" width="11.109375" customWidth="1"/>
    <col min="2574" max="2574" width="8.109375" bestFit="1" customWidth="1"/>
    <col min="2575" max="2575" width="6.5546875" bestFit="1" customWidth="1"/>
    <col min="2576" max="2576" width="8.44140625" customWidth="1"/>
    <col min="2577" max="2577" width="11.109375" customWidth="1"/>
    <col min="2579" max="2579" width="19.21875" bestFit="1" customWidth="1"/>
    <col min="2584" max="2584" width="10.44140625" bestFit="1" customWidth="1"/>
    <col min="2587" max="2587" width="17.77734375" bestFit="1" customWidth="1"/>
    <col min="2588" max="2588" width="11" bestFit="1" customWidth="1"/>
    <col min="2589" max="2589" width="45.5546875" bestFit="1" customWidth="1"/>
    <col min="2590" max="2590" width="15" bestFit="1" customWidth="1"/>
    <col min="2817" max="2817" width="4" customWidth="1"/>
    <col min="2818" max="2818" width="44.88671875" bestFit="1" customWidth="1"/>
    <col min="2819" max="2819" width="5.88671875" customWidth="1"/>
    <col min="2820" max="2820" width="6.5546875" bestFit="1" customWidth="1"/>
    <col min="2821" max="2821" width="7.44140625" bestFit="1" customWidth="1"/>
    <col min="2822" max="2822" width="6.5546875" bestFit="1" customWidth="1"/>
    <col min="2823" max="2823" width="10" bestFit="1" customWidth="1"/>
    <col min="2824" max="2827" width="0" hidden="1" customWidth="1"/>
    <col min="2828" max="2828" width="12" bestFit="1" customWidth="1"/>
    <col min="2829" max="2829" width="11.109375" customWidth="1"/>
    <col min="2830" max="2830" width="8.109375" bestFit="1" customWidth="1"/>
    <col min="2831" max="2831" width="6.5546875" bestFit="1" customWidth="1"/>
    <col min="2832" max="2832" width="8.44140625" customWidth="1"/>
    <col min="2833" max="2833" width="11.109375" customWidth="1"/>
    <col min="2835" max="2835" width="19.21875" bestFit="1" customWidth="1"/>
    <col min="2840" max="2840" width="10.44140625" bestFit="1" customWidth="1"/>
    <col min="2843" max="2843" width="17.77734375" bestFit="1" customWidth="1"/>
    <col min="2844" max="2844" width="11" bestFit="1" customWidth="1"/>
    <col min="2845" max="2845" width="45.5546875" bestFit="1" customWidth="1"/>
    <col min="2846" max="2846" width="15" bestFit="1" customWidth="1"/>
    <col min="3073" max="3073" width="4" customWidth="1"/>
    <col min="3074" max="3074" width="44.88671875" bestFit="1" customWidth="1"/>
    <col min="3075" max="3075" width="5.88671875" customWidth="1"/>
    <col min="3076" max="3076" width="6.5546875" bestFit="1" customWidth="1"/>
    <col min="3077" max="3077" width="7.44140625" bestFit="1" customWidth="1"/>
    <col min="3078" max="3078" width="6.5546875" bestFit="1" customWidth="1"/>
    <col min="3079" max="3079" width="10" bestFit="1" customWidth="1"/>
    <col min="3080" max="3083" width="0" hidden="1" customWidth="1"/>
    <col min="3084" max="3084" width="12" bestFit="1" customWidth="1"/>
    <col min="3085" max="3085" width="11.109375" customWidth="1"/>
    <col min="3086" max="3086" width="8.109375" bestFit="1" customWidth="1"/>
    <col min="3087" max="3087" width="6.5546875" bestFit="1" customWidth="1"/>
    <col min="3088" max="3088" width="8.44140625" customWidth="1"/>
    <col min="3089" max="3089" width="11.109375" customWidth="1"/>
    <col min="3091" max="3091" width="19.21875" bestFit="1" customWidth="1"/>
    <col min="3096" max="3096" width="10.44140625" bestFit="1" customWidth="1"/>
    <col min="3099" max="3099" width="17.77734375" bestFit="1" customWidth="1"/>
    <col min="3100" max="3100" width="11" bestFit="1" customWidth="1"/>
    <col min="3101" max="3101" width="45.5546875" bestFit="1" customWidth="1"/>
    <col min="3102" max="3102" width="15" bestFit="1" customWidth="1"/>
    <col min="3329" max="3329" width="4" customWidth="1"/>
    <col min="3330" max="3330" width="44.88671875" bestFit="1" customWidth="1"/>
    <col min="3331" max="3331" width="5.88671875" customWidth="1"/>
    <col min="3332" max="3332" width="6.5546875" bestFit="1" customWidth="1"/>
    <col min="3333" max="3333" width="7.44140625" bestFit="1" customWidth="1"/>
    <col min="3334" max="3334" width="6.5546875" bestFit="1" customWidth="1"/>
    <col min="3335" max="3335" width="10" bestFit="1" customWidth="1"/>
    <col min="3336" max="3339" width="0" hidden="1" customWidth="1"/>
    <col min="3340" max="3340" width="12" bestFit="1" customWidth="1"/>
    <col min="3341" max="3341" width="11.109375" customWidth="1"/>
    <col min="3342" max="3342" width="8.109375" bestFit="1" customWidth="1"/>
    <col min="3343" max="3343" width="6.5546875" bestFit="1" customWidth="1"/>
    <col min="3344" max="3344" width="8.44140625" customWidth="1"/>
    <col min="3345" max="3345" width="11.109375" customWidth="1"/>
    <col min="3347" max="3347" width="19.21875" bestFit="1" customWidth="1"/>
    <col min="3352" max="3352" width="10.44140625" bestFit="1" customWidth="1"/>
    <col min="3355" max="3355" width="17.77734375" bestFit="1" customWidth="1"/>
    <col min="3356" max="3356" width="11" bestFit="1" customWidth="1"/>
    <col min="3357" max="3357" width="45.5546875" bestFit="1" customWidth="1"/>
    <col min="3358" max="3358" width="15" bestFit="1" customWidth="1"/>
    <col min="3585" max="3585" width="4" customWidth="1"/>
    <col min="3586" max="3586" width="44.88671875" bestFit="1" customWidth="1"/>
    <col min="3587" max="3587" width="5.88671875" customWidth="1"/>
    <col min="3588" max="3588" width="6.5546875" bestFit="1" customWidth="1"/>
    <col min="3589" max="3589" width="7.44140625" bestFit="1" customWidth="1"/>
    <col min="3590" max="3590" width="6.5546875" bestFit="1" customWidth="1"/>
    <col min="3591" max="3591" width="10" bestFit="1" customWidth="1"/>
    <col min="3592" max="3595" width="0" hidden="1" customWidth="1"/>
    <col min="3596" max="3596" width="12" bestFit="1" customWidth="1"/>
    <col min="3597" max="3597" width="11.109375" customWidth="1"/>
    <col min="3598" max="3598" width="8.109375" bestFit="1" customWidth="1"/>
    <col min="3599" max="3599" width="6.5546875" bestFit="1" customWidth="1"/>
    <col min="3600" max="3600" width="8.44140625" customWidth="1"/>
    <col min="3601" max="3601" width="11.109375" customWidth="1"/>
    <col min="3603" max="3603" width="19.21875" bestFit="1" customWidth="1"/>
    <col min="3608" max="3608" width="10.44140625" bestFit="1" customWidth="1"/>
    <col min="3611" max="3611" width="17.77734375" bestFit="1" customWidth="1"/>
    <col min="3612" max="3612" width="11" bestFit="1" customWidth="1"/>
    <col min="3613" max="3613" width="45.5546875" bestFit="1" customWidth="1"/>
    <col min="3614" max="3614" width="15" bestFit="1" customWidth="1"/>
    <col min="3841" max="3841" width="4" customWidth="1"/>
    <col min="3842" max="3842" width="44.88671875" bestFit="1" customWidth="1"/>
    <col min="3843" max="3843" width="5.88671875" customWidth="1"/>
    <col min="3844" max="3844" width="6.5546875" bestFit="1" customWidth="1"/>
    <col min="3845" max="3845" width="7.44140625" bestFit="1" customWidth="1"/>
    <col min="3846" max="3846" width="6.5546875" bestFit="1" customWidth="1"/>
    <col min="3847" max="3847" width="10" bestFit="1" customWidth="1"/>
    <col min="3848" max="3851" width="0" hidden="1" customWidth="1"/>
    <col min="3852" max="3852" width="12" bestFit="1" customWidth="1"/>
    <col min="3853" max="3853" width="11.109375" customWidth="1"/>
    <col min="3854" max="3854" width="8.109375" bestFit="1" customWidth="1"/>
    <col min="3855" max="3855" width="6.5546875" bestFit="1" customWidth="1"/>
    <col min="3856" max="3856" width="8.44140625" customWidth="1"/>
    <col min="3857" max="3857" width="11.109375" customWidth="1"/>
    <col min="3859" max="3859" width="19.21875" bestFit="1" customWidth="1"/>
    <col min="3864" max="3864" width="10.44140625" bestFit="1" customWidth="1"/>
    <col min="3867" max="3867" width="17.77734375" bestFit="1" customWidth="1"/>
    <col min="3868" max="3868" width="11" bestFit="1" customWidth="1"/>
    <col min="3869" max="3869" width="45.5546875" bestFit="1" customWidth="1"/>
    <col min="3870" max="3870" width="15" bestFit="1" customWidth="1"/>
    <col min="4097" max="4097" width="4" customWidth="1"/>
    <col min="4098" max="4098" width="44.88671875" bestFit="1" customWidth="1"/>
    <col min="4099" max="4099" width="5.88671875" customWidth="1"/>
    <col min="4100" max="4100" width="6.5546875" bestFit="1" customWidth="1"/>
    <col min="4101" max="4101" width="7.44140625" bestFit="1" customWidth="1"/>
    <col min="4102" max="4102" width="6.5546875" bestFit="1" customWidth="1"/>
    <col min="4103" max="4103" width="10" bestFit="1" customWidth="1"/>
    <col min="4104" max="4107" width="0" hidden="1" customWidth="1"/>
    <col min="4108" max="4108" width="12" bestFit="1" customWidth="1"/>
    <col min="4109" max="4109" width="11.109375" customWidth="1"/>
    <col min="4110" max="4110" width="8.109375" bestFit="1" customWidth="1"/>
    <col min="4111" max="4111" width="6.5546875" bestFit="1" customWidth="1"/>
    <col min="4112" max="4112" width="8.44140625" customWidth="1"/>
    <col min="4113" max="4113" width="11.109375" customWidth="1"/>
    <col min="4115" max="4115" width="19.21875" bestFit="1" customWidth="1"/>
    <col min="4120" max="4120" width="10.44140625" bestFit="1" customWidth="1"/>
    <col min="4123" max="4123" width="17.77734375" bestFit="1" customWidth="1"/>
    <col min="4124" max="4124" width="11" bestFit="1" customWidth="1"/>
    <col min="4125" max="4125" width="45.5546875" bestFit="1" customWidth="1"/>
    <col min="4126" max="4126" width="15" bestFit="1" customWidth="1"/>
    <col min="4353" max="4353" width="4" customWidth="1"/>
    <col min="4354" max="4354" width="44.88671875" bestFit="1" customWidth="1"/>
    <col min="4355" max="4355" width="5.88671875" customWidth="1"/>
    <col min="4356" max="4356" width="6.5546875" bestFit="1" customWidth="1"/>
    <col min="4357" max="4357" width="7.44140625" bestFit="1" customWidth="1"/>
    <col min="4358" max="4358" width="6.5546875" bestFit="1" customWidth="1"/>
    <col min="4359" max="4359" width="10" bestFit="1" customWidth="1"/>
    <col min="4360" max="4363" width="0" hidden="1" customWidth="1"/>
    <col min="4364" max="4364" width="12" bestFit="1" customWidth="1"/>
    <col min="4365" max="4365" width="11.109375" customWidth="1"/>
    <col min="4366" max="4366" width="8.109375" bestFit="1" customWidth="1"/>
    <col min="4367" max="4367" width="6.5546875" bestFit="1" customWidth="1"/>
    <col min="4368" max="4368" width="8.44140625" customWidth="1"/>
    <col min="4369" max="4369" width="11.109375" customWidth="1"/>
    <col min="4371" max="4371" width="19.21875" bestFit="1" customWidth="1"/>
    <col min="4376" max="4376" width="10.44140625" bestFit="1" customWidth="1"/>
    <col min="4379" max="4379" width="17.77734375" bestFit="1" customWidth="1"/>
    <col min="4380" max="4380" width="11" bestFit="1" customWidth="1"/>
    <col min="4381" max="4381" width="45.5546875" bestFit="1" customWidth="1"/>
    <col min="4382" max="4382" width="15" bestFit="1" customWidth="1"/>
    <col min="4609" max="4609" width="4" customWidth="1"/>
    <col min="4610" max="4610" width="44.88671875" bestFit="1" customWidth="1"/>
    <col min="4611" max="4611" width="5.88671875" customWidth="1"/>
    <col min="4612" max="4612" width="6.5546875" bestFit="1" customWidth="1"/>
    <col min="4613" max="4613" width="7.44140625" bestFit="1" customWidth="1"/>
    <col min="4614" max="4614" width="6.5546875" bestFit="1" customWidth="1"/>
    <col min="4615" max="4615" width="10" bestFit="1" customWidth="1"/>
    <col min="4616" max="4619" width="0" hidden="1" customWidth="1"/>
    <col min="4620" max="4620" width="12" bestFit="1" customWidth="1"/>
    <col min="4621" max="4621" width="11.109375" customWidth="1"/>
    <col min="4622" max="4622" width="8.109375" bestFit="1" customWidth="1"/>
    <col min="4623" max="4623" width="6.5546875" bestFit="1" customWidth="1"/>
    <col min="4624" max="4624" width="8.44140625" customWidth="1"/>
    <col min="4625" max="4625" width="11.109375" customWidth="1"/>
    <col min="4627" max="4627" width="19.21875" bestFit="1" customWidth="1"/>
    <col min="4632" max="4632" width="10.44140625" bestFit="1" customWidth="1"/>
    <col min="4635" max="4635" width="17.77734375" bestFit="1" customWidth="1"/>
    <col min="4636" max="4636" width="11" bestFit="1" customWidth="1"/>
    <col min="4637" max="4637" width="45.5546875" bestFit="1" customWidth="1"/>
    <col min="4638" max="4638" width="15" bestFit="1" customWidth="1"/>
    <col min="4865" max="4865" width="4" customWidth="1"/>
    <col min="4866" max="4866" width="44.88671875" bestFit="1" customWidth="1"/>
    <col min="4867" max="4867" width="5.88671875" customWidth="1"/>
    <col min="4868" max="4868" width="6.5546875" bestFit="1" customWidth="1"/>
    <col min="4869" max="4869" width="7.44140625" bestFit="1" customWidth="1"/>
    <col min="4870" max="4870" width="6.5546875" bestFit="1" customWidth="1"/>
    <col min="4871" max="4871" width="10" bestFit="1" customWidth="1"/>
    <col min="4872" max="4875" width="0" hidden="1" customWidth="1"/>
    <col min="4876" max="4876" width="12" bestFit="1" customWidth="1"/>
    <col min="4877" max="4877" width="11.109375" customWidth="1"/>
    <col min="4878" max="4878" width="8.109375" bestFit="1" customWidth="1"/>
    <col min="4879" max="4879" width="6.5546875" bestFit="1" customWidth="1"/>
    <col min="4880" max="4880" width="8.44140625" customWidth="1"/>
    <col min="4881" max="4881" width="11.109375" customWidth="1"/>
    <col min="4883" max="4883" width="19.21875" bestFit="1" customWidth="1"/>
    <col min="4888" max="4888" width="10.44140625" bestFit="1" customWidth="1"/>
    <col min="4891" max="4891" width="17.77734375" bestFit="1" customWidth="1"/>
    <col min="4892" max="4892" width="11" bestFit="1" customWidth="1"/>
    <col min="4893" max="4893" width="45.5546875" bestFit="1" customWidth="1"/>
    <col min="4894" max="4894" width="15" bestFit="1" customWidth="1"/>
    <col min="5121" max="5121" width="4" customWidth="1"/>
    <col min="5122" max="5122" width="44.88671875" bestFit="1" customWidth="1"/>
    <col min="5123" max="5123" width="5.88671875" customWidth="1"/>
    <col min="5124" max="5124" width="6.5546875" bestFit="1" customWidth="1"/>
    <col min="5125" max="5125" width="7.44140625" bestFit="1" customWidth="1"/>
    <col min="5126" max="5126" width="6.5546875" bestFit="1" customWidth="1"/>
    <col min="5127" max="5127" width="10" bestFit="1" customWidth="1"/>
    <col min="5128" max="5131" width="0" hidden="1" customWidth="1"/>
    <col min="5132" max="5132" width="12" bestFit="1" customWidth="1"/>
    <col min="5133" max="5133" width="11.109375" customWidth="1"/>
    <col min="5134" max="5134" width="8.109375" bestFit="1" customWidth="1"/>
    <col min="5135" max="5135" width="6.5546875" bestFit="1" customWidth="1"/>
    <col min="5136" max="5136" width="8.44140625" customWidth="1"/>
    <col min="5137" max="5137" width="11.109375" customWidth="1"/>
    <col min="5139" max="5139" width="19.21875" bestFit="1" customWidth="1"/>
    <col min="5144" max="5144" width="10.44140625" bestFit="1" customWidth="1"/>
    <col min="5147" max="5147" width="17.77734375" bestFit="1" customWidth="1"/>
    <col min="5148" max="5148" width="11" bestFit="1" customWidth="1"/>
    <col min="5149" max="5149" width="45.5546875" bestFit="1" customWidth="1"/>
    <col min="5150" max="5150" width="15" bestFit="1" customWidth="1"/>
    <col min="5377" max="5377" width="4" customWidth="1"/>
    <col min="5378" max="5378" width="44.88671875" bestFit="1" customWidth="1"/>
    <col min="5379" max="5379" width="5.88671875" customWidth="1"/>
    <col min="5380" max="5380" width="6.5546875" bestFit="1" customWidth="1"/>
    <col min="5381" max="5381" width="7.44140625" bestFit="1" customWidth="1"/>
    <col min="5382" max="5382" width="6.5546875" bestFit="1" customWidth="1"/>
    <col min="5383" max="5383" width="10" bestFit="1" customWidth="1"/>
    <col min="5384" max="5387" width="0" hidden="1" customWidth="1"/>
    <col min="5388" max="5388" width="12" bestFit="1" customWidth="1"/>
    <col min="5389" max="5389" width="11.109375" customWidth="1"/>
    <col min="5390" max="5390" width="8.109375" bestFit="1" customWidth="1"/>
    <col min="5391" max="5391" width="6.5546875" bestFit="1" customWidth="1"/>
    <col min="5392" max="5392" width="8.44140625" customWidth="1"/>
    <col min="5393" max="5393" width="11.109375" customWidth="1"/>
    <col min="5395" max="5395" width="19.21875" bestFit="1" customWidth="1"/>
    <col min="5400" max="5400" width="10.44140625" bestFit="1" customWidth="1"/>
    <col min="5403" max="5403" width="17.77734375" bestFit="1" customWidth="1"/>
    <col min="5404" max="5404" width="11" bestFit="1" customWidth="1"/>
    <col min="5405" max="5405" width="45.5546875" bestFit="1" customWidth="1"/>
    <col min="5406" max="5406" width="15" bestFit="1" customWidth="1"/>
    <col min="5633" max="5633" width="4" customWidth="1"/>
    <col min="5634" max="5634" width="44.88671875" bestFit="1" customWidth="1"/>
    <col min="5635" max="5635" width="5.88671875" customWidth="1"/>
    <col min="5636" max="5636" width="6.5546875" bestFit="1" customWidth="1"/>
    <col min="5637" max="5637" width="7.44140625" bestFit="1" customWidth="1"/>
    <col min="5638" max="5638" width="6.5546875" bestFit="1" customWidth="1"/>
    <col min="5639" max="5639" width="10" bestFit="1" customWidth="1"/>
    <col min="5640" max="5643" width="0" hidden="1" customWidth="1"/>
    <col min="5644" max="5644" width="12" bestFit="1" customWidth="1"/>
    <col min="5645" max="5645" width="11.109375" customWidth="1"/>
    <col min="5646" max="5646" width="8.109375" bestFit="1" customWidth="1"/>
    <col min="5647" max="5647" width="6.5546875" bestFit="1" customWidth="1"/>
    <col min="5648" max="5648" width="8.44140625" customWidth="1"/>
    <col min="5649" max="5649" width="11.109375" customWidth="1"/>
    <col min="5651" max="5651" width="19.21875" bestFit="1" customWidth="1"/>
    <col min="5656" max="5656" width="10.44140625" bestFit="1" customWidth="1"/>
    <col min="5659" max="5659" width="17.77734375" bestFit="1" customWidth="1"/>
    <col min="5660" max="5660" width="11" bestFit="1" customWidth="1"/>
    <col min="5661" max="5661" width="45.5546875" bestFit="1" customWidth="1"/>
    <col min="5662" max="5662" width="15" bestFit="1" customWidth="1"/>
    <col min="5889" max="5889" width="4" customWidth="1"/>
    <col min="5890" max="5890" width="44.88671875" bestFit="1" customWidth="1"/>
    <col min="5891" max="5891" width="5.88671875" customWidth="1"/>
    <col min="5892" max="5892" width="6.5546875" bestFit="1" customWidth="1"/>
    <col min="5893" max="5893" width="7.44140625" bestFit="1" customWidth="1"/>
    <col min="5894" max="5894" width="6.5546875" bestFit="1" customWidth="1"/>
    <col min="5895" max="5895" width="10" bestFit="1" customWidth="1"/>
    <col min="5896" max="5899" width="0" hidden="1" customWidth="1"/>
    <col min="5900" max="5900" width="12" bestFit="1" customWidth="1"/>
    <col min="5901" max="5901" width="11.109375" customWidth="1"/>
    <col min="5902" max="5902" width="8.109375" bestFit="1" customWidth="1"/>
    <col min="5903" max="5903" width="6.5546875" bestFit="1" customWidth="1"/>
    <col min="5904" max="5904" width="8.44140625" customWidth="1"/>
    <col min="5905" max="5905" width="11.109375" customWidth="1"/>
    <col min="5907" max="5907" width="19.21875" bestFit="1" customWidth="1"/>
    <col min="5912" max="5912" width="10.44140625" bestFit="1" customWidth="1"/>
    <col min="5915" max="5915" width="17.77734375" bestFit="1" customWidth="1"/>
    <col min="5916" max="5916" width="11" bestFit="1" customWidth="1"/>
    <col min="5917" max="5917" width="45.5546875" bestFit="1" customWidth="1"/>
    <col min="5918" max="5918" width="15" bestFit="1" customWidth="1"/>
    <col min="6145" max="6145" width="4" customWidth="1"/>
    <col min="6146" max="6146" width="44.88671875" bestFit="1" customWidth="1"/>
    <col min="6147" max="6147" width="5.88671875" customWidth="1"/>
    <col min="6148" max="6148" width="6.5546875" bestFit="1" customWidth="1"/>
    <col min="6149" max="6149" width="7.44140625" bestFit="1" customWidth="1"/>
    <col min="6150" max="6150" width="6.5546875" bestFit="1" customWidth="1"/>
    <col min="6151" max="6151" width="10" bestFit="1" customWidth="1"/>
    <col min="6152" max="6155" width="0" hidden="1" customWidth="1"/>
    <col min="6156" max="6156" width="12" bestFit="1" customWidth="1"/>
    <col min="6157" max="6157" width="11.109375" customWidth="1"/>
    <col min="6158" max="6158" width="8.109375" bestFit="1" customWidth="1"/>
    <col min="6159" max="6159" width="6.5546875" bestFit="1" customWidth="1"/>
    <col min="6160" max="6160" width="8.44140625" customWidth="1"/>
    <col min="6161" max="6161" width="11.109375" customWidth="1"/>
    <col min="6163" max="6163" width="19.21875" bestFit="1" customWidth="1"/>
    <col min="6168" max="6168" width="10.44140625" bestFit="1" customWidth="1"/>
    <col min="6171" max="6171" width="17.77734375" bestFit="1" customWidth="1"/>
    <col min="6172" max="6172" width="11" bestFit="1" customWidth="1"/>
    <col min="6173" max="6173" width="45.5546875" bestFit="1" customWidth="1"/>
    <col min="6174" max="6174" width="15" bestFit="1" customWidth="1"/>
    <col min="6401" max="6401" width="4" customWidth="1"/>
    <col min="6402" max="6402" width="44.88671875" bestFit="1" customWidth="1"/>
    <col min="6403" max="6403" width="5.88671875" customWidth="1"/>
    <col min="6404" max="6404" width="6.5546875" bestFit="1" customWidth="1"/>
    <col min="6405" max="6405" width="7.44140625" bestFit="1" customWidth="1"/>
    <col min="6406" max="6406" width="6.5546875" bestFit="1" customWidth="1"/>
    <col min="6407" max="6407" width="10" bestFit="1" customWidth="1"/>
    <col min="6408" max="6411" width="0" hidden="1" customWidth="1"/>
    <col min="6412" max="6412" width="12" bestFit="1" customWidth="1"/>
    <col min="6413" max="6413" width="11.109375" customWidth="1"/>
    <col min="6414" max="6414" width="8.109375" bestFit="1" customWidth="1"/>
    <col min="6415" max="6415" width="6.5546875" bestFit="1" customWidth="1"/>
    <col min="6416" max="6416" width="8.44140625" customWidth="1"/>
    <col min="6417" max="6417" width="11.109375" customWidth="1"/>
    <col min="6419" max="6419" width="19.21875" bestFit="1" customWidth="1"/>
    <col min="6424" max="6424" width="10.44140625" bestFit="1" customWidth="1"/>
    <col min="6427" max="6427" width="17.77734375" bestFit="1" customWidth="1"/>
    <col min="6428" max="6428" width="11" bestFit="1" customWidth="1"/>
    <col min="6429" max="6429" width="45.5546875" bestFit="1" customWidth="1"/>
    <col min="6430" max="6430" width="15" bestFit="1" customWidth="1"/>
    <col min="6657" max="6657" width="4" customWidth="1"/>
    <col min="6658" max="6658" width="44.88671875" bestFit="1" customWidth="1"/>
    <col min="6659" max="6659" width="5.88671875" customWidth="1"/>
    <col min="6660" max="6660" width="6.5546875" bestFit="1" customWidth="1"/>
    <col min="6661" max="6661" width="7.44140625" bestFit="1" customWidth="1"/>
    <col min="6662" max="6662" width="6.5546875" bestFit="1" customWidth="1"/>
    <col min="6663" max="6663" width="10" bestFit="1" customWidth="1"/>
    <col min="6664" max="6667" width="0" hidden="1" customWidth="1"/>
    <col min="6668" max="6668" width="12" bestFit="1" customWidth="1"/>
    <col min="6669" max="6669" width="11.109375" customWidth="1"/>
    <col min="6670" max="6670" width="8.109375" bestFit="1" customWidth="1"/>
    <col min="6671" max="6671" width="6.5546875" bestFit="1" customWidth="1"/>
    <col min="6672" max="6672" width="8.44140625" customWidth="1"/>
    <col min="6673" max="6673" width="11.109375" customWidth="1"/>
    <col min="6675" max="6675" width="19.21875" bestFit="1" customWidth="1"/>
    <col min="6680" max="6680" width="10.44140625" bestFit="1" customWidth="1"/>
    <col min="6683" max="6683" width="17.77734375" bestFit="1" customWidth="1"/>
    <col min="6684" max="6684" width="11" bestFit="1" customWidth="1"/>
    <col min="6685" max="6685" width="45.5546875" bestFit="1" customWidth="1"/>
    <col min="6686" max="6686" width="15" bestFit="1" customWidth="1"/>
    <col min="6913" max="6913" width="4" customWidth="1"/>
    <col min="6914" max="6914" width="44.88671875" bestFit="1" customWidth="1"/>
    <col min="6915" max="6915" width="5.88671875" customWidth="1"/>
    <col min="6916" max="6916" width="6.5546875" bestFit="1" customWidth="1"/>
    <col min="6917" max="6917" width="7.44140625" bestFit="1" customWidth="1"/>
    <col min="6918" max="6918" width="6.5546875" bestFit="1" customWidth="1"/>
    <col min="6919" max="6919" width="10" bestFit="1" customWidth="1"/>
    <col min="6920" max="6923" width="0" hidden="1" customWidth="1"/>
    <col min="6924" max="6924" width="12" bestFit="1" customWidth="1"/>
    <col min="6925" max="6925" width="11.109375" customWidth="1"/>
    <col min="6926" max="6926" width="8.109375" bestFit="1" customWidth="1"/>
    <col min="6927" max="6927" width="6.5546875" bestFit="1" customWidth="1"/>
    <col min="6928" max="6928" width="8.44140625" customWidth="1"/>
    <col min="6929" max="6929" width="11.109375" customWidth="1"/>
    <col min="6931" max="6931" width="19.21875" bestFit="1" customWidth="1"/>
    <col min="6936" max="6936" width="10.44140625" bestFit="1" customWidth="1"/>
    <col min="6939" max="6939" width="17.77734375" bestFit="1" customWidth="1"/>
    <col min="6940" max="6940" width="11" bestFit="1" customWidth="1"/>
    <col min="6941" max="6941" width="45.5546875" bestFit="1" customWidth="1"/>
    <col min="6942" max="6942" width="15" bestFit="1" customWidth="1"/>
    <col min="7169" max="7169" width="4" customWidth="1"/>
    <col min="7170" max="7170" width="44.88671875" bestFit="1" customWidth="1"/>
    <col min="7171" max="7171" width="5.88671875" customWidth="1"/>
    <col min="7172" max="7172" width="6.5546875" bestFit="1" customWidth="1"/>
    <col min="7173" max="7173" width="7.44140625" bestFit="1" customWidth="1"/>
    <col min="7174" max="7174" width="6.5546875" bestFit="1" customWidth="1"/>
    <col min="7175" max="7175" width="10" bestFit="1" customWidth="1"/>
    <col min="7176" max="7179" width="0" hidden="1" customWidth="1"/>
    <col min="7180" max="7180" width="12" bestFit="1" customWidth="1"/>
    <col min="7181" max="7181" width="11.109375" customWidth="1"/>
    <col min="7182" max="7182" width="8.109375" bestFit="1" customWidth="1"/>
    <col min="7183" max="7183" width="6.5546875" bestFit="1" customWidth="1"/>
    <col min="7184" max="7184" width="8.44140625" customWidth="1"/>
    <col min="7185" max="7185" width="11.109375" customWidth="1"/>
    <col min="7187" max="7187" width="19.21875" bestFit="1" customWidth="1"/>
    <col min="7192" max="7192" width="10.44140625" bestFit="1" customWidth="1"/>
    <col min="7195" max="7195" width="17.77734375" bestFit="1" customWidth="1"/>
    <col min="7196" max="7196" width="11" bestFit="1" customWidth="1"/>
    <col min="7197" max="7197" width="45.5546875" bestFit="1" customWidth="1"/>
    <col min="7198" max="7198" width="15" bestFit="1" customWidth="1"/>
    <col min="7425" max="7425" width="4" customWidth="1"/>
    <col min="7426" max="7426" width="44.88671875" bestFit="1" customWidth="1"/>
    <col min="7427" max="7427" width="5.88671875" customWidth="1"/>
    <col min="7428" max="7428" width="6.5546875" bestFit="1" customWidth="1"/>
    <col min="7429" max="7429" width="7.44140625" bestFit="1" customWidth="1"/>
    <col min="7430" max="7430" width="6.5546875" bestFit="1" customWidth="1"/>
    <col min="7431" max="7431" width="10" bestFit="1" customWidth="1"/>
    <col min="7432" max="7435" width="0" hidden="1" customWidth="1"/>
    <col min="7436" max="7436" width="12" bestFit="1" customWidth="1"/>
    <col min="7437" max="7437" width="11.109375" customWidth="1"/>
    <col min="7438" max="7438" width="8.109375" bestFit="1" customWidth="1"/>
    <col min="7439" max="7439" width="6.5546875" bestFit="1" customWidth="1"/>
    <col min="7440" max="7440" width="8.44140625" customWidth="1"/>
    <col min="7441" max="7441" width="11.109375" customWidth="1"/>
    <col min="7443" max="7443" width="19.21875" bestFit="1" customWidth="1"/>
    <col min="7448" max="7448" width="10.44140625" bestFit="1" customWidth="1"/>
    <col min="7451" max="7451" width="17.77734375" bestFit="1" customWidth="1"/>
    <col min="7452" max="7452" width="11" bestFit="1" customWidth="1"/>
    <col min="7453" max="7453" width="45.5546875" bestFit="1" customWidth="1"/>
    <col min="7454" max="7454" width="15" bestFit="1" customWidth="1"/>
    <col min="7681" max="7681" width="4" customWidth="1"/>
    <col min="7682" max="7682" width="44.88671875" bestFit="1" customWidth="1"/>
    <col min="7683" max="7683" width="5.88671875" customWidth="1"/>
    <col min="7684" max="7684" width="6.5546875" bestFit="1" customWidth="1"/>
    <col min="7685" max="7685" width="7.44140625" bestFit="1" customWidth="1"/>
    <col min="7686" max="7686" width="6.5546875" bestFit="1" customWidth="1"/>
    <col min="7687" max="7687" width="10" bestFit="1" customWidth="1"/>
    <col min="7688" max="7691" width="0" hidden="1" customWidth="1"/>
    <col min="7692" max="7692" width="12" bestFit="1" customWidth="1"/>
    <col min="7693" max="7693" width="11.109375" customWidth="1"/>
    <col min="7694" max="7694" width="8.109375" bestFit="1" customWidth="1"/>
    <col min="7695" max="7695" width="6.5546875" bestFit="1" customWidth="1"/>
    <col min="7696" max="7696" width="8.44140625" customWidth="1"/>
    <col min="7697" max="7697" width="11.109375" customWidth="1"/>
    <col min="7699" max="7699" width="19.21875" bestFit="1" customWidth="1"/>
    <col min="7704" max="7704" width="10.44140625" bestFit="1" customWidth="1"/>
    <col min="7707" max="7707" width="17.77734375" bestFit="1" customWidth="1"/>
    <col min="7708" max="7708" width="11" bestFit="1" customWidth="1"/>
    <col min="7709" max="7709" width="45.5546875" bestFit="1" customWidth="1"/>
    <col min="7710" max="7710" width="15" bestFit="1" customWidth="1"/>
    <col min="7937" max="7937" width="4" customWidth="1"/>
    <col min="7938" max="7938" width="44.88671875" bestFit="1" customWidth="1"/>
    <col min="7939" max="7939" width="5.88671875" customWidth="1"/>
    <col min="7940" max="7940" width="6.5546875" bestFit="1" customWidth="1"/>
    <col min="7941" max="7941" width="7.44140625" bestFit="1" customWidth="1"/>
    <col min="7942" max="7942" width="6.5546875" bestFit="1" customWidth="1"/>
    <col min="7943" max="7943" width="10" bestFit="1" customWidth="1"/>
    <col min="7944" max="7947" width="0" hidden="1" customWidth="1"/>
    <col min="7948" max="7948" width="12" bestFit="1" customWidth="1"/>
    <col min="7949" max="7949" width="11.109375" customWidth="1"/>
    <col min="7950" max="7950" width="8.109375" bestFit="1" customWidth="1"/>
    <col min="7951" max="7951" width="6.5546875" bestFit="1" customWidth="1"/>
    <col min="7952" max="7952" width="8.44140625" customWidth="1"/>
    <col min="7953" max="7953" width="11.109375" customWidth="1"/>
    <col min="7955" max="7955" width="19.21875" bestFit="1" customWidth="1"/>
    <col min="7960" max="7960" width="10.44140625" bestFit="1" customWidth="1"/>
    <col min="7963" max="7963" width="17.77734375" bestFit="1" customWidth="1"/>
    <col min="7964" max="7964" width="11" bestFit="1" customWidth="1"/>
    <col min="7965" max="7965" width="45.5546875" bestFit="1" customWidth="1"/>
    <col min="7966" max="7966" width="15" bestFit="1" customWidth="1"/>
    <col min="8193" max="8193" width="4" customWidth="1"/>
    <col min="8194" max="8194" width="44.88671875" bestFit="1" customWidth="1"/>
    <col min="8195" max="8195" width="5.88671875" customWidth="1"/>
    <col min="8196" max="8196" width="6.5546875" bestFit="1" customWidth="1"/>
    <col min="8197" max="8197" width="7.44140625" bestFit="1" customWidth="1"/>
    <col min="8198" max="8198" width="6.5546875" bestFit="1" customWidth="1"/>
    <col min="8199" max="8199" width="10" bestFit="1" customWidth="1"/>
    <col min="8200" max="8203" width="0" hidden="1" customWidth="1"/>
    <col min="8204" max="8204" width="12" bestFit="1" customWidth="1"/>
    <col min="8205" max="8205" width="11.109375" customWidth="1"/>
    <col min="8206" max="8206" width="8.109375" bestFit="1" customWidth="1"/>
    <col min="8207" max="8207" width="6.5546875" bestFit="1" customWidth="1"/>
    <col min="8208" max="8208" width="8.44140625" customWidth="1"/>
    <col min="8209" max="8209" width="11.109375" customWidth="1"/>
    <col min="8211" max="8211" width="19.21875" bestFit="1" customWidth="1"/>
    <col min="8216" max="8216" width="10.44140625" bestFit="1" customWidth="1"/>
    <col min="8219" max="8219" width="17.77734375" bestFit="1" customWidth="1"/>
    <col min="8220" max="8220" width="11" bestFit="1" customWidth="1"/>
    <col min="8221" max="8221" width="45.5546875" bestFit="1" customWidth="1"/>
    <col min="8222" max="8222" width="15" bestFit="1" customWidth="1"/>
    <col min="8449" max="8449" width="4" customWidth="1"/>
    <col min="8450" max="8450" width="44.88671875" bestFit="1" customWidth="1"/>
    <col min="8451" max="8451" width="5.88671875" customWidth="1"/>
    <col min="8452" max="8452" width="6.5546875" bestFit="1" customWidth="1"/>
    <col min="8453" max="8453" width="7.44140625" bestFit="1" customWidth="1"/>
    <col min="8454" max="8454" width="6.5546875" bestFit="1" customWidth="1"/>
    <col min="8455" max="8455" width="10" bestFit="1" customWidth="1"/>
    <col min="8456" max="8459" width="0" hidden="1" customWidth="1"/>
    <col min="8460" max="8460" width="12" bestFit="1" customWidth="1"/>
    <col min="8461" max="8461" width="11.109375" customWidth="1"/>
    <col min="8462" max="8462" width="8.109375" bestFit="1" customWidth="1"/>
    <col min="8463" max="8463" width="6.5546875" bestFit="1" customWidth="1"/>
    <col min="8464" max="8464" width="8.44140625" customWidth="1"/>
    <col min="8465" max="8465" width="11.109375" customWidth="1"/>
    <col min="8467" max="8467" width="19.21875" bestFit="1" customWidth="1"/>
    <col min="8472" max="8472" width="10.44140625" bestFit="1" customWidth="1"/>
    <col min="8475" max="8475" width="17.77734375" bestFit="1" customWidth="1"/>
    <col min="8476" max="8476" width="11" bestFit="1" customWidth="1"/>
    <col min="8477" max="8477" width="45.5546875" bestFit="1" customWidth="1"/>
    <col min="8478" max="8478" width="15" bestFit="1" customWidth="1"/>
    <col min="8705" max="8705" width="4" customWidth="1"/>
    <col min="8706" max="8706" width="44.88671875" bestFit="1" customWidth="1"/>
    <col min="8707" max="8707" width="5.88671875" customWidth="1"/>
    <col min="8708" max="8708" width="6.5546875" bestFit="1" customWidth="1"/>
    <col min="8709" max="8709" width="7.44140625" bestFit="1" customWidth="1"/>
    <col min="8710" max="8710" width="6.5546875" bestFit="1" customWidth="1"/>
    <col min="8711" max="8711" width="10" bestFit="1" customWidth="1"/>
    <col min="8712" max="8715" width="0" hidden="1" customWidth="1"/>
    <col min="8716" max="8716" width="12" bestFit="1" customWidth="1"/>
    <col min="8717" max="8717" width="11.109375" customWidth="1"/>
    <col min="8718" max="8718" width="8.109375" bestFit="1" customWidth="1"/>
    <col min="8719" max="8719" width="6.5546875" bestFit="1" customWidth="1"/>
    <col min="8720" max="8720" width="8.44140625" customWidth="1"/>
    <col min="8721" max="8721" width="11.109375" customWidth="1"/>
    <col min="8723" max="8723" width="19.21875" bestFit="1" customWidth="1"/>
    <col min="8728" max="8728" width="10.44140625" bestFit="1" customWidth="1"/>
    <col min="8731" max="8731" width="17.77734375" bestFit="1" customWidth="1"/>
    <col min="8732" max="8732" width="11" bestFit="1" customWidth="1"/>
    <col min="8733" max="8733" width="45.5546875" bestFit="1" customWidth="1"/>
    <col min="8734" max="8734" width="15" bestFit="1" customWidth="1"/>
    <col min="8961" max="8961" width="4" customWidth="1"/>
    <col min="8962" max="8962" width="44.88671875" bestFit="1" customWidth="1"/>
    <col min="8963" max="8963" width="5.88671875" customWidth="1"/>
    <col min="8964" max="8964" width="6.5546875" bestFit="1" customWidth="1"/>
    <col min="8965" max="8965" width="7.44140625" bestFit="1" customWidth="1"/>
    <col min="8966" max="8966" width="6.5546875" bestFit="1" customWidth="1"/>
    <col min="8967" max="8967" width="10" bestFit="1" customWidth="1"/>
    <col min="8968" max="8971" width="0" hidden="1" customWidth="1"/>
    <col min="8972" max="8972" width="12" bestFit="1" customWidth="1"/>
    <col min="8973" max="8973" width="11.109375" customWidth="1"/>
    <col min="8974" max="8974" width="8.109375" bestFit="1" customWidth="1"/>
    <col min="8975" max="8975" width="6.5546875" bestFit="1" customWidth="1"/>
    <col min="8976" max="8976" width="8.44140625" customWidth="1"/>
    <col min="8977" max="8977" width="11.109375" customWidth="1"/>
    <col min="8979" max="8979" width="19.21875" bestFit="1" customWidth="1"/>
    <col min="8984" max="8984" width="10.44140625" bestFit="1" customWidth="1"/>
    <col min="8987" max="8987" width="17.77734375" bestFit="1" customWidth="1"/>
    <col min="8988" max="8988" width="11" bestFit="1" customWidth="1"/>
    <col min="8989" max="8989" width="45.5546875" bestFit="1" customWidth="1"/>
    <col min="8990" max="8990" width="15" bestFit="1" customWidth="1"/>
    <col min="9217" max="9217" width="4" customWidth="1"/>
    <col min="9218" max="9218" width="44.88671875" bestFit="1" customWidth="1"/>
    <col min="9219" max="9219" width="5.88671875" customWidth="1"/>
    <col min="9220" max="9220" width="6.5546875" bestFit="1" customWidth="1"/>
    <col min="9221" max="9221" width="7.44140625" bestFit="1" customWidth="1"/>
    <col min="9222" max="9222" width="6.5546875" bestFit="1" customWidth="1"/>
    <col min="9223" max="9223" width="10" bestFit="1" customWidth="1"/>
    <col min="9224" max="9227" width="0" hidden="1" customWidth="1"/>
    <col min="9228" max="9228" width="12" bestFit="1" customWidth="1"/>
    <col min="9229" max="9229" width="11.109375" customWidth="1"/>
    <col min="9230" max="9230" width="8.109375" bestFit="1" customWidth="1"/>
    <col min="9231" max="9231" width="6.5546875" bestFit="1" customWidth="1"/>
    <col min="9232" max="9232" width="8.44140625" customWidth="1"/>
    <col min="9233" max="9233" width="11.109375" customWidth="1"/>
    <col min="9235" max="9235" width="19.21875" bestFit="1" customWidth="1"/>
    <col min="9240" max="9240" width="10.44140625" bestFit="1" customWidth="1"/>
    <col min="9243" max="9243" width="17.77734375" bestFit="1" customWidth="1"/>
    <col min="9244" max="9244" width="11" bestFit="1" customWidth="1"/>
    <col min="9245" max="9245" width="45.5546875" bestFit="1" customWidth="1"/>
    <col min="9246" max="9246" width="15" bestFit="1" customWidth="1"/>
    <col min="9473" max="9473" width="4" customWidth="1"/>
    <col min="9474" max="9474" width="44.88671875" bestFit="1" customWidth="1"/>
    <col min="9475" max="9475" width="5.88671875" customWidth="1"/>
    <col min="9476" max="9476" width="6.5546875" bestFit="1" customWidth="1"/>
    <col min="9477" max="9477" width="7.44140625" bestFit="1" customWidth="1"/>
    <col min="9478" max="9478" width="6.5546875" bestFit="1" customWidth="1"/>
    <col min="9479" max="9479" width="10" bestFit="1" customWidth="1"/>
    <col min="9480" max="9483" width="0" hidden="1" customWidth="1"/>
    <col min="9484" max="9484" width="12" bestFit="1" customWidth="1"/>
    <col min="9485" max="9485" width="11.109375" customWidth="1"/>
    <col min="9486" max="9486" width="8.109375" bestFit="1" customWidth="1"/>
    <col min="9487" max="9487" width="6.5546875" bestFit="1" customWidth="1"/>
    <col min="9488" max="9488" width="8.44140625" customWidth="1"/>
    <col min="9489" max="9489" width="11.109375" customWidth="1"/>
    <col min="9491" max="9491" width="19.21875" bestFit="1" customWidth="1"/>
    <col min="9496" max="9496" width="10.44140625" bestFit="1" customWidth="1"/>
    <col min="9499" max="9499" width="17.77734375" bestFit="1" customWidth="1"/>
    <col min="9500" max="9500" width="11" bestFit="1" customWidth="1"/>
    <col min="9501" max="9501" width="45.5546875" bestFit="1" customWidth="1"/>
    <col min="9502" max="9502" width="15" bestFit="1" customWidth="1"/>
    <col min="9729" max="9729" width="4" customWidth="1"/>
    <col min="9730" max="9730" width="44.88671875" bestFit="1" customWidth="1"/>
    <col min="9731" max="9731" width="5.88671875" customWidth="1"/>
    <col min="9732" max="9732" width="6.5546875" bestFit="1" customWidth="1"/>
    <col min="9733" max="9733" width="7.44140625" bestFit="1" customWidth="1"/>
    <col min="9734" max="9734" width="6.5546875" bestFit="1" customWidth="1"/>
    <col min="9735" max="9735" width="10" bestFit="1" customWidth="1"/>
    <col min="9736" max="9739" width="0" hidden="1" customWidth="1"/>
    <col min="9740" max="9740" width="12" bestFit="1" customWidth="1"/>
    <col min="9741" max="9741" width="11.109375" customWidth="1"/>
    <col min="9742" max="9742" width="8.109375" bestFit="1" customWidth="1"/>
    <col min="9743" max="9743" width="6.5546875" bestFit="1" customWidth="1"/>
    <col min="9744" max="9744" width="8.44140625" customWidth="1"/>
    <col min="9745" max="9745" width="11.109375" customWidth="1"/>
    <col min="9747" max="9747" width="19.21875" bestFit="1" customWidth="1"/>
    <col min="9752" max="9752" width="10.44140625" bestFit="1" customWidth="1"/>
    <col min="9755" max="9755" width="17.77734375" bestFit="1" customWidth="1"/>
    <col min="9756" max="9756" width="11" bestFit="1" customWidth="1"/>
    <col min="9757" max="9757" width="45.5546875" bestFit="1" customWidth="1"/>
    <col min="9758" max="9758" width="15" bestFit="1" customWidth="1"/>
    <col min="9985" max="9985" width="4" customWidth="1"/>
    <col min="9986" max="9986" width="44.88671875" bestFit="1" customWidth="1"/>
    <col min="9987" max="9987" width="5.88671875" customWidth="1"/>
    <col min="9988" max="9988" width="6.5546875" bestFit="1" customWidth="1"/>
    <col min="9989" max="9989" width="7.44140625" bestFit="1" customWidth="1"/>
    <col min="9990" max="9990" width="6.5546875" bestFit="1" customWidth="1"/>
    <col min="9991" max="9991" width="10" bestFit="1" customWidth="1"/>
    <col min="9992" max="9995" width="0" hidden="1" customWidth="1"/>
    <col min="9996" max="9996" width="12" bestFit="1" customWidth="1"/>
    <col min="9997" max="9997" width="11.109375" customWidth="1"/>
    <col min="9998" max="9998" width="8.109375" bestFit="1" customWidth="1"/>
    <col min="9999" max="9999" width="6.5546875" bestFit="1" customWidth="1"/>
    <col min="10000" max="10000" width="8.44140625" customWidth="1"/>
    <col min="10001" max="10001" width="11.109375" customWidth="1"/>
    <col min="10003" max="10003" width="19.21875" bestFit="1" customWidth="1"/>
    <col min="10008" max="10008" width="10.44140625" bestFit="1" customWidth="1"/>
    <col min="10011" max="10011" width="17.77734375" bestFit="1" customWidth="1"/>
    <col min="10012" max="10012" width="11" bestFit="1" customWidth="1"/>
    <col min="10013" max="10013" width="45.5546875" bestFit="1" customWidth="1"/>
    <col min="10014" max="10014" width="15" bestFit="1" customWidth="1"/>
    <col min="10241" max="10241" width="4" customWidth="1"/>
    <col min="10242" max="10242" width="44.88671875" bestFit="1" customWidth="1"/>
    <col min="10243" max="10243" width="5.88671875" customWidth="1"/>
    <col min="10244" max="10244" width="6.5546875" bestFit="1" customWidth="1"/>
    <col min="10245" max="10245" width="7.44140625" bestFit="1" customWidth="1"/>
    <col min="10246" max="10246" width="6.5546875" bestFit="1" customWidth="1"/>
    <col min="10247" max="10247" width="10" bestFit="1" customWidth="1"/>
    <col min="10248" max="10251" width="0" hidden="1" customWidth="1"/>
    <col min="10252" max="10252" width="12" bestFit="1" customWidth="1"/>
    <col min="10253" max="10253" width="11.109375" customWidth="1"/>
    <col min="10254" max="10254" width="8.109375" bestFit="1" customWidth="1"/>
    <col min="10255" max="10255" width="6.5546875" bestFit="1" customWidth="1"/>
    <col min="10256" max="10256" width="8.44140625" customWidth="1"/>
    <col min="10257" max="10257" width="11.109375" customWidth="1"/>
    <col min="10259" max="10259" width="19.21875" bestFit="1" customWidth="1"/>
    <col min="10264" max="10264" width="10.44140625" bestFit="1" customWidth="1"/>
    <col min="10267" max="10267" width="17.77734375" bestFit="1" customWidth="1"/>
    <col min="10268" max="10268" width="11" bestFit="1" customWidth="1"/>
    <col min="10269" max="10269" width="45.5546875" bestFit="1" customWidth="1"/>
    <col min="10270" max="10270" width="15" bestFit="1" customWidth="1"/>
    <col min="10497" max="10497" width="4" customWidth="1"/>
    <col min="10498" max="10498" width="44.88671875" bestFit="1" customWidth="1"/>
    <col min="10499" max="10499" width="5.88671875" customWidth="1"/>
    <col min="10500" max="10500" width="6.5546875" bestFit="1" customWidth="1"/>
    <col min="10501" max="10501" width="7.44140625" bestFit="1" customWidth="1"/>
    <col min="10502" max="10502" width="6.5546875" bestFit="1" customWidth="1"/>
    <col min="10503" max="10503" width="10" bestFit="1" customWidth="1"/>
    <col min="10504" max="10507" width="0" hidden="1" customWidth="1"/>
    <col min="10508" max="10508" width="12" bestFit="1" customWidth="1"/>
    <col min="10509" max="10509" width="11.109375" customWidth="1"/>
    <col min="10510" max="10510" width="8.109375" bestFit="1" customWidth="1"/>
    <col min="10511" max="10511" width="6.5546875" bestFit="1" customWidth="1"/>
    <col min="10512" max="10512" width="8.44140625" customWidth="1"/>
    <col min="10513" max="10513" width="11.109375" customWidth="1"/>
    <col min="10515" max="10515" width="19.21875" bestFit="1" customWidth="1"/>
    <col min="10520" max="10520" width="10.44140625" bestFit="1" customWidth="1"/>
    <col min="10523" max="10523" width="17.77734375" bestFit="1" customWidth="1"/>
    <col min="10524" max="10524" width="11" bestFit="1" customWidth="1"/>
    <col min="10525" max="10525" width="45.5546875" bestFit="1" customWidth="1"/>
    <col min="10526" max="10526" width="15" bestFit="1" customWidth="1"/>
    <col min="10753" max="10753" width="4" customWidth="1"/>
    <col min="10754" max="10754" width="44.88671875" bestFit="1" customWidth="1"/>
    <col min="10755" max="10755" width="5.88671875" customWidth="1"/>
    <col min="10756" max="10756" width="6.5546875" bestFit="1" customWidth="1"/>
    <col min="10757" max="10757" width="7.44140625" bestFit="1" customWidth="1"/>
    <col min="10758" max="10758" width="6.5546875" bestFit="1" customWidth="1"/>
    <col min="10759" max="10759" width="10" bestFit="1" customWidth="1"/>
    <col min="10760" max="10763" width="0" hidden="1" customWidth="1"/>
    <col min="10764" max="10764" width="12" bestFit="1" customWidth="1"/>
    <col min="10765" max="10765" width="11.109375" customWidth="1"/>
    <col min="10766" max="10766" width="8.109375" bestFit="1" customWidth="1"/>
    <col min="10767" max="10767" width="6.5546875" bestFit="1" customWidth="1"/>
    <col min="10768" max="10768" width="8.44140625" customWidth="1"/>
    <col min="10769" max="10769" width="11.109375" customWidth="1"/>
    <col min="10771" max="10771" width="19.21875" bestFit="1" customWidth="1"/>
    <col min="10776" max="10776" width="10.44140625" bestFit="1" customWidth="1"/>
    <col min="10779" max="10779" width="17.77734375" bestFit="1" customWidth="1"/>
    <col min="10780" max="10780" width="11" bestFit="1" customWidth="1"/>
    <col min="10781" max="10781" width="45.5546875" bestFit="1" customWidth="1"/>
    <col min="10782" max="10782" width="15" bestFit="1" customWidth="1"/>
    <col min="11009" max="11009" width="4" customWidth="1"/>
    <col min="11010" max="11010" width="44.88671875" bestFit="1" customWidth="1"/>
    <col min="11011" max="11011" width="5.88671875" customWidth="1"/>
    <col min="11012" max="11012" width="6.5546875" bestFit="1" customWidth="1"/>
    <col min="11013" max="11013" width="7.44140625" bestFit="1" customWidth="1"/>
    <col min="11014" max="11014" width="6.5546875" bestFit="1" customWidth="1"/>
    <col min="11015" max="11015" width="10" bestFit="1" customWidth="1"/>
    <col min="11016" max="11019" width="0" hidden="1" customWidth="1"/>
    <col min="11020" max="11020" width="12" bestFit="1" customWidth="1"/>
    <col min="11021" max="11021" width="11.109375" customWidth="1"/>
    <col min="11022" max="11022" width="8.109375" bestFit="1" customWidth="1"/>
    <col min="11023" max="11023" width="6.5546875" bestFit="1" customWidth="1"/>
    <col min="11024" max="11024" width="8.44140625" customWidth="1"/>
    <col min="11025" max="11025" width="11.109375" customWidth="1"/>
    <col min="11027" max="11027" width="19.21875" bestFit="1" customWidth="1"/>
    <col min="11032" max="11032" width="10.44140625" bestFit="1" customWidth="1"/>
    <col min="11035" max="11035" width="17.77734375" bestFit="1" customWidth="1"/>
    <col min="11036" max="11036" width="11" bestFit="1" customWidth="1"/>
    <col min="11037" max="11037" width="45.5546875" bestFit="1" customWidth="1"/>
    <col min="11038" max="11038" width="15" bestFit="1" customWidth="1"/>
    <col min="11265" max="11265" width="4" customWidth="1"/>
    <col min="11266" max="11266" width="44.88671875" bestFit="1" customWidth="1"/>
    <col min="11267" max="11267" width="5.88671875" customWidth="1"/>
    <col min="11268" max="11268" width="6.5546875" bestFit="1" customWidth="1"/>
    <col min="11269" max="11269" width="7.44140625" bestFit="1" customWidth="1"/>
    <col min="11270" max="11270" width="6.5546875" bestFit="1" customWidth="1"/>
    <col min="11271" max="11271" width="10" bestFit="1" customWidth="1"/>
    <col min="11272" max="11275" width="0" hidden="1" customWidth="1"/>
    <col min="11276" max="11276" width="12" bestFit="1" customWidth="1"/>
    <col min="11277" max="11277" width="11.109375" customWidth="1"/>
    <col min="11278" max="11278" width="8.109375" bestFit="1" customWidth="1"/>
    <col min="11279" max="11279" width="6.5546875" bestFit="1" customWidth="1"/>
    <col min="11280" max="11280" width="8.44140625" customWidth="1"/>
    <col min="11281" max="11281" width="11.109375" customWidth="1"/>
    <col min="11283" max="11283" width="19.21875" bestFit="1" customWidth="1"/>
    <col min="11288" max="11288" width="10.44140625" bestFit="1" customWidth="1"/>
    <col min="11291" max="11291" width="17.77734375" bestFit="1" customWidth="1"/>
    <col min="11292" max="11292" width="11" bestFit="1" customWidth="1"/>
    <col min="11293" max="11293" width="45.5546875" bestFit="1" customWidth="1"/>
    <col min="11294" max="11294" width="15" bestFit="1" customWidth="1"/>
    <col min="11521" max="11521" width="4" customWidth="1"/>
    <col min="11522" max="11522" width="44.88671875" bestFit="1" customWidth="1"/>
    <col min="11523" max="11523" width="5.88671875" customWidth="1"/>
    <col min="11524" max="11524" width="6.5546875" bestFit="1" customWidth="1"/>
    <col min="11525" max="11525" width="7.44140625" bestFit="1" customWidth="1"/>
    <col min="11526" max="11526" width="6.5546875" bestFit="1" customWidth="1"/>
    <col min="11527" max="11527" width="10" bestFit="1" customWidth="1"/>
    <col min="11528" max="11531" width="0" hidden="1" customWidth="1"/>
    <col min="11532" max="11532" width="12" bestFit="1" customWidth="1"/>
    <col min="11533" max="11533" width="11.109375" customWidth="1"/>
    <col min="11534" max="11534" width="8.109375" bestFit="1" customWidth="1"/>
    <col min="11535" max="11535" width="6.5546875" bestFit="1" customWidth="1"/>
    <col min="11536" max="11536" width="8.44140625" customWidth="1"/>
    <col min="11537" max="11537" width="11.109375" customWidth="1"/>
    <col min="11539" max="11539" width="19.21875" bestFit="1" customWidth="1"/>
    <col min="11544" max="11544" width="10.44140625" bestFit="1" customWidth="1"/>
    <col min="11547" max="11547" width="17.77734375" bestFit="1" customWidth="1"/>
    <col min="11548" max="11548" width="11" bestFit="1" customWidth="1"/>
    <col min="11549" max="11549" width="45.5546875" bestFit="1" customWidth="1"/>
    <col min="11550" max="11550" width="15" bestFit="1" customWidth="1"/>
    <col min="11777" max="11777" width="4" customWidth="1"/>
    <col min="11778" max="11778" width="44.88671875" bestFit="1" customWidth="1"/>
    <col min="11779" max="11779" width="5.88671875" customWidth="1"/>
    <col min="11780" max="11780" width="6.5546875" bestFit="1" customWidth="1"/>
    <col min="11781" max="11781" width="7.44140625" bestFit="1" customWidth="1"/>
    <col min="11782" max="11782" width="6.5546875" bestFit="1" customWidth="1"/>
    <col min="11783" max="11783" width="10" bestFit="1" customWidth="1"/>
    <col min="11784" max="11787" width="0" hidden="1" customWidth="1"/>
    <col min="11788" max="11788" width="12" bestFit="1" customWidth="1"/>
    <col min="11789" max="11789" width="11.109375" customWidth="1"/>
    <col min="11790" max="11790" width="8.109375" bestFit="1" customWidth="1"/>
    <col min="11791" max="11791" width="6.5546875" bestFit="1" customWidth="1"/>
    <col min="11792" max="11792" width="8.44140625" customWidth="1"/>
    <col min="11793" max="11793" width="11.109375" customWidth="1"/>
    <col min="11795" max="11795" width="19.21875" bestFit="1" customWidth="1"/>
    <col min="11800" max="11800" width="10.44140625" bestFit="1" customWidth="1"/>
    <col min="11803" max="11803" width="17.77734375" bestFit="1" customWidth="1"/>
    <col min="11804" max="11804" width="11" bestFit="1" customWidth="1"/>
    <col min="11805" max="11805" width="45.5546875" bestFit="1" customWidth="1"/>
    <col min="11806" max="11806" width="15" bestFit="1" customWidth="1"/>
    <col min="12033" max="12033" width="4" customWidth="1"/>
    <col min="12034" max="12034" width="44.88671875" bestFit="1" customWidth="1"/>
    <col min="12035" max="12035" width="5.88671875" customWidth="1"/>
    <col min="12036" max="12036" width="6.5546875" bestFit="1" customWidth="1"/>
    <col min="12037" max="12037" width="7.44140625" bestFit="1" customWidth="1"/>
    <col min="12038" max="12038" width="6.5546875" bestFit="1" customWidth="1"/>
    <col min="12039" max="12039" width="10" bestFit="1" customWidth="1"/>
    <col min="12040" max="12043" width="0" hidden="1" customWidth="1"/>
    <col min="12044" max="12044" width="12" bestFit="1" customWidth="1"/>
    <col min="12045" max="12045" width="11.109375" customWidth="1"/>
    <col min="12046" max="12046" width="8.109375" bestFit="1" customWidth="1"/>
    <col min="12047" max="12047" width="6.5546875" bestFit="1" customWidth="1"/>
    <col min="12048" max="12048" width="8.44140625" customWidth="1"/>
    <col min="12049" max="12049" width="11.109375" customWidth="1"/>
    <col min="12051" max="12051" width="19.21875" bestFit="1" customWidth="1"/>
    <col min="12056" max="12056" width="10.44140625" bestFit="1" customWidth="1"/>
    <col min="12059" max="12059" width="17.77734375" bestFit="1" customWidth="1"/>
    <col min="12060" max="12060" width="11" bestFit="1" customWidth="1"/>
    <col min="12061" max="12061" width="45.5546875" bestFit="1" customWidth="1"/>
    <col min="12062" max="12062" width="15" bestFit="1" customWidth="1"/>
    <col min="12289" max="12289" width="4" customWidth="1"/>
    <col min="12290" max="12290" width="44.88671875" bestFit="1" customWidth="1"/>
    <col min="12291" max="12291" width="5.88671875" customWidth="1"/>
    <col min="12292" max="12292" width="6.5546875" bestFit="1" customWidth="1"/>
    <col min="12293" max="12293" width="7.44140625" bestFit="1" customWidth="1"/>
    <col min="12294" max="12294" width="6.5546875" bestFit="1" customWidth="1"/>
    <col min="12295" max="12295" width="10" bestFit="1" customWidth="1"/>
    <col min="12296" max="12299" width="0" hidden="1" customWidth="1"/>
    <col min="12300" max="12300" width="12" bestFit="1" customWidth="1"/>
    <col min="12301" max="12301" width="11.109375" customWidth="1"/>
    <col min="12302" max="12302" width="8.109375" bestFit="1" customWidth="1"/>
    <col min="12303" max="12303" width="6.5546875" bestFit="1" customWidth="1"/>
    <col min="12304" max="12304" width="8.44140625" customWidth="1"/>
    <col min="12305" max="12305" width="11.109375" customWidth="1"/>
    <col min="12307" max="12307" width="19.21875" bestFit="1" customWidth="1"/>
    <col min="12312" max="12312" width="10.44140625" bestFit="1" customWidth="1"/>
    <col min="12315" max="12315" width="17.77734375" bestFit="1" customWidth="1"/>
    <col min="12316" max="12316" width="11" bestFit="1" customWidth="1"/>
    <col min="12317" max="12317" width="45.5546875" bestFit="1" customWidth="1"/>
    <col min="12318" max="12318" width="15" bestFit="1" customWidth="1"/>
    <col min="12545" max="12545" width="4" customWidth="1"/>
    <col min="12546" max="12546" width="44.88671875" bestFit="1" customWidth="1"/>
    <col min="12547" max="12547" width="5.88671875" customWidth="1"/>
    <col min="12548" max="12548" width="6.5546875" bestFit="1" customWidth="1"/>
    <col min="12549" max="12549" width="7.44140625" bestFit="1" customWidth="1"/>
    <col min="12550" max="12550" width="6.5546875" bestFit="1" customWidth="1"/>
    <col min="12551" max="12551" width="10" bestFit="1" customWidth="1"/>
    <col min="12552" max="12555" width="0" hidden="1" customWidth="1"/>
    <col min="12556" max="12556" width="12" bestFit="1" customWidth="1"/>
    <col min="12557" max="12557" width="11.109375" customWidth="1"/>
    <col min="12558" max="12558" width="8.109375" bestFit="1" customWidth="1"/>
    <col min="12559" max="12559" width="6.5546875" bestFit="1" customWidth="1"/>
    <col min="12560" max="12560" width="8.44140625" customWidth="1"/>
    <col min="12561" max="12561" width="11.109375" customWidth="1"/>
    <col min="12563" max="12563" width="19.21875" bestFit="1" customWidth="1"/>
    <col min="12568" max="12568" width="10.44140625" bestFit="1" customWidth="1"/>
    <col min="12571" max="12571" width="17.77734375" bestFit="1" customWidth="1"/>
    <col min="12572" max="12572" width="11" bestFit="1" customWidth="1"/>
    <col min="12573" max="12573" width="45.5546875" bestFit="1" customWidth="1"/>
    <col min="12574" max="12574" width="15" bestFit="1" customWidth="1"/>
    <col min="12801" max="12801" width="4" customWidth="1"/>
    <col min="12802" max="12802" width="44.88671875" bestFit="1" customWidth="1"/>
    <col min="12803" max="12803" width="5.88671875" customWidth="1"/>
    <col min="12804" max="12804" width="6.5546875" bestFit="1" customWidth="1"/>
    <col min="12805" max="12805" width="7.44140625" bestFit="1" customWidth="1"/>
    <col min="12806" max="12806" width="6.5546875" bestFit="1" customWidth="1"/>
    <col min="12807" max="12807" width="10" bestFit="1" customWidth="1"/>
    <col min="12808" max="12811" width="0" hidden="1" customWidth="1"/>
    <col min="12812" max="12812" width="12" bestFit="1" customWidth="1"/>
    <col min="12813" max="12813" width="11.109375" customWidth="1"/>
    <col min="12814" max="12814" width="8.109375" bestFit="1" customWidth="1"/>
    <col min="12815" max="12815" width="6.5546875" bestFit="1" customWidth="1"/>
    <col min="12816" max="12816" width="8.44140625" customWidth="1"/>
    <col min="12817" max="12817" width="11.109375" customWidth="1"/>
    <col min="12819" max="12819" width="19.21875" bestFit="1" customWidth="1"/>
    <col min="12824" max="12824" width="10.44140625" bestFit="1" customWidth="1"/>
    <col min="12827" max="12827" width="17.77734375" bestFit="1" customWidth="1"/>
    <col min="12828" max="12828" width="11" bestFit="1" customWidth="1"/>
    <col min="12829" max="12829" width="45.5546875" bestFit="1" customWidth="1"/>
    <col min="12830" max="12830" width="15" bestFit="1" customWidth="1"/>
    <col min="13057" max="13057" width="4" customWidth="1"/>
    <col min="13058" max="13058" width="44.88671875" bestFit="1" customWidth="1"/>
    <col min="13059" max="13059" width="5.88671875" customWidth="1"/>
    <col min="13060" max="13060" width="6.5546875" bestFit="1" customWidth="1"/>
    <col min="13061" max="13061" width="7.44140625" bestFit="1" customWidth="1"/>
    <col min="13062" max="13062" width="6.5546875" bestFit="1" customWidth="1"/>
    <col min="13063" max="13063" width="10" bestFit="1" customWidth="1"/>
    <col min="13064" max="13067" width="0" hidden="1" customWidth="1"/>
    <col min="13068" max="13068" width="12" bestFit="1" customWidth="1"/>
    <col min="13069" max="13069" width="11.109375" customWidth="1"/>
    <col min="13070" max="13070" width="8.109375" bestFit="1" customWidth="1"/>
    <col min="13071" max="13071" width="6.5546875" bestFit="1" customWidth="1"/>
    <col min="13072" max="13072" width="8.44140625" customWidth="1"/>
    <col min="13073" max="13073" width="11.109375" customWidth="1"/>
    <col min="13075" max="13075" width="19.21875" bestFit="1" customWidth="1"/>
    <col min="13080" max="13080" width="10.44140625" bestFit="1" customWidth="1"/>
    <col min="13083" max="13083" width="17.77734375" bestFit="1" customWidth="1"/>
    <col min="13084" max="13084" width="11" bestFit="1" customWidth="1"/>
    <col min="13085" max="13085" width="45.5546875" bestFit="1" customWidth="1"/>
    <col min="13086" max="13086" width="15" bestFit="1" customWidth="1"/>
    <col min="13313" max="13313" width="4" customWidth="1"/>
    <col min="13314" max="13314" width="44.88671875" bestFit="1" customWidth="1"/>
    <col min="13315" max="13315" width="5.88671875" customWidth="1"/>
    <col min="13316" max="13316" width="6.5546875" bestFit="1" customWidth="1"/>
    <col min="13317" max="13317" width="7.44140625" bestFit="1" customWidth="1"/>
    <col min="13318" max="13318" width="6.5546875" bestFit="1" customWidth="1"/>
    <col min="13319" max="13319" width="10" bestFit="1" customWidth="1"/>
    <col min="13320" max="13323" width="0" hidden="1" customWidth="1"/>
    <col min="13324" max="13324" width="12" bestFit="1" customWidth="1"/>
    <col min="13325" max="13325" width="11.109375" customWidth="1"/>
    <col min="13326" max="13326" width="8.109375" bestFit="1" customWidth="1"/>
    <col min="13327" max="13327" width="6.5546875" bestFit="1" customWidth="1"/>
    <col min="13328" max="13328" width="8.44140625" customWidth="1"/>
    <col min="13329" max="13329" width="11.109375" customWidth="1"/>
    <col min="13331" max="13331" width="19.21875" bestFit="1" customWidth="1"/>
    <col min="13336" max="13336" width="10.44140625" bestFit="1" customWidth="1"/>
    <col min="13339" max="13339" width="17.77734375" bestFit="1" customWidth="1"/>
    <col min="13340" max="13340" width="11" bestFit="1" customWidth="1"/>
    <col min="13341" max="13341" width="45.5546875" bestFit="1" customWidth="1"/>
    <col min="13342" max="13342" width="15" bestFit="1" customWidth="1"/>
    <col min="13569" max="13569" width="4" customWidth="1"/>
    <col min="13570" max="13570" width="44.88671875" bestFit="1" customWidth="1"/>
    <col min="13571" max="13571" width="5.88671875" customWidth="1"/>
    <col min="13572" max="13572" width="6.5546875" bestFit="1" customWidth="1"/>
    <col min="13573" max="13573" width="7.44140625" bestFit="1" customWidth="1"/>
    <col min="13574" max="13574" width="6.5546875" bestFit="1" customWidth="1"/>
    <col min="13575" max="13575" width="10" bestFit="1" customWidth="1"/>
    <col min="13576" max="13579" width="0" hidden="1" customWidth="1"/>
    <col min="13580" max="13580" width="12" bestFit="1" customWidth="1"/>
    <col min="13581" max="13581" width="11.109375" customWidth="1"/>
    <col min="13582" max="13582" width="8.109375" bestFit="1" customWidth="1"/>
    <col min="13583" max="13583" width="6.5546875" bestFit="1" customWidth="1"/>
    <col min="13584" max="13584" width="8.44140625" customWidth="1"/>
    <col min="13585" max="13585" width="11.109375" customWidth="1"/>
    <col min="13587" max="13587" width="19.21875" bestFit="1" customWidth="1"/>
    <col min="13592" max="13592" width="10.44140625" bestFit="1" customWidth="1"/>
    <col min="13595" max="13595" width="17.77734375" bestFit="1" customWidth="1"/>
    <col min="13596" max="13596" width="11" bestFit="1" customWidth="1"/>
    <col min="13597" max="13597" width="45.5546875" bestFit="1" customWidth="1"/>
    <col min="13598" max="13598" width="15" bestFit="1" customWidth="1"/>
    <col min="13825" max="13825" width="4" customWidth="1"/>
    <col min="13826" max="13826" width="44.88671875" bestFit="1" customWidth="1"/>
    <col min="13827" max="13827" width="5.88671875" customWidth="1"/>
    <col min="13828" max="13828" width="6.5546875" bestFit="1" customWidth="1"/>
    <col min="13829" max="13829" width="7.44140625" bestFit="1" customWidth="1"/>
    <col min="13830" max="13830" width="6.5546875" bestFit="1" customWidth="1"/>
    <col min="13831" max="13831" width="10" bestFit="1" customWidth="1"/>
    <col min="13832" max="13835" width="0" hidden="1" customWidth="1"/>
    <col min="13836" max="13836" width="12" bestFit="1" customWidth="1"/>
    <col min="13837" max="13837" width="11.109375" customWidth="1"/>
    <col min="13838" max="13838" width="8.109375" bestFit="1" customWidth="1"/>
    <col min="13839" max="13839" width="6.5546875" bestFit="1" customWidth="1"/>
    <col min="13840" max="13840" width="8.44140625" customWidth="1"/>
    <col min="13841" max="13841" width="11.109375" customWidth="1"/>
    <col min="13843" max="13843" width="19.21875" bestFit="1" customWidth="1"/>
    <col min="13848" max="13848" width="10.44140625" bestFit="1" customWidth="1"/>
    <col min="13851" max="13851" width="17.77734375" bestFit="1" customWidth="1"/>
    <col min="13852" max="13852" width="11" bestFit="1" customWidth="1"/>
    <col min="13853" max="13853" width="45.5546875" bestFit="1" customWidth="1"/>
    <col min="13854" max="13854" width="15" bestFit="1" customWidth="1"/>
    <col min="14081" max="14081" width="4" customWidth="1"/>
    <col min="14082" max="14082" width="44.88671875" bestFit="1" customWidth="1"/>
    <col min="14083" max="14083" width="5.88671875" customWidth="1"/>
    <col min="14084" max="14084" width="6.5546875" bestFit="1" customWidth="1"/>
    <col min="14085" max="14085" width="7.44140625" bestFit="1" customWidth="1"/>
    <col min="14086" max="14086" width="6.5546875" bestFit="1" customWidth="1"/>
    <col min="14087" max="14087" width="10" bestFit="1" customWidth="1"/>
    <col min="14088" max="14091" width="0" hidden="1" customWidth="1"/>
    <col min="14092" max="14092" width="12" bestFit="1" customWidth="1"/>
    <col min="14093" max="14093" width="11.109375" customWidth="1"/>
    <col min="14094" max="14094" width="8.109375" bestFit="1" customWidth="1"/>
    <col min="14095" max="14095" width="6.5546875" bestFit="1" customWidth="1"/>
    <col min="14096" max="14096" width="8.44140625" customWidth="1"/>
    <col min="14097" max="14097" width="11.109375" customWidth="1"/>
    <col min="14099" max="14099" width="19.21875" bestFit="1" customWidth="1"/>
    <col min="14104" max="14104" width="10.44140625" bestFit="1" customWidth="1"/>
    <col min="14107" max="14107" width="17.77734375" bestFit="1" customWidth="1"/>
    <col min="14108" max="14108" width="11" bestFit="1" customWidth="1"/>
    <col min="14109" max="14109" width="45.5546875" bestFit="1" customWidth="1"/>
    <col min="14110" max="14110" width="15" bestFit="1" customWidth="1"/>
    <col min="14337" max="14337" width="4" customWidth="1"/>
    <col min="14338" max="14338" width="44.88671875" bestFit="1" customWidth="1"/>
    <col min="14339" max="14339" width="5.88671875" customWidth="1"/>
    <col min="14340" max="14340" width="6.5546875" bestFit="1" customWidth="1"/>
    <col min="14341" max="14341" width="7.44140625" bestFit="1" customWidth="1"/>
    <col min="14342" max="14342" width="6.5546875" bestFit="1" customWidth="1"/>
    <col min="14343" max="14343" width="10" bestFit="1" customWidth="1"/>
    <col min="14344" max="14347" width="0" hidden="1" customWidth="1"/>
    <col min="14348" max="14348" width="12" bestFit="1" customWidth="1"/>
    <col min="14349" max="14349" width="11.109375" customWidth="1"/>
    <col min="14350" max="14350" width="8.109375" bestFit="1" customWidth="1"/>
    <col min="14351" max="14351" width="6.5546875" bestFit="1" customWidth="1"/>
    <col min="14352" max="14352" width="8.44140625" customWidth="1"/>
    <col min="14353" max="14353" width="11.109375" customWidth="1"/>
    <col min="14355" max="14355" width="19.21875" bestFit="1" customWidth="1"/>
    <col min="14360" max="14360" width="10.44140625" bestFit="1" customWidth="1"/>
    <col min="14363" max="14363" width="17.77734375" bestFit="1" customWidth="1"/>
    <col min="14364" max="14364" width="11" bestFit="1" customWidth="1"/>
    <col min="14365" max="14365" width="45.5546875" bestFit="1" customWidth="1"/>
    <col min="14366" max="14366" width="15" bestFit="1" customWidth="1"/>
    <col min="14593" max="14593" width="4" customWidth="1"/>
    <col min="14594" max="14594" width="44.88671875" bestFit="1" customWidth="1"/>
    <col min="14595" max="14595" width="5.88671875" customWidth="1"/>
    <col min="14596" max="14596" width="6.5546875" bestFit="1" customWidth="1"/>
    <col min="14597" max="14597" width="7.44140625" bestFit="1" customWidth="1"/>
    <col min="14598" max="14598" width="6.5546875" bestFit="1" customWidth="1"/>
    <col min="14599" max="14599" width="10" bestFit="1" customWidth="1"/>
    <col min="14600" max="14603" width="0" hidden="1" customWidth="1"/>
    <col min="14604" max="14604" width="12" bestFit="1" customWidth="1"/>
    <col min="14605" max="14605" width="11.109375" customWidth="1"/>
    <col min="14606" max="14606" width="8.109375" bestFit="1" customWidth="1"/>
    <col min="14607" max="14607" width="6.5546875" bestFit="1" customWidth="1"/>
    <col min="14608" max="14608" width="8.44140625" customWidth="1"/>
    <col min="14609" max="14609" width="11.109375" customWidth="1"/>
    <col min="14611" max="14611" width="19.21875" bestFit="1" customWidth="1"/>
    <col min="14616" max="14616" width="10.44140625" bestFit="1" customWidth="1"/>
    <col min="14619" max="14619" width="17.77734375" bestFit="1" customWidth="1"/>
    <col min="14620" max="14620" width="11" bestFit="1" customWidth="1"/>
    <col min="14621" max="14621" width="45.5546875" bestFit="1" customWidth="1"/>
    <col min="14622" max="14622" width="15" bestFit="1" customWidth="1"/>
    <col min="14849" max="14849" width="4" customWidth="1"/>
    <col min="14850" max="14850" width="44.88671875" bestFit="1" customWidth="1"/>
    <col min="14851" max="14851" width="5.88671875" customWidth="1"/>
    <col min="14852" max="14852" width="6.5546875" bestFit="1" customWidth="1"/>
    <col min="14853" max="14853" width="7.44140625" bestFit="1" customWidth="1"/>
    <col min="14854" max="14854" width="6.5546875" bestFit="1" customWidth="1"/>
    <col min="14855" max="14855" width="10" bestFit="1" customWidth="1"/>
    <col min="14856" max="14859" width="0" hidden="1" customWidth="1"/>
    <col min="14860" max="14860" width="12" bestFit="1" customWidth="1"/>
    <col min="14861" max="14861" width="11.109375" customWidth="1"/>
    <col min="14862" max="14862" width="8.109375" bestFit="1" customWidth="1"/>
    <col min="14863" max="14863" width="6.5546875" bestFit="1" customWidth="1"/>
    <col min="14864" max="14864" width="8.44140625" customWidth="1"/>
    <col min="14865" max="14865" width="11.109375" customWidth="1"/>
    <col min="14867" max="14867" width="19.21875" bestFit="1" customWidth="1"/>
    <col min="14872" max="14872" width="10.44140625" bestFit="1" customWidth="1"/>
    <col min="14875" max="14875" width="17.77734375" bestFit="1" customWidth="1"/>
    <col min="14876" max="14876" width="11" bestFit="1" customWidth="1"/>
    <col min="14877" max="14877" width="45.5546875" bestFit="1" customWidth="1"/>
    <col min="14878" max="14878" width="15" bestFit="1" customWidth="1"/>
    <col min="15105" max="15105" width="4" customWidth="1"/>
    <col min="15106" max="15106" width="44.88671875" bestFit="1" customWidth="1"/>
    <col min="15107" max="15107" width="5.88671875" customWidth="1"/>
    <col min="15108" max="15108" width="6.5546875" bestFit="1" customWidth="1"/>
    <col min="15109" max="15109" width="7.44140625" bestFit="1" customWidth="1"/>
    <col min="15110" max="15110" width="6.5546875" bestFit="1" customWidth="1"/>
    <col min="15111" max="15111" width="10" bestFit="1" customWidth="1"/>
    <col min="15112" max="15115" width="0" hidden="1" customWidth="1"/>
    <col min="15116" max="15116" width="12" bestFit="1" customWidth="1"/>
    <col min="15117" max="15117" width="11.109375" customWidth="1"/>
    <col min="15118" max="15118" width="8.109375" bestFit="1" customWidth="1"/>
    <col min="15119" max="15119" width="6.5546875" bestFit="1" customWidth="1"/>
    <col min="15120" max="15120" width="8.44140625" customWidth="1"/>
    <col min="15121" max="15121" width="11.109375" customWidth="1"/>
    <col min="15123" max="15123" width="19.21875" bestFit="1" customWidth="1"/>
    <col min="15128" max="15128" width="10.44140625" bestFit="1" customWidth="1"/>
    <col min="15131" max="15131" width="17.77734375" bestFit="1" customWidth="1"/>
    <col min="15132" max="15132" width="11" bestFit="1" customWidth="1"/>
    <col min="15133" max="15133" width="45.5546875" bestFit="1" customWidth="1"/>
    <col min="15134" max="15134" width="15" bestFit="1" customWidth="1"/>
    <col min="15361" max="15361" width="4" customWidth="1"/>
    <col min="15362" max="15362" width="44.88671875" bestFit="1" customWidth="1"/>
    <col min="15363" max="15363" width="5.88671875" customWidth="1"/>
    <col min="15364" max="15364" width="6.5546875" bestFit="1" customWidth="1"/>
    <col min="15365" max="15365" width="7.44140625" bestFit="1" customWidth="1"/>
    <col min="15366" max="15366" width="6.5546875" bestFit="1" customWidth="1"/>
    <col min="15367" max="15367" width="10" bestFit="1" customWidth="1"/>
    <col min="15368" max="15371" width="0" hidden="1" customWidth="1"/>
    <col min="15372" max="15372" width="12" bestFit="1" customWidth="1"/>
    <col min="15373" max="15373" width="11.109375" customWidth="1"/>
    <col min="15374" max="15374" width="8.109375" bestFit="1" customWidth="1"/>
    <col min="15375" max="15375" width="6.5546875" bestFit="1" customWidth="1"/>
    <col min="15376" max="15376" width="8.44140625" customWidth="1"/>
    <col min="15377" max="15377" width="11.109375" customWidth="1"/>
    <col min="15379" max="15379" width="19.21875" bestFit="1" customWidth="1"/>
    <col min="15384" max="15384" width="10.44140625" bestFit="1" customWidth="1"/>
    <col min="15387" max="15387" width="17.77734375" bestFit="1" customWidth="1"/>
    <col min="15388" max="15388" width="11" bestFit="1" customWidth="1"/>
    <col min="15389" max="15389" width="45.5546875" bestFit="1" customWidth="1"/>
    <col min="15390" max="15390" width="15" bestFit="1" customWidth="1"/>
    <col min="15617" max="15617" width="4" customWidth="1"/>
    <col min="15618" max="15618" width="44.88671875" bestFit="1" customWidth="1"/>
    <col min="15619" max="15619" width="5.88671875" customWidth="1"/>
    <col min="15620" max="15620" width="6.5546875" bestFit="1" customWidth="1"/>
    <col min="15621" max="15621" width="7.44140625" bestFit="1" customWidth="1"/>
    <col min="15622" max="15622" width="6.5546875" bestFit="1" customWidth="1"/>
    <col min="15623" max="15623" width="10" bestFit="1" customWidth="1"/>
    <col min="15624" max="15627" width="0" hidden="1" customWidth="1"/>
    <col min="15628" max="15628" width="12" bestFit="1" customWidth="1"/>
    <col min="15629" max="15629" width="11.109375" customWidth="1"/>
    <col min="15630" max="15630" width="8.109375" bestFit="1" customWidth="1"/>
    <col min="15631" max="15631" width="6.5546875" bestFit="1" customWidth="1"/>
    <col min="15632" max="15632" width="8.44140625" customWidth="1"/>
    <col min="15633" max="15633" width="11.109375" customWidth="1"/>
    <col min="15635" max="15635" width="19.21875" bestFit="1" customWidth="1"/>
    <col min="15640" max="15640" width="10.44140625" bestFit="1" customWidth="1"/>
    <col min="15643" max="15643" width="17.77734375" bestFit="1" customWidth="1"/>
    <col min="15644" max="15644" width="11" bestFit="1" customWidth="1"/>
    <col min="15645" max="15645" width="45.5546875" bestFit="1" customWidth="1"/>
    <col min="15646" max="15646" width="15" bestFit="1" customWidth="1"/>
    <col min="15873" max="15873" width="4" customWidth="1"/>
    <col min="15874" max="15874" width="44.88671875" bestFit="1" customWidth="1"/>
    <col min="15875" max="15875" width="5.88671875" customWidth="1"/>
    <col min="15876" max="15876" width="6.5546875" bestFit="1" customWidth="1"/>
    <col min="15877" max="15877" width="7.44140625" bestFit="1" customWidth="1"/>
    <col min="15878" max="15878" width="6.5546875" bestFit="1" customWidth="1"/>
    <col min="15879" max="15879" width="10" bestFit="1" customWidth="1"/>
    <col min="15880" max="15883" width="0" hidden="1" customWidth="1"/>
    <col min="15884" max="15884" width="12" bestFit="1" customWidth="1"/>
    <col min="15885" max="15885" width="11.109375" customWidth="1"/>
    <col min="15886" max="15886" width="8.109375" bestFit="1" customWidth="1"/>
    <col min="15887" max="15887" width="6.5546875" bestFit="1" customWidth="1"/>
    <col min="15888" max="15888" width="8.44140625" customWidth="1"/>
    <col min="15889" max="15889" width="11.109375" customWidth="1"/>
    <col min="15891" max="15891" width="19.21875" bestFit="1" customWidth="1"/>
    <col min="15896" max="15896" width="10.44140625" bestFit="1" customWidth="1"/>
    <col min="15899" max="15899" width="17.77734375" bestFit="1" customWidth="1"/>
    <col min="15900" max="15900" width="11" bestFit="1" customWidth="1"/>
    <col min="15901" max="15901" width="45.5546875" bestFit="1" customWidth="1"/>
    <col min="15902" max="15902" width="15" bestFit="1" customWidth="1"/>
    <col min="16129" max="16129" width="4" customWidth="1"/>
    <col min="16130" max="16130" width="44.88671875" bestFit="1" customWidth="1"/>
    <col min="16131" max="16131" width="5.88671875" customWidth="1"/>
    <col min="16132" max="16132" width="6.5546875" bestFit="1" customWidth="1"/>
    <col min="16133" max="16133" width="7.44140625" bestFit="1" customWidth="1"/>
    <col min="16134" max="16134" width="6.5546875" bestFit="1" customWidth="1"/>
    <col min="16135" max="16135" width="10" bestFit="1" customWidth="1"/>
    <col min="16136" max="16139" width="0" hidden="1" customWidth="1"/>
    <col min="16140" max="16140" width="12" bestFit="1" customWidth="1"/>
    <col min="16141" max="16141" width="11.109375" customWidth="1"/>
    <col min="16142" max="16142" width="8.109375" bestFit="1" customWidth="1"/>
    <col min="16143" max="16143" width="6.5546875" bestFit="1" customWidth="1"/>
    <col min="16144" max="16144" width="8.44140625" customWidth="1"/>
    <col min="16145" max="16145" width="11.109375" customWidth="1"/>
    <col min="16147" max="16147" width="19.21875" bestFit="1" customWidth="1"/>
    <col min="16152" max="16152" width="10.44140625" bestFit="1" customWidth="1"/>
    <col min="16155" max="16155" width="17.77734375" bestFit="1" customWidth="1"/>
    <col min="16156" max="16156" width="11" bestFit="1" customWidth="1"/>
    <col min="16157" max="16157" width="45.5546875" bestFit="1" customWidth="1"/>
    <col min="16158" max="16158" width="15" bestFit="1" customWidth="1"/>
  </cols>
  <sheetData>
    <row r="1" spans="1:27" ht="18" customHeight="1">
      <c r="A1" s="215" t="s">
        <v>325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</row>
    <row r="2" spans="1:27" ht="12.75" customHeight="1" thickBot="1">
      <c r="A2" s="122"/>
      <c r="B2" s="122"/>
      <c r="C2" s="122"/>
      <c r="D2" s="216" t="s">
        <v>254</v>
      </c>
      <c r="E2" s="216"/>
      <c r="F2" s="216"/>
      <c r="G2" s="217" t="s">
        <v>255</v>
      </c>
      <c r="H2" s="218"/>
      <c r="I2" s="218"/>
      <c r="J2" s="218"/>
      <c r="K2" s="218"/>
      <c r="L2" s="219"/>
      <c r="M2" s="220" t="s">
        <v>256</v>
      </c>
      <c r="N2" s="220"/>
      <c r="O2" s="188"/>
      <c r="P2" s="188"/>
      <c r="Q2" s="221" t="s">
        <v>257</v>
      </c>
    </row>
    <row r="3" spans="1:27" ht="53.25" customHeight="1">
      <c r="A3" s="123" t="s">
        <v>258</v>
      </c>
      <c r="B3" s="123" t="s">
        <v>259</v>
      </c>
      <c r="C3" s="123" t="s">
        <v>260</v>
      </c>
      <c r="D3" s="222" t="s">
        <v>293</v>
      </c>
      <c r="E3" s="222"/>
      <c r="F3" s="222"/>
      <c r="G3" s="124" t="s">
        <v>261</v>
      </c>
      <c r="H3" s="123" t="s">
        <v>326</v>
      </c>
      <c r="I3" s="123" t="s">
        <v>294</v>
      </c>
      <c r="J3" s="123" t="s">
        <v>262</v>
      </c>
      <c r="K3" s="123" t="s">
        <v>263</v>
      </c>
      <c r="L3" s="125" t="s">
        <v>264</v>
      </c>
      <c r="M3" s="126" t="s">
        <v>265</v>
      </c>
      <c r="N3" s="127" t="s">
        <v>266</v>
      </c>
      <c r="O3" s="223" t="s">
        <v>327</v>
      </c>
      <c r="P3" s="224"/>
      <c r="Q3" s="221"/>
      <c r="S3" s="26"/>
      <c r="T3" s="27"/>
      <c r="U3" s="28"/>
      <c r="V3" s="28"/>
      <c r="W3" s="225" t="s">
        <v>9</v>
      </c>
      <c r="X3" s="226"/>
    </row>
    <row r="4" spans="1:27">
      <c r="A4" s="128"/>
      <c r="B4" s="128"/>
      <c r="C4" s="128"/>
      <c r="D4" s="129" t="s">
        <v>218</v>
      </c>
      <c r="E4" s="128" t="s">
        <v>219</v>
      </c>
      <c r="F4" s="128" t="s">
        <v>0</v>
      </c>
      <c r="G4" s="130"/>
      <c r="H4" s="128" t="s">
        <v>328</v>
      </c>
      <c r="I4" s="128" t="s">
        <v>329</v>
      </c>
      <c r="J4" s="128" t="s">
        <v>330</v>
      </c>
      <c r="K4" s="128" t="s">
        <v>331</v>
      </c>
      <c r="L4" s="123"/>
      <c r="M4" s="131"/>
      <c r="N4" s="131"/>
      <c r="O4" s="132"/>
      <c r="P4" s="132"/>
      <c r="Q4" s="132"/>
      <c r="S4" s="29"/>
      <c r="T4" s="30"/>
      <c r="U4" s="31"/>
      <c r="V4" s="31" t="s">
        <v>0</v>
      </c>
      <c r="W4" s="31" t="s">
        <v>207</v>
      </c>
      <c r="X4" s="32" t="s">
        <v>211</v>
      </c>
    </row>
    <row r="5" spans="1:27" ht="14.4">
      <c r="A5" s="128"/>
      <c r="B5" s="128"/>
      <c r="C5" s="133"/>
      <c r="D5" s="134" t="s">
        <v>3</v>
      </c>
      <c r="E5" s="128" t="s">
        <v>2</v>
      </c>
      <c r="F5" s="128"/>
      <c r="G5" s="130"/>
      <c r="H5" s="128"/>
      <c r="I5" s="128"/>
      <c r="J5" s="128"/>
      <c r="K5" s="128"/>
      <c r="L5" s="123"/>
      <c r="M5" s="131"/>
      <c r="N5" s="131"/>
      <c r="O5" s="135" t="s">
        <v>2</v>
      </c>
      <c r="P5" s="135" t="s">
        <v>3</v>
      </c>
      <c r="Q5" s="132" t="s">
        <v>0</v>
      </c>
      <c r="S5" s="33" t="s">
        <v>10</v>
      </c>
      <c r="T5" s="34" t="s">
        <v>3</v>
      </c>
      <c r="U5" s="35" t="s">
        <v>2</v>
      </c>
      <c r="V5" s="36"/>
      <c r="W5" s="37"/>
      <c r="X5" s="38"/>
    </row>
    <row r="6" spans="1:27" ht="14.4">
      <c r="A6" s="138">
        <v>1</v>
      </c>
      <c r="B6" s="138" t="s">
        <v>4</v>
      </c>
      <c r="C6" s="227" t="s">
        <v>267</v>
      </c>
      <c r="D6" s="139"/>
      <c r="E6" s="139">
        <v>15050</v>
      </c>
      <c r="F6" s="139">
        <f t="shared" ref="F6:F13" si="0">SUM(D6:E6)</f>
        <v>15050</v>
      </c>
      <c r="G6" s="140">
        <f>F6/26</f>
        <v>578.84615384615381</v>
      </c>
      <c r="H6" s="141">
        <f>$G6*3</f>
        <v>1736.5384615384614</v>
      </c>
      <c r="I6" s="141">
        <f>$G6*6</f>
        <v>3473.0769230769229</v>
      </c>
      <c r="J6" s="141">
        <f>$G6*6</f>
        <v>3473.0769230769229</v>
      </c>
      <c r="K6" s="141">
        <f>$G6*6</f>
        <v>3473.0769230769229</v>
      </c>
      <c r="L6" s="141">
        <f t="shared" ref="L6:L13" si="1">F6</f>
        <v>15050</v>
      </c>
      <c r="M6" s="131"/>
      <c r="N6" s="131"/>
      <c r="O6" s="136">
        <f>L6</f>
        <v>15050</v>
      </c>
      <c r="P6" s="137"/>
      <c r="Q6" s="136">
        <f t="shared" ref="Q6:Q13" si="2">L6+N6</f>
        <v>15050</v>
      </c>
      <c r="S6" s="39" t="s">
        <v>11</v>
      </c>
      <c r="T6" s="40">
        <f>+Q6+Q15+Q12</f>
        <v>26292</v>
      </c>
      <c r="U6" s="41"/>
      <c r="V6" s="42">
        <f t="shared" ref="V6:V16" si="3">+T6</f>
        <v>26292</v>
      </c>
      <c r="W6" s="43">
        <f>+Z6</f>
        <v>19456.080000000002</v>
      </c>
      <c r="X6" s="190">
        <f>+AA6</f>
        <v>6835.92</v>
      </c>
      <c r="Z6" s="191">
        <f>+T6*74/100</f>
        <v>19456.080000000002</v>
      </c>
      <c r="AA6" s="191">
        <f>T6*26/100</f>
        <v>6835.92</v>
      </c>
    </row>
    <row r="7" spans="1:27" ht="14.4">
      <c r="A7" s="138">
        <v>2</v>
      </c>
      <c r="B7" s="138" t="s">
        <v>268</v>
      </c>
      <c r="C7" s="228"/>
      <c r="D7" s="139">
        <v>0</v>
      </c>
      <c r="E7" s="139">
        <v>900</v>
      </c>
      <c r="F7" s="139">
        <f t="shared" si="0"/>
        <v>900</v>
      </c>
      <c r="G7" s="140">
        <f t="shared" ref="G7:G13" si="4">F7/26</f>
        <v>34.615384615384613</v>
      </c>
      <c r="H7" s="141">
        <f t="shared" ref="H7:H13" si="5">$G7*3</f>
        <v>103.84615384615384</v>
      </c>
      <c r="I7" s="141">
        <f t="shared" ref="I7:K13" si="6">$G7*6</f>
        <v>207.69230769230768</v>
      </c>
      <c r="J7" s="141">
        <f t="shared" si="6"/>
        <v>207.69230769230768</v>
      </c>
      <c r="K7" s="141">
        <f t="shared" si="6"/>
        <v>207.69230769230768</v>
      </c>
      <c r="L7" s="141">
        <f t="shared" si="1"/>
        <v>900</v>
      </c>
      <c r="M7" s="131"/>
      <c r="N7" s="131"/>
      <c r="O7" s="132">
        <f>E7</f>
        <v>900</v>
      </c>
      <c r="P7" s="143">
        <f t="shared" ref="P7:P13" si="7">D7</f>
        <v>0</v>
      </c>
      <c r="Q7" s="136">
        <f t="shared" si="2"/>
        <v>900</v>
      </c>
      <c r="S7" s="39" t="s">
        <v>12</v>
      </c>
      <c r="T7" s="44">
        <f>+Q7+Q8+Q9+Q10+Q11</f>
        <v>17688</v>
      </c>
      <c r="U7" s="41"/>
      <c r="V7" s="42">
        <f t="shared" si="3"/>
        <v>17688</v>
      </c>
      <c r="W7" s="43">
        <f>+Z7</f>
        <v>3537.6</v>
      </c>
      <c r="X7" s="190">
        <f>+AA7</f>
        <v>14150.4</v>
      </c>
      <c r="Z7" s="191">
        <f>V7*20/100</f>
        <v>3537.6</v>
      </c>
      <c r="AA7" s="191">
        <f>T7*80/100</f>
        <v>14150.4</v>
      </c>
    </row>
    <row r="8" spans="1:27">
      <c r="A8" s="138">
        <v>3</v>
      </c>
      <c r="B8" s="138" t="s">
        <v>87</v>
      </c>
      <c r="C8" s="228"/>
      <c r="D8" s="139">
        <v>13104</v>
      </c>
      <c r="E8" s="139">
        <v>608</v>
      </c>
      <c r="F8" s="139">
        <f t="shared" si="0"/>
        <v>13712</v>
      </c>
      <c r="G8" s="140">
        <f t="shared" si="4"/>
        <v>527.38461538461536</v>
      </c>
      <c r="H8" s="141">
        <f t="shared" si="5"/>
        <v>1582.1538461538462</v>
      </c>
      <c r="I8" s="141">
        <f t="shared" si="6"/>
        <v>3164.3076923076924</v>
      </c>
      <c r="J8" s="141">
        <f t="shared" si="6"/>
        <v>3164.3076923076924</v>
      </c>
      <c r="K8" s="141">
        <f t="shared" si="6"/>
        <v>3164.3076923076924</v>
      </c>
      <c r="L8" s="141">
        <f t="shared" si="1"/>
        <v>13712</v>
      </c>
      <c r="M8" s="131"/>
      <c r="N8" s="131"/>
      <c r="O8" s="132">
        <f>E8</f>
        <v>608</v>
      </c>
      <c r="P8" s="143">
        <f t="shared" si="7"/>
        <v>13104</v>
      </c>
      <c r="Q8" s="136">
        <f t="shared" si="2"/>
        <v>13712</v>
      </c>
      <c r="S8" s="45" t="s">
        <v>13</v>
      </c>
      <c r="T8" s="46">
        <f>+Q13+Q16</f>
        <v>748</v>
      </c>
      <c r="U8" s="47"/>
      <c r="V8" s="42">
        <f t="shared" si="3"/>
        <v>748</v>
      </c>
      <c r="W8" s="48"/>
      <c r="X8" s="49">
        <f>+V8</f>
        <v>748</v>
      </c>
      <c r="Z8" s="191"/>
      <c r="AA8" s="192">
        <f>T8</f>
        <v>748</v>
      </c>
    </row>
    <row r="9" spans="1:27" ht="14.4">
      <c r="A9" s="138">
        <v>4</v>
      </c>
      <c r="B9" s="138" t="s">
        <v>88</v>
      </c>
      <c r="C9" s="228"/>
      <c r="D9" s="139">
        <v>170</v>
      </c>
      <c r="E9" s="139"/>
      <c r="F9" s="139">
        <f t="shared" si="0"/>
        <v>170</v>
      </c>
      <c r="G9" s="140">
        <f t="shared" si="4"/>
        <v>6.5384615384615383</v>
      </c>
      <c r="H9" s="141">
        <f t="shared" si="5"/>
        <v>19.615384615384613</v>
      </c>
      <c r="I9" s="141">
        <f t="shared" si="6"/>
        <v>39.230769230769226</v>
      </c>
      <c r="J9" s="141">
        <f t="shared" si="6"/>
        <v>39.230769230769226</v>
      </c>
      <c r="K9" s="141">
        <f t="shared" si="6"/>
        <v>39.230769230769226</v>
      </c>
      <c r="L9" s="141">
        <f t="shared" si="1"/>
        <v>170</v>
      </c>
      <c r="M9" s="131"/>
      <c r="N9" s="131"/>
      <c r="O9" s="132"/>
      <c r="P9" s="143">
        <f t="shared" si="7"/>
        <v>170</v>
      </c>
      <c r="Q9" s="136">
        <f t="shared" si="2"/>
        <v>170</v>
      </c>
      <c r="S9" s="39" t="s">
        <v>14</v>
      </c>
      <c r="T9" s="50">
        <f>+Q19</f>
        <v>1231</v>
      </c>
      <c r="U9" s="41"/>
      <c r="V9" s="42">
        <f t="shared" si="3"/>
        <v>1231</v>
      </c>
      <c r="W9" s="42">
        <f>+V9</f>
        <v>1231</v>
      </c>
      <c r="X9" s="190">
        <v>0</v>
      </c>
      <c r="Z9" s="192">
        <f>T9</f>
        <v>1231</v>
      </c>
      <c r="AA9" s="191"/>
    </row>
    <row r="10" spans="1:27" ht="14.4">
      <c r="A10" s="138">
        <v>5</v>
      </c>
      <c r="B10" s="138" t="s">
        <v>269</v>
      </c>
      <c r="C10" s="228"/>
      <c r="D10" s="139">
        <v>0</v>
      </c>
      <c r="E10" s="139">
        <v>800</v>
      </c>
      <c r="F10" s="139">
        <f t="shared" si="0"/>
        <v>800</v>
      </c>
      <c r="G10" s="140">
        <f t="shared" si="4"/>
        <v>30.76923076923077</v>
      </c>
      <c r="H10" s="141">
        <f t="shared" si="5"/>
        <v>92.307692307692307</v>
      </c>
      <c r="I10" s="141">
        <f t="shared" si="6"/>
        <v>184.61538461538461</v>
      </c>
      <c r="J10" s="141">
        <f t="shared" si="6"/>
        <v>184.61538461538461</v>
      </c>
      <c r="K10" s="141">
        <f t="shared" si="6"/>
        <v>184.61538461538461</v>
      </c>
      <c r="L10" s="141">
        <f t="shared" si="1"/>
        <v>800</v>
      </c>
      <c r="M10" s="131"/>
      <c r="N10" s="131"/>
      <c r="O10" s="132">
        <f>E10</f>
        <v>800</v>
      </c>
      <c r="P10" s="143">
        <f t="shared" si="7"/>
        <v>0</v>
      </c>
      <c r="Q10" s="136">
        <f t="shared" si="2"/>
        <v>800</v>
      </c>
      <c r="S10" s="193" t="s">
        <v>200</v>
      </c>
      <c r="T10" s="51">
        <f>+Q17+Q18</f>
        <v>2596</v>
      </c>
      <c r="U10" s="41"/>
      <c r="V10" s="42">
        <f t="shared" si="3"/>
        <v>2596</v>
      </c>
      <c r="W10" s="42"/>
      <c r="X10" s="190">
        <f>+V10</f>
        <v>2596</v>
      </c>
      <c r="Z10" s="191"/>
      <c r="AA10" s="192">
        <f>T10</f>
        <v>2596</v>
      </c>
    </row>
    <row r="11" spans="1:27">
      <c r="A11" s="138">
        <v>6</v>
      </c>
      <c r="B11" s="138" t="s">
        <v>89</v>
      </c>
      <c r="C11" s="228"/>
      <c r="D11" s="139">
        <v>430</v>
      </c>
      <c r="E11" s="139">
        <f>458+1155+63</f>
        <v>1676</v>
      </c>
      <c r="F11" s="139">
        <f t="shared" si="0"/>
        <v>2106</v>
      </c>
      <c r="G11" s="140">
        <f t="shared" si="4"/>
        <v>81</v>
      </c>
      <c r="H11" s="141">
        <f t="shared" si="5"/>
        <v>243</v>
      </c>
      <c r="I11" s="141">
        <f t="shared" si="6"/>
        <v>486</v>
      </c>
      <c r="J11" s="141">
        <f t="shared" si="6"/>
        <v>486</v>
      </c>
      <c r="K11" s="141">
        <f t="shared" si="6"/>
        <v>486</v>
      </c>
      <c r="L11" s="141">
        <f t="shared" si="1"/>
        <v>2106</v>
      </c>
      <c r="M11" s="131"/>
      <c r="N11" s="131"/>
      <c r="O11" s="132">
        <f>E11</f>
        <v>1676</v>
      </c>
      <c r="P11" s="143">
        <f t="shared" si="7"/>
        <v>430</v>
      </c>
      <c r="Q11" s="136">
        <f t="shared" si="2"/>
        <v>2106</v>
      </c>
      <c r="S11" s="39" t="s">
        <v>0</v>
      </c>
      <c r="T11" s="52">
        <f>SUM(T6:T10)</f>
        <v>48555</v>
      </c>
      <c r="U11" s="53">
        <f>SUM(U6:U10)</f>
        <v>0</v>
      </c>
      <c r="V11" s="42">
        <f t="shared" si="3"/>
        <v>48555</v>
      </c>
      <c r="W11" s="54">
        <f>+W6+W7+W8+W9+W10</f>
        <v>24224.68</v>
      </c>
      <c r="X11" s="113">
        <f>+X6+X7+X8+X9+X10</f>
        <v>24330.32</v>
      </c>
      <c r="Y11" s="181"/>
      <c r="Z11" s="191">
        <f>SUM(Z6:Z10)</f>
        <v>24224.68</v>
      </c>
      <c r="AA11" s="191">
        <f>SUM(AA6:AA10)</f>
        <v>24330.32</v>
      </c>
    </row>
    <row r="12" spans="1:27">
      <c r="A12" s="138">
        <v>7</v>
      </c>
      <c r="B12" s="138" t="s">
        <v>90</v>
      </c>
      <c r="C12" s="228"/>
      <c r="D12" s="139">
        <v>336</v>
      </c>
      <c r="E12" s="139"/>
      <c r="F12" s="139">
        <f>SUM(D12:E12)</f>
        <v>336</v>
      </c>
      <c r="G12" s="140">
        <f t="shared" si="4"/>
        <v>12.923076923076923</v>
      </c>
      <c r="H12" s="141">
        <f t="shared" si="5"/>
        <v>38.769230769230774</v>
      </c>
      <c r="I12" s="141">
        <f t="shared" si="6"/>
        <v>77.538461538461547</v>
      </c>
      <c r="J12" s="141">
        <f t="shared" si="6"/>
        <v>77.538461538461547</v>
      </c>
      <c r="K12" s="141">
        <f t="shared" si="6"/>
        <v>77.538461538461547</v>
      </c>
      <c r="L12" s="142">
        <f t="shared" si="1"/>
        <v>336</v>
      </c>
      <c r="M12" s="131"/>
      <c r="N12" s="131"/>
      <c r="O12" s="132"/>
      <c r="P12" s="143">
        <f t="shared" si="7"/>
        <v>336</v>
      </c>
      <c r="Q12" s="136">
        <f t="shared" si="2"/>
        <v>336</v>
      </c>
      <c r="S12" s="39" t="s">
        <v>15</v>
      </c>
      <c r="T12" s="2">
        <f>+Q21+Q22+Q23+Q24+Q25+Q26</f>
        <v>4936</v>
      </c>
      <c r="U12" s="55"/>
      <c r="V12" s="56">
        <f t="shared" si="3"/>
        <v>4936</v>
      </c>
      <c r="W12" s="43"/>
      <c r="X12" s="57"/>
      <c r="Z12" s="191">
        <f>V11/2</f>
        <v>24277.5</v>
      </c>
      <c r="AA12" s="191">
        <f>Z12</f>
        <v>24277.5</v>
      </c>
    </row>
    <row r="13" spans="1:27">
      <c r="A13" s="138">
        <v>8</v>
      </c>
      <c r="B13" s="138" t="s">
        <v>5</v>
      </c>
      <c r="C13" s="228"/>
      <c r="D13" s="139">
        <v>0</v>
      </c>
      <c r="E13" s="139">
        <v>462</v>
      </c>
      <c r="F13" s="139">
        <f t="shared" si="0"/>
        <v>462</v>
      </c>
      <c r="G13" s="140">
        <f t="shared" si="4"/>
        <v>17.76923076923077</v>
      </c>
      <c r="H13" s="141">
        <f t="shared" si="5"/>
        <v>53.307692307692307</v>
      </c>
      <c r="I13" s="141">
        <f t="shared" si="6"/>
        <v>106.61538461538461</v>
      </c>
      <c r="J13" s="141">
        <f t="shared" si="6"/>
        <v>106.61538461538461</v>
      </c>
      <c r="K13" s="141">
        <f t="shared" si="6"/>
        <v>106.61538461538461</v>
      </c>
      <c r="L13" s="142">
        <f t="shared" si="1"/>
        <v>462</v>
      </c>
      <c r="M13" s="131"/>
      <c r="N13" s="131"/>
      <c r="O13" s="132">
        <f>E13</f>
        <v>462</v>
      </c>
      <c r="P13" s="143">
        <f t="shared" si="7"/>
        <v>0</v>
      </c>
      <c r="Q13" s="136">
        <f t="shared" si="2"/>
        <v>462</v>
      </c>
      <c r="S13" s="39" t="s">
        <v>201</v>
      </c>
      <c r="T13" s="83">
        <f>+Q28+Q27</f>
        <v>8970</v>
      </c>
      <c r="V13" s="97">
        <f t="shared" si="3"/>
        <v>8970</v>
      </c>
      <c r="W13" s="58"/>
      <c r="X13" s="57"/>
    </row>
    <row r="14" spans="1:27">
      <c r="A14" s="144"/>
      <c r="B14" s="229" t="s">
        <v>270</v>
      </c>
      <c r="C14" s="230"/>
      <c r="D14" s="187">
        <f t="shared" ref="D14:L14" si="8">SUM(D6:D13)</f>
        <v>14040</v>
      </c>
      <c r="E14" s="187">
        <f t="shared" si="8"/>
        <v>19496</v>
      </c>
      <c r="F14" s="187">
        <f t="shared" si="8"/>
        <v>33536</v>
      </c>
      <c r="G14" s="145">
        <f t="shared" si="8"/>
        <v>1289.8461538461536</v>
      </c>
      <c r="H14" s="145">
        <f t="shared" si="8"/>
        <v>3869.5384615384619</v>
      </c>
      <c r="I14" s="145">
        <f t="shared" si="8"/>
        <v>7739.0769230769238</v>
      </c>
      <c r="J14" s="145">
        <f t="shared" si="8"/>
        <v>7739.0769230769238</v>
      </c>
      <c r="K14" s="145">
        <f t="shared" si="8"/>
        <v>7739.0769230769238</v>
      </c>
      <c r="L14" s="145">
        <f t="shared" si="8"/>
        <v>33536</v>
      </c>
      <c r="M14" s="131"/>
      <c r="N14" s="131"/>
      <c r="O14" s="145">
        <f>SUM(O6:O13)</f>
        <v>19496</v>
      </c>
      <c r="P14" s="145">
        <f>SUM(P6:P13)</f>
        <v>14040</v>
      </c>
      <c r="Q14" s="145">
        <f>SUM(Q6:Q13)</f>
        <v>33536</v>
      </c>
      <c r="S14" s="59" t="s">
        <v>16</v>
      </c>
      <c r="T14" s="60">
        <f>+Q20+Q30+Q31</f>
        <v>5469</v>
      </c>
      <c r="U14" s="54"/>
      <c r="V14" s="61">
        <f t="shared" si="3"/>
        <v>5469</v>
      </c>
      <c r="W14" s="58"/>
      <c r="X14" s="57"/>
    </row>
    <row r="15" spans="1:27">
      <c r="A15" s="146">
        <v>1</v>
      </c>
      <c r="B15" s="146" t="s">
        <v>4</v>
      </c>
      <c r="C15" s="231" t="s">
        <v>271</v>
      </c>
      <c r="D15" s="147"/>
      <c r="E15" s="147">
        <f>25956-15050</f>
        <v>10906</v>
      </c>
      <c r="F15" s="147">
        <f t="shared" ref="F15:F43" si="9">SUM(D15:E15)</f>
        <v>10906</v>
      </c>
      <c r="G15" s="149">
        <f>F15/26+200</f>
        <v>619.46153846153845</v>
      </c>
      <c r="H15" s="149">
        <f>$G15*3</f>
        <v>1858.3846153846152</v>
      </c>
      <c r="I15" s="149">
        <f>$G15*6</f>
        <v>3716.7692307692305</v>
      </c>
      <c r="J15" s="149">
        <f>$G15*6</f>
        <v>3716.7692307692305</v>
      </c>
      <c r="K15" s="149">
        <f>$G15*6</f>
        <v>3716.7692307692305</v>
      </c>
      <c r="L15" s="149">
        <f>F15</f>
        <v>10906</v>
      </c>
      <c r="M15" s="150"/>
      <c r="N15" s="150"/>
      <c r="O15" s="132">
        <f>L15</f>
        <v>10906</v>
      </c>
      <c r="P15" s="137">
        <f>D15</f>
        <v>0</v>
      </c>
      <c r="Q15" s="136">
        <f>L15+N15</f>
        <v>10906</v>
      </c>
      <c r="S15" s="59" t="s">
        <v>217</v>
      </c>
      <c r="T15" s="100">
        <f>+Q29</f>
        <v>350</v>
      </c>
      <c r="U15" s="58"/>
      <c r="V15" s="62">
        <f t="shared" si="3"/>
        <v>350</v>
      </c>
      <c r="W15" s="42"/>
      <c r="X15" s="57"/>
    </row>
    <row r="16" spans="1:27">
      <c r="A16" s="146">
        <v>2</v>
      </c>
      <c r="B16" s="146" t="s">
        <v>6</v>
      </c>
      <c r="C16" s="231"/>
      <c r="D16" s="147"/>
      <c r="E16" s="147">
        <v>286</v>
      </c>
      <c r="F16" s="147">
        <f t="shared" si="9"/>
        <v>286</v>
      </c>
      <c r="G16" s="149">
        <f>F16/26</f>
        <v>11</v>
      </c>
      <c r="H16" s="149">
        <f t="shared" ref="H16:H43" si="10">$G16*3</f>
        <v>33</v>
      </c>
      <c r="I16" s="149">
        <f t="shared" ref="I16:K32" si="11">$G16*6</f>
        <v>66</v>
      </c>
      <c r="J16" s="149">
        <f t="shared" si="11"/>
        <v>66</v>
      </c>
      <c r="K16" s="149">
        <f t="shared" si="11"/>
        <v>66</v>
      </c>
      <c r="L16" s="149">
        <f>F16</f>
        <v>286</v>
      </c>
      <c r="M16" s="150"/>
      <c r="N16" s="150"/>
      <c r="O16" s="132">
        <f>L16</f>
        <v>286</v>
      </c>
      <c r="P16" s="137">
        <f>D16</f>
        <v>0</v>
      </c>
      <c r="Q16" s="136">
        <f>L16+N16</f>
        <v>286</v>
      </c>
      <c r="S16" s="39" t="s">
        <v>17</v>
      </c>
      <c r="T16" s="63">
        <f>+Q32+Q33+Q34+Q35+Q36+Q37+Q38+Q39+Q40</f>
        <v>6860</v>
      </c>
      <c r="U16" s="42"/>
      <c r="V16" s="62">
        <f t="shared" si="3"/>
        <v>6860</v>
      </c>
      <c r="W16" s="58"/>
      <c r="X16" s="57"/>
    </row>
    <row r="17" spans="1:31" ht="13.8" thickBot="1">
      <c r="A17" s="146">
        <v>3</v>
      </c>
      <c r="B17" s="146" t="s">
        <v>272</v>
      </c>
      <c r="C17" s="231"/>
      <c r="D17" s="147">
        <v>1399</v>
      </c>
      <c r="E17" s="147">
        <v>735</v>
      </c>
      <c r="F17" s="147">
        <f>SUM(D17:E17)</f>
        <v>2134</v>
      </c>
      <c r="G17" s="149">
        <f>F17/26</f>
        <v>82.07692307692308</v>
      </c>
      <c r="H17" s="149">
        <f t="shared" si="10"/>
        <v>246.23076923076923</v>
      </c>
      <c r="I17" s="149">
        <f t="shared" si="11"/>
        <v>492.46153846153845</v>
      </c>
      <c r="J17" s="149">
        <f t="shared" si="11"/>
        <v>492.46153846153845</v>
      </c>
      <c r="K17" s="149">
        <f t="shared" si="11"/>
        <v>492.46153846153845</v>
      </c>
      <c r="L17" s="149">
        <f>F17</f>
        <v>2134</v>
      </c>
      <c r="M17" s="150"/>
      <c r="N17" s="150"/>
      <c r="O17" s="132">
        <f>E17</f>
        <v>735</v>
      </c>
      <c r="P17" s="137">
        <f>D17</f>
        <v>1399</v>
      </c>
      <c r="Q17" s="136">
        <f>L17+N17</f>
        <v>2134</v>
      </c>
      <c r="S17" s="64" t="s">
        <v>295</v>
      </c>
      <c r="T17" s="182">
        <f>+Q41+Q42+Q43</f>
        <v>544</v>
      </c>
      <c r="U17" s="65"/>
      <c r="V17" s="66"/>
      <c r="W17" s="65"/>
      <c r="X17" s="67"/>
    </row>
    <row r="18" spans="1:31">
      <c r="A18" s="146">
        <v>4</v>
      </c>
      <c r="B18" s="146" t="s">
        <v>296</v>
      </c>
      <c r="C18" s="231"/>
      <c r="D18" s="147">
        <v>462</v>
      </c>
      <c r="E18" s="147"/>
      <c r="F18" s="147">
        <f>SUM(D18:E18)</f>
        <v>462</v>
      </c>
      <c r="G18" s="149">
        <f>F18/26</f>
        <v>17.76923076923077</v>
      </c>
      <c r="H18" s="149">
        <f t="shared" si="10"/>
        <v>53.307692307692307</v>
      </c>
      <c r="I18" s="149">
        <f t="shared" si="11"/>
        <v>106.61538461538461</v>
      </c>
      <c r="J18" s="149">
        <f t="shared" si="11"/>
        <v>106.61538461538461</v>
      </c>
      <c r="K18" s="149">
        <f t="shared" si="11"/>
        <v>106.61538461538461</v>
      </c>
      <c r="L18" s="149">
        <f>F18</f>
        <v>462</v>
      </c>
      <c r="M18" s="150"/>
      <c r="N18" s="150"/>
      <c r="O18" s="132"/>
      <c r="P18" s="137">
        <f>D18</f>
        <v>462</v>
      </c>
      <c r="Q18" s="136">
        <f>L18+N18</f>
        <v>462</v>
      </c>
    </row>
    <row r="19" spans="1:31">
      <c r="A19" s="146">
        <v>5</v>
      </c>
      <c r="B19" s="146" t="s">
        <v>91</v>
      </c>
      <c r="C19" s="231"/>
      <c r="D19" s="147">
        <v>1231</v>
      </c>
      <c r="E19" s="147"/>
      <c r="F19" s="147">
        <f t="shared" si="9"/>
        <v>1231</v>
      </c>
      <c r="G19" s="149">
        <f>F19/26</f>
        <v>47.346153846153847</v>
      </c>
      <c r="H19" s="149">
        <f t="shared" si="10"/>
        <v>142.03846153846155</v>
      </c>
      <c r="I19" s="149">
        <f t="shared" si="11"/>
        <v>284.07692307692309</v>
      </c>
      <c r="J19" s="149">
        <f t="shared" si="11"/>
        <v>284.07692307692309</v>
      </c>
      <c r="K19" s="149">
        <f t="shared" si="11"/>
        <v>284.07692307692309</v>
      </c>
      <c r="L19" s="149">
        <f>F19</f>
        <v>1231</v>
      </c>
      <c r="M19" s="150"/>
      <c r="N19" s="150"/>
      <c r="O19" s="132">
        <f>E19</f>
        <v>0</v>
      </c>
      <c r="P19" s="137">
        <f>L19</f>
        <v>1231</v>
      </c>
      <c r="Q19" s="136">
        <f>L19+N19</f>
        <v>1231</v>
      </c>
      <c r="T19" s="97"/>
    </row>
    <row r="20" spans="1:31">
      <c r="A20" s="146">
        <v>6</v>
      </c>
      <c r="B20" s="146" t="s">
        <v>8</v>
      </c>
      <c r="C20" s="232"/>
      <c r="D20" s="147">
        <v>3652</v>
      </c>
      <c r="E20" s="147"/>
      <c r="F20" s="147">
        <f t="shared" si="9"/>
        <v>3652</v>
      </c>
      <c r="G20" s="149"/>
      <c r="H20" s="149">
        <f t="shared" si="10"/>
        <v>0</v>
      </c>
      <c r="I20" s="149">
        <f t="shared" si="11"/>
        <v>0</v>
      </c>
      <c r="J20" s="149">
        <f t="shared" si="11"/>
        <v>0</v>
      </c>
      <c r="K20" s="149">
        <f t="shared" si="11"/>
        <v>0</v>
      </c>
      <c r="L20" s="149">
        <v>0</v>
      </c>
      <c r="M20" s="151">
        <f>N20/26</f>
        <v>140.46153846153845</v>
      </c>
      <c r="N20" s="150">
        <f t="shared" ref="N20:N43" si="12">F20</f>
        <v>3652</v>
      </c>
      <c r="O20" s="132"/>
      <c r="P20" s="137">
        <f>D20</f>
        <v>3652</v>
      </c>
      <c r="Q20" s="136">
        <f t="shared" ref="Q20:Q43" si="13">N20</f>
        <v>3652</v>
      </c>
      <c r="T20" s="97"/>
    </row>
    <row r="21" spans="1:31">
      <c r="A21" s="146">
        <v>7</v>
      </c>
      <c r="B21" s="146" t="s">
        <v>92</v>
      </c>
      <c r="C21" s="232"/>
      <c r="D21" s="147">
        <v>3622</v>
      </c>
      <c r="E21" s="147"/>
      <c r="F21" s="147">
        <f t="shared" si="9"/>
        <v>3622</v>
      </c>
      <c r="G21" s="149"/>
      <c r="H21" s="149">
        <f t="shared" si="10"/>
        <v>0</v>
      </c>
      <c r="I21" s="149">
        <f t="shared" si="11"/>
        <v>0</v>
      </c>
      <c r="J21" s="149">
        <f t="shared" si="11"/>
        <v>0</v>
      </c>
      <c r="K21" s="149">
        <f t="shared" si="11"/>
        <v>0</v>
      </c>
      <c r="L21" s="149">
        <v>0</v>
      </c>
      <c r="M21" s="151">
        <f t="shared" ref="M21:M43" si="14">N21/26</f>
        <v>139.30769230769232</v>
      </c>
      <c r="N21" s="150">
        <f t="shared" si="12"/>
        <v>3622</v>
      </c>
      <c r="O21" s="132"/>
      <c r="P21" s="137">
        <f t="shared" ref="P21:P35" si="15">N21</f>
        <v>3622</v>
      </c>
      <c r="Q21" s="136">
        <f t="shared" si="13"/>
        <v>3622</v>
      </c>
      <c r="T21" s="97">
        <f>+T12+T14+T16</f>
        <v>17265</v>
      </c>
    </row>
    <row r="22" spans="1:31">
      <c r="A22" s="146">
        <v>8</v>
      </c>
      <c r="B22" s="146" t="s">
        <v>93</v>
      </c>
      <c r="C22" s="232"/>
      <c r="D22" s="147">
        <v>8</v>
      </c>
      <c r="E22" s="147"/>
      <c r="F22" s="147">
        <f t="shared" si="9"/>
        <v>8</v>
      </c>
      <c r="G22" s="149"/>
      <c r="H22" s="149">
        <f t="shared" si="10"/>
        <v>0</v>
      </c>
      <c r="I22" s="149">
        <f t="shared" si="11"/>
        <v>0</v>
      </c>
      <c r="J22" s="149">
        <f t="shared" si="11"/>
        <v>0</v>
      </c>
      <c r="K22" s="149">
        <f t="shared" si="11"/>
        <v>0</v>
      </c>
      <c r="L22" s="149">
        <v>0</v>
      </c>
      <c r="M22" s="151">
        <f t="shared" si="14"/>
        <v>0.30769230769230771</v>
      </c>
      <c r="N22" s="150">
        <f t="shared" si="12"/>
        <v>8</v>
      </c>
      <c r="O22" s="132"/>
      <c r="P22" s="137">
        <f t="shared" si="15"/>
        <v>8</v>
      </c>
      <c r="Q22" s="136">
        <f t="shared" si="13"/>
        <v>8</v>
      </c>
      <c r="T22" s="97"/>
    </row>
    <row r="23" spans="1:31">
      <c r="A23" s="146">
        <v>9</v>
      </c>
      <c r="B23" s="146" t="s">
        <v>216</v>
      </c>
      <c r="C23" s="232"/>
      <c r="D23" s="147">
        <v>0</v>
      </c>
      <c r="E23" s="147">
        <v>120</v>
      </c>
      <c r="F23" s="147">
        <f t="shared" si="9"/>
        <v>120</v>
      </c>
      <c r="G23" s="149"/>
      <c r="H23" s="149">
        <f t="shared" si="10"/>
        <v>0</v>
      </c>
      <c r="I23" s="149">
        <f t="shared" si="11"/>
        <v>0</v>
      </c>
      <c r="J23" s="149">
        <f t="shared" si="11"/>
        <v>0</v>
      </c>
      <c r="K23" s="149">
        <f t="shared" si="11"/>
        <v>0</v>
      </c>
      <c r="L23" s="149">
        <v>0</v>
      </c>
      <c r="M23" s="151">
        <f t="shared" si="14"/>
        <v>4.615384615384615</v>
      </c>
      <c r="N23" s="150">
        <f t="shared" si="12"/>
        <v>120</v>
      </c>
      <c r="O23" s="132">
        <f>E23</f>
        <v>120</v>
      </c>
      <c r="P23" s="137">
        <v>0</v>
      </c>
      <c r="Q23" s="136">
        <f t="shared" si="13"/>
        <v>120</v>
      </c>
    </row>
    <row r="24" spans="1:31">
      <c r="A24" s="146">
        <v>10</v>
      </c>
      <c r="B24" s="146" t="s">
        <v>94</v>
      </c>
      <c r="C24" s="232"/>
      <c r="D24" s="147">
        <v>293</v>
      </c>
      <c r="E24" s="147"/>
      <c r="F24" s="147">
        <f t="shared" si="9"/>
        <v>293</v>
      </c>
      <c r="G24" s="149"/>
      <c r="H24" s="149">
        <f t="shared" si="10"/>
        <v>0</v>
      </c>
      <c r="I24" s="149">
        <f t="shared" si="11"/>
        <v>0</v>
      </c>
      <c r="J24" s="149">
        <f t="shared" si="11"/>
        <v>0</v>
      </c>
      <c r="K24" s="149">
        <f t="shared" si="11"/>
        <v>0</v>
      </c>
      <c r="L24" s="149">
        <v>0</v>
      </c>
      <c r="M24" s="151">
        <f t="shared" si="14"/>
        <v>11.26923076923077</v>
      </c>
      <c r="N24" s="150">
        <f t="shared" si="12"/>
        <v>293</v>
      </c>
      <c r="O24" s="132"/>
      <c r="P24" s="137">
        <f t="shared" si="15"/>
        <v>293</v>
      </c>
      <c r="Q24" s="136">
        <f t="shared" si="13"/>
        <v>293</v>
      </c>
    </row>
    <row r="25" spans="1:31">
      <c r="A25" s="146">
        <v>11</v>
      </c>
      <c r="B25" s="146" t="s">
        <v>95</v>
      </c>
      <c r="C25" s="232"/>
      <c r="D25" s="147">
        <v>581</v>
      </c>
      <c r="E25" s="147"/>
      <c r="F25" s="147">
        <f t="shared" si="9"/>
        <v>581</v>
      </c>
      <c r="G25" s="149"/>
      <c r="H25" s="149">
        <f t="shared" si="10"/>
        <v>0</v>
      </c>
      <c r="I25" s="149">
        <f t="shared" si="11"/>
        <v>0</v>
      </c>
      <c r="J25" s="149">
        <f t="shared" si="11"/>
        <v>0</v>
      </c>
      <c r="K25" s="149">
        <f t="shared" si="11"/>
        <v>0</v>
      </c>
      <c r="L25" s="149">
        <v>0</v>
      </c>
      <c r="M25" s="151">
        <f t="shared" si="14"/>
        <v>22.346153846153847</v>
      </c>
      <c r="N25" s="150">
        <f t="shared" si="12"/>
        <v>581</v>
      </c>
      <c r="O25" s="132"/>
      <c r="P25" s="137">
        <f t="shared" si="15"/>
        <v>581</v>
      </c>
      <c r="Q25" s="136">
        <f t="shared" si="13"/>
        <v>581</v>
      </c>
    </row>
    <row r="26" spans="1:31" ht="13.8" thickBot="1">
      <c r="A26" s="146">
        <v>12</v>
      </c>
      <c r="B26" s="146" t="s">
        <v>215</v>
      </c>
      <c r="C26" s="232"/>
      <c r="D26" s="147">
        <v>0</v>
      </c>
      <c r="E26" s="147">
        <v>312</v>
      </c>
      <c r="F26" s="147">
        <f t="shared" si="9"/>
        <v>312</v>
      </c>
      <c r="G26" s="149"/>
      <c r="H26" s="149">
        <f t="shared" si="10"/>
        <v>0</v>
      </c>
      <c r="I26" s="149">
        <f t="shared" si="11"/>
        <v>0</v>
      </c>
      <c r="J26" s="149">
        <f t="shared" si="11"/>
        <v>0</v>
      </c>
      <c r="K26" s="149">
        <f t="shared" si="11"/>
        <v>0</v>
      </c>
      <c r="L26" s="149">
        <v>0</v>
      </c>
      <c r="M26" s="151">
        <f t="shared" si="14"/>
        <v>12</v>
      </c>
      <c r="N26" s="150">
        <f t="shared" si="12"/>
        <v>312</v>
      </c>
      <c r="O26" s="132">
        <f>E26</f>
        <v>312</v>
      </c>
      <c r="P26" s="137">
        <v>0</v>
      </c>
      <c r="Q26" s="136">
        <f t="shared" si="13"/>
        <v>312</v>
      </c>
    </row>
    <row r="27" spans="1:31" ht="18.600000000000001" customHeight="1" thickBot="1">
      <c r="A27" s="146">
        <v>13</v>
      </c>
      <c r="B27" s="146" t="s">
        <v>273</v>
      </c>
      <c r="C27" s="232"/>
      <c r="D27" s="147">
        <v>805</v>
      </c>
      <c r="E27" s="147"/>
      <c r="F27" s="147">
        <f t="shared" si="9"/>
        <v>805</v>
      </c>
      <c r="G27" s="149"/>
      <c r="H27" s="149">
        <f t="shared" si="10"/>
        <v>0</v>
      </c>
      <c r="I27" s="149">
        <f t="shared" si="11"/>
        <v>0</v>
      </c>
      <c r="J27" s="149">
        <f t="shared" si="11"/>
        <v>0</v>
      </c>
      <c r="K27" s="149">
        <f t="shared" si="11"/>
        <v>0</v>
      </c>
      <c r="L27" s="149">
        <v>0</v>
      </c>
      <c r="M27" s="151">
        <f t="shared" si="14"/>
        <v>30.96153846153846</v>
      </c>
      <c r="N27" s="150">
        <f t="shared" si="12"/>
        <v>805</v>
      </c>
      <c r="O27" s="132">
        <f>E27</f>
        <v>0</v>
      </c>
      <c r="P27" s="137">
        <f t="shared" si="15"/>
        <v>805</v>
      </c>
      <c r="Q27" s="136">
        <f t="shared" si="13"/>
        <v>805</v>
      </c>
      <c r="AA27" s="208" t="s">
        <v>332</v>
      </c>
      <c r="AB27" s="209"/>
      <c r="AC27" s="209"/>
      <c r="AD27" s="209"/>
      <c r="AE27" s="210"/>
    </row>
    <row r="28" spans="1:31">
      <c r="A28" s="146">
        <v>14</v>
      </c>
      <c r="B28" s="146" t="s">
        <v>274</v>
      </c>
      <c r="C28" s="232"/>
      <c r="D28" s="147">
        <v>8165</v>
      </c>
      <c r="E28" s="147"/>
      <c r="F28" s="147">
        <f t="shared" si="9"/>
        <v>8165</v>
      </c>
      <c r="G28" s="149"/>
      <c r="H28" s="149">
        <f t="shared" si="10"/>
        <v>0</v>
      </c>
      <c r="I28" s="149">
        <f t="shared" si="11"/>
        <v>0</v>
      </c>
      <c r="J28" s="149">
        <f t="shared" si="11"/>
        <v>0</v>
      </c>
      <c r="K28" s="149">
        <f t="shared" si="11"/>
        <v>0</v>
      </c>
      <c r="L28" s="149">
        <v>0</v>
      </c>
      <c r="M28" s="151">
        <f t="shared" si="14"/>
        <v>314.03846153846155</v>
      </c>
      <c r="N28" s="150">
        <f t="shared" si="12"/>
        <v>8165</v>
      </c>
      <c r="O28" s="132">
        <f>E28</f>
        <v>0</v>
      </c>
      <c r="P28" s="137">
        <f t="shared" si="15"/>
        <v>8165</v>
      </c>
      <c r="Q28" s="136">
        <f t="shared" si="13"/>
        <v>8165</v>
      </c>
      <c r="AA28" s="68"/>
      <c r="AB28" s="69"/>
      <c r="AC28" s="69"/>
      <c r="AD28" s="69"/>
      <c r="AE28" s="70"/>
    </row>
    <row r="29" spans="1:31" ht="13.8" thickBot="1">
      <c r="A29" s="146">
        <v>15</v>
      </c>
      <c r="B29" s="146" t="s">
        <v>275</v>
      </c>
      <c r="C29" s="232"/>
      <c r="D29" s="147">
        <v>350</v>
      </c>
      <c r="E29" s="147"/>
      <c r="F29" s="147">
        <f t="shared" si="9"/>
        <v>350</v>
      </c>
      <c r="G29" s="149"/>
      <c r="H29" s="149">
        <f t="shared" si="10"/>
        <v>0</v>
      </c>
      <c r="I29" s="149">
        <f t="shared" si="11"/>
        <v>0</v>
      </c>
      <c r="J29" s="149">
        <f t="shared" si="11"/>
        <v>0</v>
      </c>
      <c r="K29" s="149">
        <f t="shared" si="11"/>
        <v>0</v>
      </c>
      <c r="L29" s="149">
        <v>0</v>
      </c>
      <c r="M29" s="151">
        <f t="shared" si="14"/>
        <v>13.461538461538462</v>
      </c>
      <c r="N29" s="150">
        <f t="shared" si="12"/>
        <v>350</v>
      </c>
      <c r="O29" s="132"/>
      <c r="P29" s="137">
        <f t="shared" si="15"/>
        <v>350</v>
      </c>
      <c r="Q29" s="136">
        <f t="shared" si="13"/>
        <v>350</v>
      </c>
      <c r="AA29" s="68"/>
      <c r="AB29" s="69"/>
      <c r="AC29" s="69"/>
      <c r="AD29" s="69"/>
      <c r="AE29" s="70"/>
    </row>
    <row r="30" spans="1:31">
      <c r="A30" s="146">
        <v>16</v>
      </c>
      <c r="B30" s="146" t="s">
        <v>202</v>
      </c>
      <c r="C30" s="232"/>
      <c r="D30" s="147">
        <v>1813</v>
      </c>
      <c r="E30" s="147"/>
      <c r="F30" s="147">
        <f t="shared" si="9"/>
        <v>1813</v>
      </c>
      <c r="G30" s="149"/>
      <c r="H30" s="149">
        <f t="shared" si="10"/>
        <v>0</v>
      </c>
      <c r="I30" s="149">
        <f t="shared" si="11"/>
        <v>0</v>
      </c>
      <c r="J30" s="149">
        <f t="shared" si="11"/>
        <v>0</v>
      </c>
      <c r="K30" s="149">
        <f t="shared" si="11"/>
        <v>0</v>
      </c>
      <c r="L30" s="149">
        <v>0</v>
      </c>
      <c r="M30" s="151">
        <f t="shared" si="14"/>
        <v>69.730769230769226</v>
      </c>
      <c r="N30" s="150">
        <f t="shared" si="12"/>
        <v>1813</v>
      </c>
      <c r="O30" s="132"/>
      <c r="P30" s="137">
        <f t="shared" si="15"/>
        <v>1813</v>
      </c>
      <c r="Q30" s="136">
        <f t="shared" si="13"/>
        <v>1813</v>
      </c>
      <c r="AA30" s="71"/>
      <c r="AB30" s="69"/>
      <c r="AC30" s="69"/>
      <c r="AD30" s="72" t="s">
        <v>18</v>
      </c>
      <c r="AE30" s="73">
        <v>26</v>
      </c>
    </row>
    <row r="31" spans="1:31">
      <c r="A31" s="146">
        <v>17</v>
      </c>
      <c r="B31" s="146" t="s">
        <v>96</v>
      </c>
      <c r="C31" s="232"/>
      <c r="D31" s="147">
        <v>4</v>
      </c>
      <c r="E31" s="147"/>
      <c r="F31" s="147">
        <f t="shared" si="9"/>
        <v>4</v>
      </c>
      <c r="G31" s="149"/>
      <c r="H31" s="149">
        <f t="shared" si="10"/>
        <v>0</v>
      </c>
      <c r="I31" s="149">
        <f t="shared" si="11"/>
        <v>0</v>
      </c>
      <c r="J31" s="149">
        <f t="shared" si="11"/>
        <v>0</v>
      </c>
      <c r="K31" s="149">
        <f t="shared" si="11"/>
        <v>0</v>
      </c>
      <c r="L31" s="149">
        <v>0</v>
      </c>
      <c r="M31" s="151">
        <f t="shared" si="14"/>
        <v>0.15384615384615385</v>
      </c>
      <c r="N31" s="150">
        <f t="shared" si="12"/>
        <v>4</v>
      </c>
      <c r="O31" s="132"/>
      <c r="P31" s="137">
        <f t="shared" si="15"/>
        <v>4</v>
      </c>
      <c r="Q31" s="136">
        <f t="shared" si="13"/>
        <v>4</v>
      </c>
      <c r="AA31" s="99" t="s">
        <v>19</v>
      </c>
      <c r="AB31" s="84" t="s">
        <v>20</v>
      </c>
      <c r="AC31" s="84" t="s">
        <v>21</v>
      </c>
      <c r="AD31" s="84" t="s">
        <v>22</v>
      </c>
      <c r="AE31" s="98" t="s">
        <v>23</v>
      </c>
    </row>
    <row r="32" spans="1:31" ht="14.4">
      <c r="A32" s="146">
        <v>18</v>
      </c>
      <c r="B32" s="146" t="s">
        <v>214</v>
      </c>
      <c r="C32" s="232"/>
      <c r="D32" s="147">
        <v>0</v>
      </c>
      <c r="E32" s="147">
        <v>232</v>
      </c>
      <c r="F32" s="147">
        <f t="shared" si="9"/>
        <v>232</v>
      </c>
      <c r="G32" s="149"/>
      <c r="H32" s="149">
        <f t="shared" si="10"/>
        <v>0</v>
      </c>
      <c r="I32" s="149">
        <f t="shared" si="11"/>
        <v>0</v>
      </c>
      <c r="J32" s="149">
        <f t="shared" si="11"/>
        <v>0</v>
      </c>
      <c r="K32" s="149">
        <f t="shared" si="11"/>
        <v>0</v>
      </c>
      <c r="L32" s="149">
        <v>0</v>
      </c>
      <c r="M32" s="151">
        <f t="shared" si="14"/>
        <v>8.9230769230769234</v>
      </c>
      <c r="N32" s="150">
        <f t="shared" si="12"/>
        <v>232</v>
      </c>
      <c r="O32" s="132">
        <f>E32</f>
        <v>232</v>
      </c>
      <c r="P32" s="137">
        <v>0</v>
      </c>
      <c r="Q32" s="136">
        <f t="shared" si="13"/>
        <v>232</v>
      </c>
      <c r="AA32" s="211" t="s">
        <v>24</v>
      </c>
      <c r="AB32">
        <v>1502020125</v>
      </c>
      <c r="AC32" t="s">
        <v>244</v>
      </c>
      <c r="AD32" s="194">
        <f>+W7</f>
        <v>3537.6</v>
      </c>
      <c r="AE32" s="195">
        <f>+AD32/$AE$30</f>
        <v>136.06153846153845</v>
      </c>
    </row>
    <row r="33" spans="1:33" ht="14.4">
      <c r="A33" s="146">
        <v>19</v>
      </c>
      <c r="B33" s="146" t="s">
        <v>97</v>
      </c>
      <c r="C33" s="232"/>
      <c r="D33" s="147">
        <v>2504</v>
      </c>
      <c r="E33" s="147"/>
      <c r="F33" s="147">
        <f t="shared" si="9"/>
        <v>2504</v>
      </c>
      <c r="G33" s="149"/>
      <c r="H33" s="149">
        <f t="shared" si="10"/>
        <v>0</v>
      </c>
      <c r="I33" s="149">
        <f t="shared" ref="I33:K43" si="16">$G33*6</f>
        <v>0</v>
      </c>
      <c r="J33" s="149">
        <f t="shared" si="16"/>
        <v>0</v>
      </c>
      <c r="K33" s="149">
        <f t="shared" si="16"/>
        <v>0</v>
      </c>
      <c r="L33" s="149">
        <v>0</v>
      </c>
      <c r="M33" s="151">
        <f t="shared" si="14"/>
        <v>96.307692307692307</v>
      </c>
      <c r="N33" s="150">
        <f t="shared" si="12"/>
        <v>2504</v>
      </c>
      <c r="O33" s="132"/>
      <c r="P33" s="137">
        <f t="shared" si="15"/>
        <v>2504</v>
      </c>
      <c r="Q33" s="136">
        <f t="shared" si="13"/>
        <v>2504</v>
      </c>
      <c r="AA33" s="211"/>
      <c r="AB33" s="74">
        <v>1502020101</v>
      </c>
      <c r="AC33" s="74" t="s">
        <v>25</v>
      </c>
      <c r="AD33" s="75">
        <f>+W9</f>
        <v>1231</v>
      </c>
      <c r="AE33" s="195">
        <f>+AD33/$AE$30</f>
        <v>47.346153846153847</v>
      </c>
    </row>
    <row r="34" spans="1:33" ht="14.4">
      <c r="A34" s="146">
        <v>20</v>
      </c>
      <c r="B34" s="146" t="s">
        <v>203</v>
      </c>
      <c r="C34" s="232"/>
      <c r="D34" s="147">
        <v>0</v>
      </c>
      <c r="E34" s="147"/>
      <c r="F34" s="147">
        <f>SUM(D34:E34)</f>
        <v>0</v>
      </c>
      <c r="G34" s="149"/>
      <c r="H34" s="149">
        <f t="shared" si="10"/>
        <v>0</v>
      </c>
      <c r="I34" s="149">
        <f t="shared" si="16"/>
        <v>0</v>
      </c>
      <c r="J34" s="149">
        <f t="shared" si="16"/>
        <v>0</v>
      </c>
      <c r="K34" s="149">
        <f t="shared" si="16"/>
        <v>0</v>
      </c>
      <c r="L34" s="149">
        <v>0</v>
      </c>
      <c r="M34" s="151">
        <f t="shared" si="14"/>
        <v>0</v>
      </c>
      <c r="N34" s="150">
        <f t="shared" si="12"/>
        <v>0</v>
      </c>
      <c r="O34" s="132">
        <f>E34</f>
        <v>0</v>
      </c>
      <c r="P34" s="137">
        <f t="shared" si="15"/>
        <v>0</v>
      </c>
      <c r="Q34" s="136">
        <f t="shared" si="13"/>
        <v>0</v>
      </c>
      <c r="AA34" s="211"/>
      <c r="AB34" s="74">
        <v>1502020104</v>
      </c>
      <c r="AC34" s="74" t="s">
        <v>26</v>
      </c>
      <c r="AD34" s="76">
        <f>+W6</f>
        <v>19456.080000000002</v>
      </c>
      <c r="AE34" s="195">
        <f>+AD34/$AE$30</f>
        <v>748.31076923076932</v>
      </c>
    </row>
    <row r="35" spans="1:33">
      <c r="A35" s="146">
        <v>21</v>
      </c>
      <c r="B35" s="146" t="s">
        <v>297</v>
      </c>
      <c r="C35" s="232"/>
      <c r="D35" s="147">
        <v>48</v>
      </c>
      <c r="E35" s="147"/>
      <c r="F35" s="147">
        <f t="shared" si="9"/>
        <v>48</v>
      </c>
      <c r="G35" s="149"/>
      <c r="H35" s="149">
        <f t="shared" si="10"/>
        <v>0</v>
      </c>
      <c r="I35" s="149">
        <f t="shared" si="16"/>
        <v>0</v>
      </c>
      <c r="J35" s="149">
        <f t="shared" si="16"/>
        <v>0</v>
      </c>
      <c r="K35" s="149">
        <f t="shared" si="16"/>
        <v>0</v>
      </c>
      <c r="L35" s="149">
        <v>0</v>
      </c>
      <c r="M35" s="151">
        <f t="shared" si="14"/>
        <v>1.8461538461538463</v>
      </c>
      <c r="N35" s="150">
        <f t="shared" si="12"/>
        <v>48</v>
      </c>
      <c r="O35" s="132"/>
      <c r="P35" s="137">
        <f t="shared" si="15"/>
        <v>48</v>
      </c>
      <c r="Q35" s="136">
        <f t="shared" si="13"/>
        <v>48</v>
      </c>
      <c r="AA35" s="101"/>
      <c r="AB35" s="102"/>
      <c r="AC35" s="102" t="s">
        <v>0</v>
      </c>
      <c r="AD35" s="78">
        <f>SUM(AD32:AD34)</f>
        <v>24224.68</v>
      </c>
      <c r="AE35" s="78">
        <f>SUM(AE32:AE34)</f>
        <v>931.71846153846161</v>
      </c>
      <c r="AG35" s="196"/>
    </row>
    <row r="36" spans="1:33" ht="14.4">
      <c r="A36" s="146">
        <v>22</v>
      </c>
      <c r="B36" s="146" t="s">
        <v>298</v>
      </c>
      <c r="C36" s="232"/>
      <c r="D36" s="147">
        <v>570</v>
      </c>
      <c r="E36" s="147"/>
      <c r="F36" s="147">
        <f>SUM(D36:E36)</f>
        <v>570</v>
      </c>
      <c r="G36" s="149"/>
      <c r="H36" s="149">
        <f t="shared" si="10"/>
        <v>0</v>
      </c>
      <c r="I36" s="149">
        <f t="shared" si="16"/>
        <v>0</v>
      </c>
      <c r="J36" s="149">
        <f t="shared" si="16"/>
        <v>0</v>
      </c>
      <c r="K36" s="149">
        <f t="shared" si="16"/>
        <v>0</v>
      </c>
      <c r="L36" s="149">
        <v>0</v>
      </c>
      <c r="M36" s="151">
        <f t="shared" si="14"/>
        <v>21.923076923076923</v>
      </c>
      <c r="N36" s="150">
        <f t="shared" si="12"/>
        <v>570</v>
      </c>
      <c r="O36" s="132"/>
      <c r="P36" s="137">
        <f>N36</f>
        <v>570</v>
      </c>
      <c r="Q36" s="136">
        <f t="shared" si="13"/>
        <v>570</v>
      </c>
      <c r="AA36" s="212" t="s">
        <v>27</v>
      </c>
      <c r="AB36" s="197">
        <v>1502020074</v>
      </c>
      <c r="AC36" s="197" t="s">
        <v>28</v>
      </c>
      <c r="AD36" s="79">
        <f>+T12</f>
        <v>4936</v>
      </c>
      <c r="AE36" s="195">
        <f>+AD36/$AE$30</f>
        <v>189.84615384615384</v>
      </c>
    </row>
    <row r="37" spans="1:33" ht="14.4">
      <c r="A37" s="146">
        <v>23</v>
      </c>
      <c r="B37" s="146" t="s">
        <v>213</v>
      </c>
      <c r="C37" s="232"/>
      <c r="D37" s="147">
        <v>0</v>
      </c>
      <c r="E37" s="147">
        <v>80</v>
      </c>
      <c r="F37" s="147">
        <f>SUM(D37:E37)</f>
        <v>80</v>
      </c>
      <c r="G37" s="149"/>
      <c r="H37" s="149">
        <f t="shared" si="10"/>
        <v>0</v>
      </c>
      <c r="I37" s="149">
        <f t="shared" si="16"/>
        <v>0</v>
      </c>
      <c r="J37" s="149">
        <f t="shared" si="16"/>
        <v>0</v>
      </c>
      <c r="K37" s="149">
        <f t="shared" si="16"/>
        <v>0</v>
      </c>
      <c r="L37" s="149">
        <v>0</v>
      </c>
      <c r="M37" s="151">
        <f t="shared" si="14"/>
        <v>3.0769230769230771</v>
      </c>
      <c r="N37" s="150">
        <f t="shared" si="12"/>
        <v>80</v>
      </c>
      <c r="O37" s="132">
        <f>E37</f>
        <v>80</v>
      </c>
      <c r="P37" s="137">
        <v>0</v>
      </c>
      <c r="Q37" s="136">
        <f t="shared" si="13"/>
        <v>80</v>
      </c>
      <c r="AA37" s="212"/>
      <c r="AB37" s="1">
        <v>1502020122</v>
      </c>
      <c r="AC37" s="1" t="s">
        <v>70</v>
      </c>
      <c r="AD37" s="79">
        <f>+T13</f>
        <v>8970</v>
      </c>
      <c r="AE37" s="195">
        <f>+AD37/$AE$30</f>
        <v>345</v>
      </c>
    </row>
    <row r="38" spans="1:33">
      <c r="A38" s="146">
        <v>24</v>
      </c>
      <c r="B38" s="146" t="s">
        <v>212</v>
      </c>
      <c r="C38" s="232"/>
      <c r="D38" s="147">
        <v>0</v>
      </c>
      <c r="E38" s="147"/>
      <c r="F38" s="147">
        <f>SUM(D38:E38)</f>
        <v>0</v>
      </c>
      <c r="G38" s="149"/>
      <c r="H38" s="149">
        <f t="shared" si="10"/>
        <v>0</v>
      </c>
      <c r="I38" s="149">
        <f t="shared" si="16"/>
        <v>0</v>
      </c>
      <c r="J38" s="149">
        <f t="shared" si="16"/>
        <v>0</v>
      </c>
      <c r="K38" s="149">
        <f t="shared" si="16"/>
        <v>0</v>
      </c>
      <c r="L38" s="149">
        <f>SUM(H38:K38)*0.963</f>
        <v>0</v>
      </c>
      <c r="M38" s="151">
        <f t="shared" si="14"/>
        <v>0</v>
      </c>
      <c r="N38" s="150">
        <f t="shared" si="12"/>
        <v>0</v>
      </c>
      <c r="O38" s="132">
        <f>E38</f>
        <v>0</v>
      </c>
      <c r="P38" s="137">
        <f t="shared" ref="P38:P43" si="17">D38</f>
        <v>0</v>
      </c>
      <c r="Q38" s="136">
        <f>L38+N38</f>
        <v>0</v>
      </c>
      <c r="AA38" s="101"/>
      <c r="AB38" s="102"/>
      <c r="AC38" s="102"/>
      <c r="AD38" s="78">
        <f>+AD37+AD36</f>
        <v>13906</v>
      </c>
      <c r="AE38" s="95">
        <f>+AE36+AE37</f>
        <v>534.84615384615381</v>
      </c>
    </row>
    <row r="39" spans="1:33" ht="14.4">
      <c r="A39" s="146">
        <v>25</v>
      </c>
      <c r="B39" s="146" t="s">
        <v>7</v>
      </c>
      <c r="C39" s="232"/>
      <c r="D39" s="147">
        <v>3206</v>
      </c>
      <c r="E39" s="147">
        <v>120</v>
      </c>
      <c r="F39" s="147">
        <f>SUM(D39:E39)</f>
        <v>3326</v>
      </c>
      <c r="G39" s="149"/>
      <c r="H39" s="149">
        <f t="shared" si="10"/>
        <v>0</v>
      </c>
      <c r="I39" s="149">
        <f t="shared" si="16"/>
        <v>0</v>
      </c>
      <c r="J39" s="149">
        <f t="shared" si="16"/>
        <v>0</v>
      </c>
      <c r="K39" s="149">
        <f t="shared" si="16"/>
        <v>0</v>
      </c>
      <c r="L39" s="149">
        <v>0</v>
      </c>
      <c r="M39" s="151">
        <f t="shared" si="14"/>
        <v>127.92307692307692</v>
      </c>
      <c r="N39" s="150">
        <f t="shared" si="12"/>
        <v>3326</v>
      </c>
      <c r="O39" s="132">
        <f>E39</f>
        <v>120</v>
      </c>
      <c r="P39" s="137">
        <f t="shared" si="17"/>
        <v>3206</v>
      </c>
      <c r="Q39" s="136">
        <f t="shared" si="13"/>
        <v>3326</v>
      </c>
      <c r="AA39" s="213" t="s">
        <v>29</v>
      </c>
      <c r="AB39" s="74">
        <v>1502020102</v>
      </c>
      <c r="AC39" s="74" t="s">
        <v>30</v>
      </c>
      <c r="AD39" s="79">
        <f>+T14</f>
        <v>5469</v>
      </c>
      <c r="AE39" s="195">
        <f>+AD39/$AE$30</f>
        <v>210.34615384615384</v>
      </c>
    </row>
    <row r="40" spans="1:33" ht="14.4">
      <c r="A40" s="146">
        <v>26</v>
      </c>
      <c r="B40" s="146" t="s">
        <v>99</v>
      </c>
      <c r="C40" s="233"/>
      <c r="D40" s="147">
        <v>100</v>
      </c>
      <c r="E40" s="147"/>
      <c r="F40" s="147">
        <f t="shared" si="9"/>
        <v>100</v>
      </c>
      <c r="G40" s="149"/>
      <c r="H40" s="149">
        <f t="shared" si="10"/>
        <v>0</v>
      </c>
      <c r="I40" s="149">
        <f t="shared" si="16"/>
        <v>0</v>
      </c>
      <c r="J40" s="149">
        <f t="shared" si="16"/>
        <v>0</v>
      </c>
      <c r="K40" s="149">
        <f t="shared" si="16"/>
        <v>0</v>
      </c>
      <c r="L40" s="149">
        <v>0</v>
      </c>
      <c r="M40" s="151">
        <f t="shared" si="14"/>
        <v>3.8461538461538463</v>
      </c>
      <c r="N40" s="150">
        <f t="shared" si="12"/>
        <v>100</v>
      </c>
      <c r="O40" s="132">
        <f>E40</f>
        <v>0</v>
      </c>
      <c r="P40" s="137">
        <f t="shared" si="17"/>
        <v>100</v>
      </c>
      <c r="Q40" s="136">
        <f t="shared" si="13"/>
        <v>100</v>
      </c>
      <c r="AA40" s="214"/>
      <c r="AB40" s="74">
        <v>1502020117</v>
      </c>
      <c r="AC40" s="74" t="s">
        <v>210</v>
      </c>
      <c r="AD40" s="79">
        <f>+T15</f>
        <v>350</v>
      </c>
      <c r="AE40" s="195">
        <f>+AD40/$AE$30</f>
        <v>13.461538461538462</v>
      </c>
    </row>
    <row r="41" spans="1:33">
      <c r="A41" s="146">
        <v>27</v>
      </c>
      <c r="B41" s="146" t="s">
        <v>204</v>
      </c>
      <c r="C41" s="189"/>
      <c r="D41" s="147">
        <v>498</v>
      </c>
      <c r="E41" s="147"/>
      <c r="F41" s="147">
        <f t="shared" si="9"/>
        <v>498</v>
      </c>
      <c r="G41" s="149"/>
      <c r="H41" s="149">
        <f t="shared" si="10"/>
        <v>0</v>
      </c>
      <c r="I41" s="149">
        <f t="shared" si="16"/>
        <v>0</v>
      </c>
      <c r="J41" s="149">
        <f t="shared" si="16"/>
        <v>0</v>
      </c>
      <c r="K41" s="149">
        <f t="shared" si="16"/>
        <v>0</v>
      </c>
      <c r="L41" s="149">
        <v>0</v>
      </c>
      <c r="M41" s="151">
        <f t="shared" si="14"/>
        <v>19.153846153846153</v>
      </c>
      <c r="N41" s="150">
        <f t="shared" si="12"/>
        <v>498</v>
      </c>
      <c r="O41" s="132">
        <f>E41</f>
        <v>0</v>
      </c>
      <c r="P41" s="137">
        <f t="shared" si="17"/>
        <v>498</v>
      </c>
      <c r="Q41" s="136">
        <f t="shared" si="13"/>
        <v>498</v>
      </c>
      <c r="AA41" s="101"/>
      <c r="AB41" s="102"/>
      <c r="AC41" s="102"/>
      <c r="AD41" s="78">
        <f>+AD40+AD39</f>
        <v>5819</v>
      </c>
      <c r="AE41" s="95">
        <f>+AE40+AE39</f>
        <v>223.80769230769229</v>
      </c>
    </row>
    <row r="42" spans="1:33" ht="14.4">
      <c r="A42" s="146">
        <v>28</v>
      </c>
      <c r="B42" s="146" t="s">
        <v>205</v>
      </c>
      <c r="C42" s="189"/>
      <c r="D42" s="147">
        <v>7</v>
      </c>
      <c r="E42" s="147"/>
      <c r="F42" s="147">
        <f>SUM(D42:E42)</f>
        <v>7</v>
      </c>
      <c r="G42" s="149"/>
      <c r="H42" s="149">
        <f t="shared" si="10"/>
        <v>0</v>
      </c>
      <c r="I42" s="149">
        <f t="shared" si="16"/>
        <v>0</v>
      </c>
      <c r="J42" s="149">
        <f t="shared" si="16"/>
        <v>0</v>
      </c>
      <c r="K42" s="149">
        <f t="shared" si="16"/>
        <v>0</v>
      </c>
      <c r="L42" s="149">
        <v>0</v>
      </c>
      <c r="M42" s="151">
        <f t="shared" si="14"/>
        <v>0.26923076923076922</v>
      </c>
      <c r="N42" s="150">
        <f t="shared" si="12"/>
        <v>7</v>
      </c>
      <c r="O42" s="132"/>
      <c r="P42" s="137">
        <f t="shared" si="17"/>
        <v>7</v>
      </c>
      <c r="Q42" s="136">
        <f>N42</f>
        <v>7</v>
      </c>
      <c r="AA42" s="213" t="s">
        <v>31</v>
      </c>
      <c r="AB42" s="80">
        <v>1502040267</v>
      </c>
      <c r="AC42" s="80" t="s">
        <v>32</v>
      </c>
      <c r="AD42" s="75">
        <f>+T11+T12+T14+T16</f>
        <v>65820</v>
      </c>
      <c r="AE42" s="195">
        <f>+AD42/$AE$30</f>
        <v>2531.5384615384614</v>
      </c>
    </row>
    <row r="43" spans="1:33" ht="14.4">
      <c r="A43" s="146">
        <v>29</v>
      </c>
      <c r="B43" s="146" t="s">
        <v>299</v>
      </c>
      <c r="C43" s="189"/>
      <c r="D43" s="147">
        <v>39</v>
      </c>
      <c r="E43" s="147"/>
      <c r="F43" s="147">
        <f t="shared" si="9"/>
        <v>39</v>
      </c>
      <c r="G43" s="149"/>
      <c r="H43" s="149">
        <f t="shared" si="10"/>
        <v>0</v>
      </c>
      <c r="I43" s="149">
        <f t="shared" si="16"/>
        <v>0</v>
      </c>
      <c r="J43" s="149">
        <f t="shared" si="16"/>
        <v>0</v>
      </c>
      <c r="K43" s="149">
        <f t="shared" si="16"/>
        <v>0</v>
      </c>
      <c r="L43" s="149">
        <v>0</v>
      </c>
      <c r="M43" s="151">
        <f t="shared" si="14"/>
        <v>1.5</v>
      </c>
      <c r="N43" s="150">
        <f t="shared" si="12"/>
        <v>39</v>
      </c>
      <c r="O43" s="132"/>
      <c r="P43" s="137">
        <f t="shared" si="17"/>
        <v>39</v>
      </c>
      <c r="Q43" s="136">
        <f t="shared" si="13"/>
        <v>39</v>
      </c>
      <c r="AA43" s="234"/>
      <c r="AB43">
        <v>1502040322</v>
      </c>
      <c r="AC43" t="s">
        <v>250</v>
      </c>
      <c r="AD43" s="194">
        <f>+T10+T13+T15</f>
        <v>11916</v>
      </c>
      <c r="AE43" s="195">
        <f>+AD43/$AE$30</f>
        <v>458.30769230769232</v>
      </c>
    </row>
    <row r="44" spans="1:33" ht="14.4">
      <c r="A44" s="154"/>
      <c r="B44" s="235" t="s">
        <v>276</v>
      </c>
      <c r="C44" s="235"/>
      <c r="D44" s="187">
        <f>SUM(D15:D43)</f>
        <v>29357</v>
      </c>
      <c r="E44" s="187">
        <f>SUM(E15:E43)</f>
        <v>12791</v>
      </c>
      <c r="F44" s="187">
        <f>SUM(F15:F24)</f>
        <v>22714</v>
      </c>
      <c r="G44" s="145">
        <f t="shared" ref="G44:Q44" si="18">SUM(G15:G43)</f>
        <v>777.65384615384608</v>
      </c>
      <c r="H44" s="145">
        <f t="shared" si="18"/>
        <v>2332.9615384615381</v>
      </c>
      <c r="I44" s="145">
        <f t="shared" si="18"/>
        <v>4665.9230769230762</v>
      </c>
      <c r="J44" s="145">
        <f t="shared" si="18"/>
        <v>4665.9230769230762</v>
      </c>
      <c r="K44" s="145">
        <f t="shared" si="18"/>
        <v>4665.9230769230762</v>
      </c>
      <c r="L44" s="145">
        <f t="shared" si="18"/>
        <v>15019</v>
      </c>
      <c r="M44" s="155">
        <f t="shared" si="18"/>
        <v>1043.4230769230767</v>
      </c>
      <c r="N44" s="155">
        <f t="shared" si="18"/>
        <v>27129</v>
      </c>
      <c r="O44" s="155">
        <f t="shared" si="18"/>
        <v>12791</v>
      </c>
      <c r="P44" s="156">
        <f t="shared" si="18"/>
        <v>29357</v>
      </c>
      <c r="Q44" s="145">
        <f t="shared" si="18"/>
        <v>42148</v>
      </c>
      <c r="AA44" s="214"/>
      <c r="AB44" s="74">
        <v>1502040202</v>
      </c>
      <c r="AC44" s="74" t="s">
        <v>33</v>
      </c>
      <c r="AD44" s="79">
        <v>0</v>
      </c>
      <c r="AE44" s="195">
        <f>+AD44/$AE$30</f>
        <v>0</v>
      </c>
    </row>
    <row r="45" spans="1:33">
      <c r="A45" s="157"/>
      <c r="B45" s="236" t="s">
        <v>1</v>
      </c>
      <c r="C45" s="236"/>
      <c r="D45" s="187">
        <f>D44+D14</f>
        <v>43397</v>
      </c>
      <c r="E45" s="187">
        <f>E44+E14</f>
        <v>32287</v>
      </c>
      <c r="F45" s="187">
        <f>D45+E45</f>
        <v>75684</v>
      </c>
      <c r="G45" s="145">
        <f t="shared" ref="G45:Q45" si="19">G44+G14</f>
        <v>2067.4999999999995</v>
      </c>
      <c r="H45" s="145">
        <f t="shared" si="19"/>
        <v>6202.5</v>
      </c>
      <c r="I45" s="145">
        <f t="shared" si="19"/>
        <v>12405</v>
      </c>
      <c r="J45" s="145">
        <f t="shared" si="19"/>
        <v>12405</v>
      </c>
      <c r="K45" s="145">
        <f t="shared" si="19"/>
        <v>12405</v>
      </c>
      <c r="L45" s="145">
        <f t="shared" si="19"/>
        <v>48555</v>
      </c>
      <c r="M45" s="155">
        <f t="shared" si="19"/>
        <v>1043.4230769230767</v>
      </c>
      <c r="N45" s="155">
        <f t="shared" si="19"/>
        <v>27129</v>
      </c>
      <c r="O45" s="155">
        <f t="shared" si="19"/>
        <v>32287</v>
      </c>
      <c r="P45" s="156">
        <f t="shared" si="19"/>
        <v>43397</v>
      </c>
      <c r="Q45" s="145">
        <f t="shared" si="19"/>
        <v>75684</v>
      </c>
      <c r="AA45" s="101"/>
      <c r="AB45" s="102"/>
      <c r="AC45" s="102"/>
      <c r="AD45" s="78">
        <f>+AD44+AD43+AD42</f>
        <v>77736</v>
      </c>
      <c r="AE45" s="95">
        <f>SUM(AE42:AE44)</f>
        <v>2989.8461538461538</v>
      </c>
    </row>
    <row r="46" spans="1:33" ht="14.4">
      <c r="A46" s="158"/>
      <c r="B46" s="159"/>
      <c r="C46" s="160"/>
      <c r="D46" s="161"/>
      <c r="E46" s="161"/>
      <c r="F46" s="159"/>
      <c r="G46" s="162"/>
      <c r="H46" s="162"/>
      <c r="I46" s="162"/>
      <c r="J46" s="162"/>
      <c r="K46" s="162"/>
      <c r="L46" s="162"/>
      <c r="AA46" s="237" t="s">
        <v>34</v>
      </c>
      <c r="AB46" s="74">
        <v>1502010011</v>
      </c>
      <c r="AC46" s="74" t="s">
        <v>35</v>
      </c>
      <c r="AD46" s="79">
        <f>+T11*2</f>
        <v>97110</v>
      </c>
      <c r="AE46" s="195">
        <f>+AD46/$AE$30</f>
        <v>3735</v>
      </c>
    </row>
    <row r="47" spans="1:33" ht="14.4">
      <c r="A47" s="157"/>
      <c r="B47" s="186" t="s">
        <v>277</v>
      </c>
      <c r="C47" s="147"/>
      <c r="D47" s="147"/>
      <c r="E47" s="147">
        <v>1822</v>
      </c>
      <c r="F47" s="163">
        <f>SUM(D47:E47)</f>
        <v>1822</v>
      </c>
      <c r="G47" s="148">
        <f>F47/26</f>
        <v>70.07692307692308</v>
      </c>
      <c r="H47" s="149"/>
      <c r="I47" s="149"/>
      <c r="J47" s="149"/>
      <c r="K47" s="149"/>
      <c r="L47" s="149"/>
      <c r="M47" s="1"/>
      <c r="N47" s="164">
        <f>F47</f>
        <v>1822</v>
      </c>
      <c r="O47" s="132">
        <f>E47</f>
        <v>1822</v>
      </c>
      <c r="P47" s="137">
        <f>D47</f>
        <v>0</v>
      </c>
      <c r="Q47" s="165">
        <f>N47</f>
        <v>1822</v>
      </c>
      <c r="AA47" s="238"/>
      <c r="AB47" s="74">
        <v>1502040216</v>
      </c>
      <c r="AC47" s="74" t="s">
        <v>36</v>
      </c>
      <c r="AD47" s="79">
        <f>+T6+T7+T8+T9</f>
        <v>45959</v>
      </c>
      <c r="AE47" s="195">
        <f t="shared" ref="AE47:AE70" si="20">+AD47/$AE$30</f>
        <v>1767.6538461538462</v>
      </c>
    </row>
    <row r="48" spans="1:33" ht="14.4">
      <c r="A48" s="166"/>
      <c r="B48" s="167"/>
      <c r="C48" s="168"/>
      <c r="D48" s="169"/>
      <c r="E48" s="169"/>
      <c r="F48" s="167"/>
      <c r="G48" s="162"/>
      <c r="H48" s="162"/>
      <c r="I48" s="162"/>
      <c r="J48" s="162"/>
      <c r="K48" s="162"/>
      <c r="L48" s="162"/>
      <c r="P48" s="198" t="s">
        <v>0</v>
      </c>
      <c r="Q48" s="199">
        <f>Q45+Q47</f>
        <v>77506</v>
      </c>
      <c r="AA48" s="238"/>
      <c r="AB48" s="201">
        <v>1502040233</v>
      </c>
      <c r="AC48" s="201" t="s">
        <v>37</v>
      </c>
      <c r="AD48" s="202">
        <f>+T12+T14+T16</f>
        <v>17265</v>
      </c>
      <c r="AE48" s="203">
        <f t="shared" si="20"/>
        <v>664.03846153846155</v>
      </c>
    </row>
    <row r="49" spans="1:31" ht="14.4">
      <c r="A49" s="158"/>
      <c r="B49" s="159"/>
      <c r="C49" s="160"/>
      <c r="D49" s="161"/>
      <c r="E49" s="161"/>
      <c r="F49" s="187"/>
      <c r="G49" s="170"/>
      <c r="I49" s="240" t="s">
        <v>278</v>
      </c>
      <c r="J49" s="241"/>
      <c r="M49" s="242" t="s">
        <v>279</v>
      </c>
      <c r="N49" s="242"/>
      <c r="AA49" s="238"/>
      <c r="AB49" s="1">
        <v>1502040217</v>
      </c>
      <c r="AC49" s="1" t="s">
        <v>98</v>
      </c>
      <c r="AD49" s="79">
        <f>+T10</f>
        <v>2596</v>
      </c>
      <c r="AE49" s="195">
        <f t="shared" si="20"/>
        <v>99.84615384615384</v>
      </c>
    </row>
    <row r="50" spans="1:31" ht="14.4">
      <c r="A50" s="1"/>
      <c r="B50" s="1"/>
      <c r="C50" s="171" t="s">
        <v>280</v>
      </c>
      <c r="D50" s="152" t="s">
        <v>281</v>
      </c>
      <c r="E50" s="152" t="s">
        <v>282</v>
      </c>
      <c r="F50" s="152" t="s">
        <v>283</v>
      </c>
      <c r="G50" s="132" t="s">
        <v>284</v>
      </c>
      <c r="I50" s="172" t="s">
        <v>285</v>
      </c>
      <c r="J50" s="153">
        <v>40</v>
      </c>
      <c r="M50" s="152" t="s">
        <v>253</v>
      </c>
      <c r="N50" s="173">
        <v>2042</v>
      </c>
      <c r="AA50" s="238"/>
      <c r="AB50" s="21">
        <v>1502040271</v>
      </c>
      <c r="AC50" s="21" t="s">
        <v>38</v>
      </c>
      <c r="AD50" s="79">
        <f>+T13+T15</f>
        <v>9320</v>
      </c>
      <c r="AE50" s="195">
        <f t="shared" si="20"/>
        <v>358.46153846153845</v>
      </c>
    </row>
    <row r="51" spans="1:31" ht="14.4">
      <c r="A51" s="1"/>
      <c r="B51" s="1" t="s">
        <v>286</v>
      </c>
      <c r="C51" s="174">
        <f>Q47</f>
        <v>1822</v>
      </c>
      <c r="D51" s="153">
        <f>L13+L16</f>
        <v>748</v>
      </c>
      <c r="E51" s="153">
        <f>L6+L7+L15+N15+N32+N26+L8+L10+N23+N34+N37+L9+L11+N21+N22+N24+N30+N31+N33+L12</f>
        <v>52968</v>
      </c>
      <c r="F51" s="153">
        <f>L40+N40+N39+N20+L19+N25+N38</f>
        <v>8890</v>
      </c>
      <c r="G51" s="153">
        <f>N28+L17+N41+N43+N29+N42+N27+N35+N36+L18</f>
        <v>13078</v>
      </c>
      <c r="H51" s="175"/>
      <c r="I51" s="176" t="s">
        <v>287</v>
      </c>
      <c r="J51" s="153">
        <v>2410</v>
      </c>
      <c r="M51" s="152" t="s">
        <v>288</v>
      </c>
      <c r="N51" s="177">
        <v>720</v>
      </c>
      <c r="AA51" s="239"/>
      <c r="AB51" s="1">
        <v>1502040307</v>
      </c>
      <c r="AC51" s="1" t="s">
        <v>209</v>
      </c>
      <c r="AD51" s="79">
        <f>+T17</f>
        <v>544</v>
      </c>
      <c r="AE51" s="195">
        <f t="shared" si="20"/>
        <v>20.923076923076923</v>
      </c>
    </row>
    <row r="52" spans="1:31">
      <c r="A52" s="1"/>
      <c r="B52" s="170" t="s">
        <v>289</v>
      </c>
      <c r="C52" s="153">
        <f>C51/C53</f>
        <v>70.07692307692308</v>
      </c>
      <c r="D52" s="153">
        <f>D51/D53</f>
        <v>28.76923076923077</v>
      </c>
      <c r="E52" s="153">
        <f>E51/E53</f>
        <v>2037.2307692307693</v>
      </c>
      <c r="F52" s="153">
        <f>F51/F53</f>
        <v>341.92307692307691</v>
      </c>
      <c r="G52" s="153">
        <f>G51/G53</f>
        <v>503</v>
      </c>
      <c r="H52" s="175"/>
      <c r="I52" s="176" t="s">
        <v>290</v>
      </c>
      <c r="J52" s="153">
        <v>350</v>
      </c>
      <c r="M52" s="152" t="s">
        <v>291</v>
      </c>
      <c r="N52" s="177">
        <v>525</v>
      </c>
      <c r="AA52" s="103"/>
      <c r="AB52" s="102"/>
      <c r="AC52" s="102"/>
      <c r="AD52" s="78">
        <f>SUM(AD46:AD51)</f>
        <v>172794</v>
      </c>
      <c r="AE52" s="95">
        <f>SUM(AE46:AE51)</f>
        <v>6645.9230769230771</v>
      </c>
    </row>
    <row r="53" spans="1:31" ht="14.4">
      <c r="A53" s="1"/>
      <c r="B53" s="1" t="s">
        <v>292</v>
      </c>
      <c r="C53" s="152">
        <v>26</v>
      </c>
      <c r="D53" s="152">
        <v>26</v>
      </c>
      <c r="E53" s="152">
        <v>26</v>
      </c>
      <c r="F53" s="152">
        <v>26</v>
      </c>
      <c r="G53" s="152">
        <v>26</v>
      </c>
      <c r="I53" s="176" t="s">
        <v>284</v>
      </c>
      <c r="J53" s="152">
        <v>400</v>
      </c>
      <c r="K53" s="175"/>
      <c r="L53" s="175"/>
      <c r="M53" s="134" t="s">
        <v>0</v>
      </c>
      <c r="N53" s="178">
        <f>SUM(N50:N52)</f>
        <v>3287</v>
      </c>
      <c r="AA53" s="243" t="s">
        <v>39</v>
      </c>
      <c r="AB53" s="74">
        <v>1502040061</v>
      </c>
      <c r="AC53" s="74" t="s">
        <v>40</v>
      </c>
      <c r="AD53" s="114">
        <f>+Q19</f>
        <v>1231</v>
      </c>
      <c r="AE53" s="195">
        <f t="shared" si="20"/>
        <v>47.346153846153847</v>
      </c>
    </row>
    <row r="54" spans="1:31" ht="14.4">
      <c r="I54" s="134" t="s">
        <v>0</v>
      </c>
      <c r="J54" s="179">
        <f>SUM(J50:J53)</f>
        <v>3200</v>
      </c>
      <c r="AA54" s="243"/>
      <c r="AB54" s="74">
        <v>1502040068</v>
      </c>
      <c r="AC54" s="74" t="s">
        <v>41</v>
      </c>
      <c r="AD54" s="114">
        <f>+AD53</f>
        <v>1231</v>
      </c>
      <c r="AE54" s="195">
        <f t="shared" si="20"/>
        <v>47.346153846153847</v>
      </c>
    </row>
    <row r="55" spans="1:31" ht="14.4">
      <c r="AA55" s="243"/>
      <c r="AB55" s="74">
        <v>1502010024</v>
      </c>
      <c r="AC55" s="74" t="s">
        <v>42</v>
      </c>
      <c r="AD55" s="114">
        <f>+Q25</f>
        <v>581</v>
      </c>
      <c r="AE55" s="195">
        <f t="shared" si="20"/>
        <v>22.346153846153847</v>
      </c>
    </row>
    <row r="56" spans="1:31">
      <c r="H56" s="97"/>
      <c r="AA56" s="103"/>
      <c r="AB56" s="102"/>
      <c r="AC56" s="102"/>
      <c r="AD56" s="115">
        <f>SUM(AD53:AD55)</f>
        <v>3043</v>
      </c>
      <c r="AE56" s="95">
        <f>SUM(AE53:AE55)</f>
        <v>117.03846153846155</v>
      </c>
    </row>
    <row r="57" spans="1:31" ht="14.4">
      <c r="H57" s="85"/>
      <c r="K57" s="97"/>
      <c r="AA57" s="185" t="s">
        <v>43</v>
      </c>
      <c r="AB57" s="74">
        <v>1502040194</v>
      </c>
      <c r="AC57" s="74" t="s">
        <v>44</v>
      </c>
      <c r="AD57" s="114">
        <f>+Q39+Q40+Q19+Q25+Q20</f>
        <v>8890</v>
      </c>
      <c r="AE57" s="195">
        <f t="shared" si="20"/>
        <v>341.92307692307691</v>
      </c>
    </row>
    <row r="58" spans="1:31">
      <c r="AA58" s="96"/>
      <c r="AB58" s="77"/>
      <c r="AC58" s="77"/>
      <c r="AD58" s="78"/>
      <c r="AE58" s="95">
        <f>SUM(AE57)</f>
        <v>341.92307692307691</v>
      </c>
    </row>
    <row r="59" spans="1:31" ht="14.4">
      <c r="G59" s="85"/>
      <c r="AA59" s="244" t="s">
        <v>45</v>
      </c>
      <c r="AB59" s="74">
        <v>1502040119</v>
      </c>
      <c r="AC59" s="74" t="s">
        <v>46</v>
      </c>
      <c r="AD59" s="81">
        <v>2670</v>
      </c>
      <c r="AE59" s="195">
        <f t="shared" si="20"/>
        <v>102.69230769230769</v>
      </c>
    </row>
    <row r="60" spans="1:31" ht="14.4">
      <c r="I60" s="97"/>
      <c r="K60" s="97"/>
      <c r="AA60" s="245"/>
      <c r="AB60" s="74">
        <v>1502040235</v>
      </c>
      <c r="AC60" s="74" t="s">
        <v>47</v>
      </c>
      <c r="AD60" s="81">
        <f>+T6+T7+T8+T9</f>
        <v>45959</v>
      </c>
      <c r="AE60" s="195">
        <f t="shared" si="20"/>
        <v>1767.6538461538462</v>
      </c>
    </row>
    <row r="61" spans="1:31">
      <c r="AA61" s="103"/>
      <c r="AB61" s="102"/>
      <c r="AC61" s="102"/>
      <c r="AD61" s="78">
        <f>SUM(AD59:AD60)</f>
        <v>48629</v>
      </c>
      <c r="AE61" s="95">
        <f>SUM(AE59:AE60)</f>
        <v>1870.3461538461538</v>
      </c>
    </row>
    <row r="62" spans="1:31" ht="14.4">
      <c r="L62" s="97"/>
      <c r="AA62" s="244" t="s">
        <v>48</v>
      </c>
      <c r="AB62" s="21">
        <v>1502040289</v>
      </c>
      <c r="AC62" s="21" t="s">
        <v>49</v>
      </c>
      <c r="AD62" s="81">
        <v>3270</v>
      </c>
      <c r="AE62" s="195">
        <f t="shared" si="20"/>
        <v>125.76923076923077</v>
      </c>
    </row>
    <row r="63" spans="1:31" ht="14.4">
      <c r="AA63" s="245"/>
      <c r="AB63" s="74">
        <v>1502040236</v>
      </c>
      <c r="AC63" s="74" t="s">
        <v>50</v>
      </c>
      <c r="AD63" s="81">
        <f>+T11</f>
        <v>48555</v>
      </c>
      <c r="AE63" s="195">
        <f t="shared" si="20"/>
        <v>1867.5</v>
      </c>
    </row>
    <row r="64" spans="1:31">
      <c r="AA64" s="96"/>
      <c r="AB64" s="77"/>
      <c r="AC64" s="77"/>
      <c r="AD64" s="78">
        <f>SUM(AD62:AD63)</f>
        <v>51825</v>
      </c>
      <c r="AE64" s="95">
        <f>SUM(AE62:AE63)</f>
        <v>1993.2692307692307</v>
      </c>
    </row>
    <row r="65" spans="27:31" ht="14.4">
      <c r="AA65" s="246" t="s">
        <v>51</v>
      </c>
      <c r="AB65" s="74">
        <v>1502040125</v>
      </c>
      <c r="AC65" s="74" t="s">
        <v>52</v>
      </c>
      <c r="AD65" s="75">
        <f>+T14*2</f>
        <v>10938</v>
      </c>
      <c r="AE65" s="195">
        <f t="shared" si="20"/>
        <v>420.69230769230768</v>
      </c>
    </row>
    <row r="66" spans="27:31" ht="14.4">
      <c r="AA66" s="246"/>
      <c r="AB66" s="74">
        <v>1502040126</v>
      </c>
      <c r="AC66" s="74" t="s">
        <v>53</v>
      </c>
      <c r="AD66" s="75">
        <f>+AD65</f>
        <v>10938</v>
      </c>
      <c r="AE66" s="195">
        <f t="shared" si="20"/>
        <v>420.69230769230768</v>
      </c>
    </row>
    <row r="67" spans="27:31">
      <c r="AA67" s="103"/>
      <c r="AB67" s="102"/>
      <c r="AC67" s="102"/>
      <c r="AD67" s="78">
        <f>SUM(AD65:AD66)</f>
        <v>21876</v>
      </c>
      <c r="AE67" s="95">
        <f>SUM(AE65:AE66)</f>
        <v>841.38461538461536</v>
      </c>
    </row>
    <row r="68" spans="27:31" ht="14.4">
      <c r="AA68" s="211" t="s">
        <v>54</v>
      </c>
      <c r="AB68" s="1">
        <v>1502040287</v>
      </c>
      <c r="AC68" s="1" t="s">
        <v>55</v>
      </c>
      <c r="AD68" s="82">
        <f>650*26</f>
        <v>16900</v>
      </c>
      <c r="AE68" s="195">
        <f t="shared" si="20"/>
        <v>650</v>
      </c>
    </row>
    <row r="69" spans="27:31" ht="14.4">
      <c r="AA69" s="211"/>
      <c r="AB69" s="1">
        <v>1502040288</v>
      </c>
      <c r="AC69" s="1" t="s">
        <v>56</v>
      </c>
      <c r="AD69" s="82">
        <f>+AD68</f>
        <v>16900</v>
      </c>
      <c r="AE69" s="195">
        <f t="shared" si="20"/>
        <v>650</v>
      </c>
    </row>
    <row r="70" spans="27:31" ht="13.8" thickBot="1">
      <c r="AA70" s="104"/>
      <c r="AB70" s="105"/>
      <c r="AC70" s="105"/>
      <c r="AD70" s="94">
        <f>+AD68+AD69</f>
        <v>33800</v>
      </c>
      <c r="AE70" s="105">
        <f t="shared" si="20"/>
        <v>1300</v>
      </c>
    </row>
  </sheetData>
  <mergeCells count="27">
    <mergeCell ref="AA53:AA55"/>
    <mergeCell ref="AA59:AA60"/>
    <mergeCell ref="AA62:AA63"/>
    <mergeCell ref="AA65:AA66"/>
    <mergeCell ref="AA68:AA69"/>
    <mergeCell ref="AA42:AA44"/>
    <mergeCell ref="B44:C44"/>
    <mergeCell ref="B45:C45"/>
    <mergeCell ref="AA46:AA51"/>
    <mergeCell ref="I49:J49"/>
    <mergeCell ref="M49:N49"/>
    <mergeCell ref="AA27:AE27"/>
    <mergeCell ref="AA32:AA34"/>
    <mergeCell ref="AA36:AA37"/>
    <mergeCell ref="AA39:AA40"/>
    <mergeCell ref="A1:Q1"/>
    <mergeCell ref="D2:F2"/>
    <mergeCell ref="G2:L2"/>
    <mergeCell ref="M2:N2"/>
    <mergeCell ref="Q2:Q3"/>
    <mergeCell ref="D3:F3"/>
    <mergeCell ref="O3:P3"/>
    <mergeCell ref="W3:X3"/>
    <mergeCell ref="C6:C13"/>
    <mergeCell ref="B14:C14"/>
    <mergeCell ref="C15:C19"/>
    <mergeCell ref="C20:C40"/>
  </mergeCells>
  <conditionalFormatting sqref="AB55">
    <cfRule type="duplicateValues" dxfId="3" priority="1"/>
    <cfRule type="timePeriod" dxfId="2" priority="2" timePeriod="yesterday">
      <formula>FLOOR(AB55,1)=TODAY()-1</formula>
    </cfRule>
    <cfRule type="duplicateValues" dxfId="1" priority="3"/>
    <cfRule type="timePeriod" dxfId="0" priority="4" timePeriod="yesterday">
      <formula>FLOOR(AB55,1)=TODAY()-1</formula>
    </cfRule>
  </conditionalFormatting>
  <printOptions horizontalCentered="1" verticalCentered="1"/>
  <pageMargins left="0" right="0" top="0" bottom="0" header="0" footer="0"/>
  <pageSetup paperSize="9" scale="77" orientation="landscape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3:O14"/>
  <sheetViews>
    <sheetView workbookViewId="0">
      <selection activeCell="B3" sqref="B3:B4"/>
    </sheetView>
  </sheetViews>
  <sheetFormatPr defaultRowHeight="13.2"/>
  <cols>
    <col min="2" max="2" width="5" bestFit="1" customWidth="1"/>
    <col min="9" max="9" width="11" bestFit="1" customWidth="1"/>
  </cols>
  <sheetData>
    <row r="3" spans="2:15">
      <c r="B3">
        <v>5356</v>
      </c>
    </row>
    <row r="4" spans="2:15">
      <c r="B4">
        <v>5000</v>
      </c>
    </row>
    <row r="7" spans="2:15">
      <c r="K7" s="86"/>
    </row>
    <row r="14" spans="2:15">
      <c r="O14" s="10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G72"/>
  <sheetViews>
    <sheetView topLeftCell="A42" workbookViewId="0">
      <selection activeCell="B72" sqref="B72"/>
    </sheetView>
  </sheetViews>
  <sheetFormatPr defaultRowHeight="13.2"/>
  <cols>
    <col min="1" max="1" width="12.88671875" bestFit="1" customWidth="1"/>
    <col min="2" max="2" width="27.109375" bestFit="1" customWidth="1"/>
  </cols>
  <sheetData>
    <row r="4" spans="1:2">
      <c r="A4" s="23" t="s">
        <v>20</v>
      </c>
      <c r="B4" s="23" t="s">
        <v>19</v>
      </c>
    </row>
    <row r="5" spans="1:2">
      <c r="A5">
        <v>1502040194</v>
      </c>
      <c r="B5" t="s">
        <v>43</v>
      </c>
    </row>
    <row r="6" spans="1:2">
      <c r="A6">
        <v>1502040198</v>
      </c>
      <c r="B6" t="s">
        <v>43</v>
      </c>
    </row>
    <row r="7" spans="1:2">
      <c r="A7">
        <v>1502040199</v>
      </c>
      <c r="B7" t="s">
        <v>43</v>
      </c>
    </row>
    <row r="8" spans="1:2">
      <c r="A8">
        <v>1502040114</v>
      </c>
      <c r="B8" t="s">
        <v>31</v>
      </c>
    </row>
    <row r="9" spans="1:2">
      <c r="A9">
        <v>1502040267</v>
      </c>
      <c r="B9" t="s">
        <v>31</v>
      </c>
    </row>
    <row r="10" spans="1:2">
      <c r="A10">
        <v>1402010204</v>
      </c>
      <c r="B10" t="s">
        <v>39</v>
      </c>
    </row>
    <row r="11" spans="1:2">
      <c r="A11">
        <v>1502010023</v>
      </c>
      <c r="B11" t="s">
        <v>39</v>
      </c>
    </row>
    <row r="12" spans="1:2">
      <c r="A12">
        <v>1502010024</v>
      </c>
      <c r="B12" t="s">
        <v>39</v>
      </c>
    </row>
    <row r="13" spans="1:2">
      <c r="A13">
        <v>1502040068</v>
      </c>
      <c r="B13" t="s">
        <v>39</v>
      </c>
    </row>
    <row r="14" spans="1:2">
      <c r="A14">
        <v>1502040127</v>
      </c>
      <c r="B14" t="s">
        <v>39</v>
      </c>
    </row>
    <row r="15" spans="1:2">
      <c r="A15">
        <v>1502040216</v>
      </c>
      <c r="B15" t="s">
        <v>62</v>
      </c>
    </row>
    <row r="16" spans="1:2">
      <c r="A16">
        <v>1502040217</v>
      </c>
      <c r="B16" t="s">
        <v>100</v>
      </c>
    </row>
    <row r="17" spans="1:7">
      <c r="A17">
        <v>1502040233</v>
      </c>
      <c r="B17" t="s">
        <v>62</v>
      </c>
    </row>
    <row r="18" spans="1:7">
      <c r="A18">
        <v>1502040320</v>
      </c>
      <c r="B18" t="s">
        <v>62</v>
      </c>
    </row>
    <row r="19" spans="1:7">
      <c r="A19">
        <v>1502040271</v>
      </c>
      <c r="B19" t="s">
        <v>65</v>
      </c>
    </row>
    <row r="20" spans="1:7">
      <c r="A20">
        <v>1104010528</v>
      </c>
      <c r="B20" t="s">
        <v>68</v>
      </c>
    </row>
    <row r="21" spans="1:7">
      <c r="A21">
        <v>1502010013</v>
      </c>
      <c r="B21" t="s">
        <v>68</v>
      </c>
    </row>
    <row r="22" spans="1:7">
      <c r="A22">
        <v>1502010016</v>
      </c>
      <c r="B22" t="s">
        <v>68</v>
      </c>
    </row>
    <row r="23" spans="1:7">
      <c r="A23">
        <v>1502010019</v>
      </c>
      <c r="B23" t="s">
        <v>68</v>
      </c>
    </row>
    <row r="24" spans="1:7">
      <c r="A24">
        <v>1502010025</v>
      </c>
      <c r="B24" t="s">
        <v>68</v>
      </c>
    </row>
    <row r="25" spans="1:7">
      <c r="A25">
        <v>1502040061</v>
      </c>
      <c r="B25" t="s">
        <v>68</v>
      </c>
    </row>
    <row r="26" spans="1:7">
      <c r="A26">
        <v>1502040117</v>
      </c>
      <c r="B26" t="s">
        <v>68</v>
      </c>
    </row>
    <row r="27" spans="1:7">
      <c r="A27">
        <v>1502040214</v>
      </c>
      <c r="B27" t="s">
        <v>68</v>
      </c>
    </row>
    <row r="28" spans="1:7">
      <c r="A28">
        <v>1502020074</v>
      </c>
      <c r="B28" t="s">
        <v>61</v>
      </c>
    </row>
    <row r="29" spans="1:7">
      <c r="A29">
        <v>1502020112</v>
      </c>
      <c r="B29" t="s">
        <v>61</v>
      </c>
      <c r="E29" s="85"/>
      <c r="F29" s="85"/>
      <c r="G29" s="85"/>
    </row>
    <row r="30" spans="1:7">
      <c r="A30">
        <v>1502020122</v>
      </c>
      <c r="B30" t="s">
        <v>101</v>
      </c>
    </row>
    <row r="31" spans="1:7">
      <c r="A31">
        <v>1502020102</v>
      </c>
      <c r="B31" t="s">
        <v>59</v>
      </c>
    </row>
    <row r="32" spans="1:7">
      <c r="A32">
        <v>1502040313</v>
      </c>
      <c r="B32" t="s">
        <v>71</v>
      </c>
    </row>
    <row r="33" spans="1:2">
      <c r="A33">
        <v>1502040314</v>
      </c>
      <c r="B33" t="s">
        <v>71</v>
      </c>
    </row>
    <row r="34" spans="1:2">
      <c r="A34">
        <v>1502040315</v>
      </c>
      <c r="B34" t="s">
        <v>71</v>
      </c>
    </row>
    <row r="35" spans="1:2">
      <c r="A35">
        <v>1502040316</v>
      </c>
      <c r="B35" t="s">
        <v>71</v>
      </c>
    </row>
    <row r="36" spans="1:2">
      <c r="A36">
        <v>1502040317</v>
      </c>
      <c r="B36" t="s">
        <v>71</v>
      </c>
    </row>
    <row r="37" spans="1:2">
      <c r="A37">
        <v>1502040318</v>
      </c>
      <c r="B37" t="s">
        <v>71</v>
      </c>
    </row>
    <row r="38" spans="1:2">
      <c r="A38">
        <v>1502020101</v>
      </c>
      <c r="B38" t="s">
        <v>60</v>
      </c>
    </row>
    <row r="39" spans="1:2">
      <c r="A39">
        <v>1502020104</v>
      </c>
      <c r="B39" t="s">
        <v>60</v>
      </c>
    </row>
    <row r="40" spans="1:2">
      <c r="A40">
        <v>1502020105</v>
      </c>
      <c r="B40" t="s">
        <v>60</v>
      </c>
    </row>
    <row r="41" spans="1:2">
      <c r="A41">
        <v>1502020108</v>
      </c>
      <c r="B41" t="s">
        <v>60</v>
      </c>
    </row>
    <row r="42" spans="1:2">
      <c r="A42">
        <v>1502020125</v>
      </c>
      <c r="B42" t="s">
        <v>60</v>
      </c>
    </row>
    <row r="43" spans="1:2">
      <c r="A43">
        <v>1502020129</v>
      </c>
      <c r="B43" t="s">
        <v>60</v>
      </c>
    </row>
    <row r="44" spans="1:2">
      <c r="A44">
        <v>1502040125</v>
      </c>
      <c r="B44" t="s">
        <v>51</v>
      </c>
    </row>
    <row r="45" spans="1:2">
      <c r="A45">
        <v>1502040126</v>
      </c>
      <c r="B45" t="s">
        <v>51</v>
      </c>
    </row>
    <row r="46" spans="1:2">
      <c r="A46">
        <v>1502040132</v>
      </c>
      <c r="B46" t="s">
        <v>51</v>
      </c>
    </row>
    <row r="47" spans="1:2">
      <c r="A47">
        <v>1502040133</v>
      </c>
      <c r="B47" t="s">
        <v>51</v>
      </c>
    </row>
    <row r="48" spans="1:2">
      <c r="A48">
        <v>1502040164</v>
      </c>
      <c r="B48" t="s">
        <v>51</v>
      </c>
    </row>
    <row r="49" spans="1:2">
      <c r="A49">
        <v>1502040165</v>
      </c>
      <c r="B49" t="s">
        <v>51</v>
      </c>
    </row>
    <row r="50" spans="1:2">
      <c r="A50">
        <v>1502040300</v>
      </c>
      <c r="B50" t="s">
        <v>51</v>
      </c>
    </row>
    <row r="51" spans="1:2">
      <c r="A51">
        <v>1502040301</v>
      </c>
      <c r="B51" t="s">
        <v>51</v>
      </c>
    </row>
    <row r="52" spans="1:2">
      <c r="A52">
        <v>1502010011</v>
      </c>
      <c r="B52" t="s">
        <v>67</v>
      </c>
    </row>
    <row r="53" spans="1:2">
      <c r="A53">
        <v>1502040119</v>
      </c>
      <c r="B53" t="s">
        <v>66</v>
      </c>
    </row>
    <row r="54" spans="1:2">
      <c r="A54">
        <v>1502040235</v>
      </c>
      <c r="B54" t="s">
        <v>66</v>
      </c>
    </row>
    <row r="55" spans="1:2">
      <c r="A55">
        <v>1502040118</v>
      </c>
      <c r="B55" t="s">
        <v>48</v>
      </c>
    </row>
    <row r="56" spans="1:2">
      <c r="A56">
        <v>1502040236</v>
      </c>
      <c r="B56" t="s">
        <v>48</v>
      </c>
    </row>
    <row r="57" spans="1:2">
      <c r="A57">
        <v>1502040289</v>
      </c>
      <c r="B57" t="s">
        <v>48</v>
      </c>
    </row>
    <row r="58" spans="1:2">
      <c r="A58">
        <v>1402010547</v>
      </c>
      <c r="B58" t="s">
        <v>62</v>
      </c>
    </row>
    <row r="59" spans="1:2">
      <c r="A59">
        <v>1402010546</v>
      </c>
      <c r="B59" t="s">
        <v>62</v>
      </c>
    </row>
    <row r="60" spans="1:2">
      <c r="A60">
        <v>1502020117</v>
      </c>
      <c r="B60" t="s">
        <v>59</v>
      </c>
    </row>
    <row r="61" spans="1:2">
      <c r="A61">
        <v>1502040307</v>
      </c>
      <c r="B61" t="s">
        <v>62</v>
      </c>
    </row>
    <row r="62" spans="1:2">
      <c r="A62">
        <v>1502020054</v>
      </c>
      <c r="B62" t="s">
        <v>60</v>
      </c>
    </row>
    <row r="63" spans="1:2">
      <c r="A63">
        <v>1502040307</v>
      </c>
      <c r="B63" t="s">
        <v>209</v>
      </c>
    </row>
    <row r="64" spans="1:2">
      <c r="A64">
        <v>1502020140</v>
      </c>
      <c r="B64" t="s">
        <v>60</v>
      </c>
    </row>
    <row r="65" spans="1:2">
      <c r="A65">
        <v>1502040308</v>
      </c>
      <c r="B65" t="s">
        <v>62</v>
      </c>
    </row>
    <row r="66" spans="1:2">
      <c r="A66">
        <v>1502040308</v>
      </c>
      <c r="B66" t="s">
        <v>62</v>
      </c>
    </row>
    <row r="67" spans="1:2">
      <c r="A67">
        <v>1502040298</v>
      </c>
      <c r="B67" t="s">
        <v>71</v>
      </c>
    </row>
    <row r="68" spans="1:2">
      <c r="A68">
        <v>1502040299</v>
      </c>
      <c r="B68" t="s">
        <v>71</v>
      </c>
    </row>
    <row r="69" spans="1:2">
      <c r="A69">
        <v>1502040308</v>
      </c>
      <c r="B69" t="s">
        <v>62</v>
      </c>
    </row>
    <row r="70" spans="1:2">
      <c r="A70">
        <v>1502020141</v>
      </c>
      <c r="B70" t="s">
        <v>60</v>
      </c>
    </row>
    <row r="71" spans="1:2">
      <c r="A71">
        <v>1502040322</v>
      </c>
      <c r="B71" t="s">
        <v>31</v>
      </c>
    </row>
    <row r="72" spans="1:2">
      <c r="A72">
        <v>1104040829</v>
      </c>
      <c r="B72" t="s">
        <v>324</v>
      </c>
    </row>
  </sheetData>
  <autoFilter ref="A4:B7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O34"/>
  <sheetViews>
    <sheetView topLeftCell="D1" workbookViewId="0">
      <selection activeCell="M20" sqref="M20:N20"/>
    </sheetView>
  </sheetViews>
  <sheetFormatPr defaultRowHeight="13.2"/>
  <cols>
    <col min="1" max="1" width="22.77734375" customWidth="1"/>
    <col min="2" max="4" width="13.5546875" bestFit="1" customWidth="1"/>
    <col min="5" max="5" width="13.5546875" customWidth="1"/>
    <col min="6" max="6" width="13.5546875" bestFit="1" customWidth="1"/>
    <col min="7" max="14" width="13.5546875" customWidth="1"/>
    <col min="15" max="15" width="11.33203125" customWidth="1"/>
    <col min="16" max="31" width="13.5546875" customWidth="1"/>
    <col min="32" max="33" width="11.33203125" customWidth="1"/>
    <col min="34" max="36" width="13.5546875" bestFit="1" customWidth="1"/>
    <col min="37" max="37" width="11.33203125" bestFit="1" customWidth="1"/>
  </cols>
  <sheetData>
    <row r="3" spans="1:15">
      <c r="A3" s="23" t="s">
        <v>224</v>
      </c>
      <c r="B3" s="23" t="s">
        <v>86</v>
      </c>
    </row>
    <row r="4" spans="1:15">
      <c r="A4" s="23" t="s">
        <v>19</v>
      </c>
      <c r="B4" t="s">
        <v>338</v>
      </c>
      <c r="C4" t="s">
        <v>336</v>
      </c>
      <c r="D4" t="s">
        <v>337</v>
      </c>
      <c r="E4" t="s">
        <v>333</v>
      </c>
      <c r="F4" t="s">
        <v>334</v>
      </c>
      <c r="G4" t="s">
        <v>335</v>
      </c>
      <c r="H4" t="s">
        <v>348</v>
      </c>
      <c r="I4" t="s">
        <v>355</v>
      </c>
      <c r="J4" t="s">
        <v>362</v>
      </c>
      <c r="K4" t="s">
        <v>366</v>
      </c>
      <c r="L4" t="s">
        <v>381</v>
      </c>
      <c r="M4" t="s">
        <v>368</v>
      </c>
      <c r="N4" t="s">
        <v>367</v>
      </c>
      <c r="O4" t="s">
        <v>1</v>
      </c>
    </row>
    <row r="5" spans="1:15">
      <c r="A5" t="s">
        <v>43</v>
      </c>
      <c r="B5" s="87"/>
      <c r="C5" s="87">
        <v>288</v>
      </c>
      <c r="D5" s="87">
        <v>288</v>
      </c>
      <c r="E5" s="87">
        <v>288</v>
      </c>
      <c r="F5" s="87">
        <v>240</v>
      </c>
      <c r="G5" s="87">
        <v>192</v>
      </c>
      <c r="H5" s="87">
        <v>240</v>
      </c>
      <c r="I5" s="87">
        <v>240</v>
      </c>
      <c r="J5" s="87">
        <v>192</v>
      </c>
      <c r="K5" s="87"/>
      <c r="L5" s="87">
        <v>268</v>
      </c>
      <c r="M5" s="87">
        <v>288</v>
      </c>
      <c r="N5" s="87">
        <v>192</v>
      </c>
      <c r="O5" s="87">
        <v>2716</v>
      </c>
    </row>
    <row r="6" spans="1:15">
      <c r="A6" t="s">
        <v>31</v>
      </c>
      <c r="B6" s="87">
        <v>816</v>
      </c>
      <c r="C6" s="87">
        <v>1660</v>
      </c>
      <c r="D6" s="87">
        <v>1240</v>
      </c>
      <c r="E6" s="87">
        <v>2362</v>
      </c>
      <c r="F6" s="87">
        <v>2428</v>
      </c>
      <c r="G6" s="87">
        <v>1224</v>
      </c>
      <c r="H6" s="87">
        <v>2448</v>
      </c>
      <c r="I6" s="87">
        <v>2152</v>
      </c>
      <c r="J6" s="87">
        <v>1792</v>
      </c>
      <c r="K6" s="87">
        <v>920</v>
      </c>
      <c r="L6" s="87">
        <v>2038</v>
      </c>
      <c r="M6" s="87">
        <v>2118</v>
      </c>
      <c r="N6" s="87">
        <v>2082</v>
      </c>
      <c r="O6" s="87">
        <v>23280</v>
      </c>
    </row>
    <row r="7" spans="1:15">
      <c r="A7" t="s">
        <v>39</v>
      </c>
      <c r="B7" s="87"/>
      <c r="C7" s="87">
        <v>84</v>
      </c>
      <c r="D7" s="87">
        <v>72</v>
      </c>
      <c r="E7" s="87"/>
      <c r="F7" s="87">
        <v>84</v>
      </c>
      <c r="G7" s="87"/>
      <c r="H7" s="87">
        <v>84</v>
      </c>
      <c r="I7" s="87">
        <v>84</v>
      </c>
      <c r="J7" s="87">
        <v>-3</v>
      </c>
      <c r="K7" s="87"/>
      <c r="L7" s="87">
        <v>324</v>
      </c>
      <c r="M7" s="87">
        <v>400</v>
      </c>
      <c r="N7" s="87"/>
      <c r="O7" s="87">
        <v>1129</v>
      </c>
    </row>
    <row r="8" spans="1:15">
      <c r="A8" t="s">
        <v>100</v>
      </c>
      <c r="B8" s="87">
        <v>200</v>
      </c>
      <c r="C8" s="87">
        <v>280</v>
      </c>
      <c r="D8" s="87">
        <v>280</v>
      </c>
      <c r="E8" s="87">
        <v>375</v>
      </c>
      <c r="F8" s="87">
        <v>230</v>
      </c>
      <c r="G8" s="87">
        <v>360</v>
      </c>
      <c r="H8" s="87">
        <v>370</v>
      </c>
      <c r="I8" s="87">
        <v>430</v>
      </c>
      <c r="J8" s="87">
        <v>300</v>
      </c>
      <c r="K8" s="87"/>
      <c r="L8" s="87">
        <v>430</v>
      </c>
      <c r="M8" s="87">
        <v>190</v>
      </c>
      <c r="N8" s="87">
        <v>131</v>
      </c>
      <c r="O8" s="87">
        <v>3576</v>
      </c>
    </row>
    <row r="9" spans="1:15">
      <c r="A9" t="s">
        <v>62</v>
      </c>
      <c r="B9" s="87"/>
      <c r="C9" s="87">
        <v>960</v>
      </c>
      <c r="D9" s="87">
        <v>1280</v>
      </c>
      <c r="E9" s="87">
        <v>1660</v>
      </c>
      <c r="F9" s="87">
        <v>2080</v>
      </c>
      <c r="G9" s="87">
        <v>2139</v>
      </c>
      <c r="H9" s="87">
        <v>1280</v>
      </c>
      <c r="I9" s="87">
        <v>2350</v>
      </c>
      <c r="J9" s="87">
        <v>2080</v>
      </c>
      <c r="K9" s="87"/>
      <c r="L9" s="87">
        <v>2410</v>
      </c>
      <c r="M9" s="87">
        <v>2120</v>
      </c>
      <c r="N9" s="87">
        <v>2204</v>
      </c>
      <c r="O9" s="87">
        <v>20563</v>
      </c>
    </row>
    <row r="10" spans="1:15">
      <c r="A10" t="s">
        <v>68</v>
      </c>
      <c r="B10" s="87"/>
      <c r="C10" s="87">
        <v>15100</v>
      </c>
      <c r="D10" s="87">
        <v>72</v>
      </c>
      <c r="E10" s="87">
        <v>2000</v>
      </c>
      <c r="F10" s="87">
        <v>84</v>
      </c>
      <c r="G10" s="87"/>
      <c r="H10" s="87">
        <v>2084</v>
      </c>
      <c r="I10" s="87">
        <v>2000</v>
      </c>
      <c r="J10" s="87">
        <v>-3</v>
      </c>
      <c r="K10" s="87"/>
      <c r="L10" s="87">
        <v>2000</v>
      </c>
      <c r="M10" s="87">
        <v>3600</v>
      </c>
      <c r="N10" s="87">
        <v>15270</v>
      </c>
      <c r="O10" s="87">
        <v>42207</v>
      </c>
    </row>
    <row r="11" spans="1:15">
      <c r="A11" t="s">
        <v>61</v>
      </c>
      <c r="B11" s="87"/>
      <c r="C11" s="87">
        <v>70</v>
      </c>
      <c r="D11" s="87">
        <v>168</v>
      </c>
      <c r="E11" s="87">
        <v>60</v>
      </c>
      <c r="F11" s="87">
        <v>260</v>
      </c>
      <c r="G11" s="87">
        <v>88</v>
      </c>
      <c r="H11" s="87">
        <v>240</v>
      </c>
      <c r="I11" s="87">
        <v>70</v>
      </c>
      <c r="J11" s="87"/>
      <c r="K11" s="87">
        <v>90</v>
      </c>
      <c r="L11" s="87">
        <v>90</v>
      </c>
      <c r="M11" s="87">
        <v>30</v>
      </c>
      <c r="N11" s="87">
        <v>200</v>
      </c>
      <c r="O11" s="87">
        <v>1366</v>
      </c>
    </row>
    <row r="12" spans="1:15">
      <c r="A12" t="s">
        <v>101</v>
      </c>
      <c r="B12" s="87">
        <v>206</v>
      </c>
      <c r="C12" s="87">
        <v>150</v>
      </c>
      <c r="D12" s="87">
        <v>186</v>
      </c>
      <c r="E12" s="87">
        <v>338</v>
      </c>
      <c r="F12" s="87">
        <v>280</v>
      </c>
      <c r="G12" s="87">
        <v>330</v>
      </c>
      <c r="H12" s="87">
        <v>180</v>
      </c>
      <c r="I12" s="87">
        <v>328</v>
      </c>
      <c r="J12" s="87">
        <v>380</v>
      </c>
      <c r="K12" s="87">
        <v>110</v>
      </c>
      <c r="L12" s="87">
        <v>200</v>
      </c>
      <c r="M12" s="87">
        <v>250</v>
      </c>
      <c r="N12" s="87">
        <v>280</v>
      </c>
      <c r="O12" s="87">
        <v>3218</v>
      </c>
    </row>
    <row r="13" spans="1:15">
      <c r="A13" t="s">
        <v>59</v>
      </c>
      <c r="B13" s="87"/>
      <c r="C13" s="87">
        <v>172</v>
      </c>
      <c r="D13" s="87">
        <v>24</v>
      </c>
      <c r="E13" s="87">
        <v>138</v>
      </c>
      <c r="F13" s="87">
        <v>144</v>
      </c>
      <c r="G13" s="87">
        <v>90</v>
      </c>
      <c r="H13" s="87">
        <v>158</v>
      </c>
      <c r="I13" s="87">
        <v>124</v>
      </c>
      <c r="J13" s="87">
        <v>42</v>
      </c>
      <c r="K13" s="87"/>
      <c r="L13" s="87">
        <v>230</v>
      </c>
      <c r="M13" s="87">
        <v>152</v>
      </c>
      <c r="N13" s="87">
        <v>144</v>
      </c>
      <c r="O13" s="87">
        <v>1418</v>
      </c>
    </row>
    <row r="14" spans="1:15">
      <c r="A14" t="s">
        <v>71</v>
      </c>
      <c r="B14" s="87"/>
      <c r="C14" s="87">
        <v>960</v>
      </c>
      <c r="D14" s="87">
        <v>720</v>
      </c>
      <c r="E14" s="87">
        <v>720</v>
      </c>
      <c r="F14" s="87">
        <v>1120</v>
      </c>
      <c r="G14" s="87">
        <v>1120</v>
      </c>
      <c r="H14" s="87">
        <v>1200</v>
      </c>
      <c r="I14" s="87">
        <v>960</v>
      </c>
      <c r="J14" s="87">
        <v>960</v>
      </c>
      <c r="K14" s="87"/>
      <c r="L14" s="87">
        <v>960</v>
      </c>
      <c r="M14" s="87">
        <v>720</v>
      </c>
      <c r="N14" s="87">
        <v>960</v>
      </c>
      <c r="O14" s="87">
        <v>10400</v>
      </c>
    </row>
    <row r="15" spans="1:15">
      <c r="A15" t="s">
        <v>60</v>
      </c>
      <c r="B15" s="87">
        <v>120</v>
      </c>
      <c r="C15" s="87">
        <v>501</v>
      </c>
      <c r="D15" s="87">
        <v>630</v>
      </c>
      <c r="E15" s="87">
        <v>516</v>
      </c>
      <c r="F15" s="87">
        <v>885</v>
      </c>
      <c r="G15" s="87">
        <v>822</v>
      </c>
      <c r="H15" s="87">
        <v>705</v>
      </c>
      <c r="I15" s="87">
        <v>861</v>
      </c>
      <c r="J15" s="87">
        <v>846</v>
      </c>
      <c r="K15" s="87">
        <v>120</v>
      </c>
      <c r="L15" s="87">
        <v>759</v>
      </c>
      <c r="M15" s="87">
        <v>633</v>
      </c>
      <c r="N15" s="87">
        <v>807</v>
      </c>
      <c r="O15" s="87">
        <v>8205</v>
      </c>
    </row>
    <row r="16" spans="1:15">
      <c r="A16" t="s">
        <v>51</v>
      </c>
      <c r="B16" s="87"/>
      <c r="C16" s="87">
        <v>220</v>
      </c>
      <c r="D16" s="87">
        <v>330</v>
      </c>
      <c r="E16" s="87">
        <v>520</v>
      </c>
      <c r="F16" s="87">
        <v>440</v>
      </c>
      <c r="G16" s="87">
        <v>330</v>
      </c>
      <c r="H16" s="87">
        <v>330</v>
      </c>
      <c r="I16" s="87">
        <v>330</v>
      </c>
      <c r="J16" s="87">
        <v>110</v>
      </c>
      <c r="K16" s="87"/>
      <c r="L16" s="87"/>
      <c r="M16" s="87">
        <v>440</v>
      </c>
      <c r="N16" s="87">
        <v>330</v>
      </c>
      <c r="O16" s="87">
        <v>3380</v>
      </c>
    </row>
    <row r="17" spans="1:15">
      <c r="A17" t="s">
        <v>67</v>
      </c>
      <c r="B17" s="87"/>
      <c r="C17" s="87">
        <v>5184</v>
      </c>
      <c r="D17" s="87">
        <v>5184</v>
      </c>
      <c r="E17" s="87">
        <v>4320</v>
      </c>
      <c r="F17" s="87">
        <v>5184</v>
      </c>
      <c r="G17" s="87">
        <v>3888</v>
      </c>
      <c r="H17" s="87">
        <v>4752</v>
      </c>
      <c r="I17" s="87">
        <v>4320</v>
      </c>
      <c r="J17" s="87">
        <v>2592</v>
      </c>
      <c r="K17" s="87">
        <v>2160</v>
      </c>
      <c r="L17" s="87">
        <v>4320</v>
      </c>
      <c r="M17" s="87">
        <v>3888</v>
      </c>
      <c r="N17" s="87">
        <v>3456</v>
      </c>
      <c r="O17" s="87">
        <v>49248</v>
      </c>
    </row>
    <row r="18" spans="1:15">
      <c r="A18" t="s">
        <v>66</v>
      </c>
      <c r="B18" s="87"/>
      <c r="C18" s="87">
        <v>1760</v>
      </c>
      <c r="D18" s="87">
        <v>720</v>
      </c>
      <c r="E18" s="87">
        <v>1080</v>
      </c>
      <c r="F18" s="87">
        <v>1350</v>
      </c>
      <c r="G18" s="87">
        <v>1620</v>
      </c>
      <c r="H18" s="87">
        <v>1350</v>
      </c>
      <c r="I18" s="87">
        <v>1080</v>
      </c>
      <c r="J18" s="87">
        <v>1079</v>
      </c>
      <c r="K18" s="87"/>
      <c r="L18" s="87">
        <v>1530</v>
      </c>
      <c r="M18" s="87">
        <v>1380</v>
      </c>
      <c r="N18" s="87">
        <v>1080</v>
      </c>
      <c r="O18" s="87">
        <v>14029</v>
      </c>
    </row>
    <row r="19" spans="1:15">
      <c r="A19" t="s">
        <v>48</v>
      </c>
      <c r="B19" s="87"/>
      <c r="C19" s="87">
        <v>2376</v>
      </c>
      <c r="D19" s="87">
        <v>1688</v>
      </c>
      <c r="E19" s="87">
        <v>1200</v>
      </c>
      <c r="F19" s="87">
        <v>2160</v>
      </c>
      <c r="G19" s="87">
        <v>1688</v>
      </c>
      <c r="H19" s="87">
        <v>1248</v>
      </c>
      <c r="I19" s="87">
        <v>1688</v>
      </c>
      <c r="J19" s="87">
        <v>1200</v>
      </c>
      <c r="K19" s="87"/>
      <c r="L19" s="87">
        <v>1344</v>
      </c>
      <c r="M19" s="87">
        <v>916</v>
      </c>
      <c r="N19" s="87">
        <v>1473</v>
      </c>
      <c r="O19" s="87">
        <v>16981</v>
      </c>
    </row>
    <row r="20" spans="1:15">
      <c r="A20" t="s">
        <v>339</v>
      </c>
      <c r="B20" s="87"/>
      <c r="C20" s="87"/>
      <c r="D20" s="87">
        <v>931</v>
      </c>
      <c r="E20" s="87">
        <v>261</v>
      </c>
      <c r="F20" s="87"/>
      <c r="G20" s="87">
        <v>1221</v>
      </c>
      <c r="H20" s="87"/>
      <c r="I20" s="87">
        <v>210</v>
      </c>
      <c r="J20" s="87">
        <v>598</v>
      </c>
      <c r="K20" s="87"/>
      <c r="L20" s="87"/>
      <c r="M20" s="87">
        <v>510</v>
      </c>
      <c r="N20" s="87">
        <v>424</v>
      </c>
      <c r="O20" s="87">
        <v>4155</v>
      </c>
    </row>
    <row r="21" spans="1:15">
      <c r="A21" t="s">
        <v>65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>
        <v>150</v>
      </c>
      <c r="M21" s="87">
        <v>100</v>
      </c>
      <c r="N21" s="87">
        <v>100</v>
      </c>
      <c r="O21" s="87">
        <v>350</v>
      </c>
    </row>
    <row r="22" spans="1:15">
      <c r="A22" t="s">
        <v>1</v>
      </c>
      <c r="B22" s="87">
        <v>1342</v>
      </c>
      <c r="C22" s="87">
        <v>29765</v>
      </c>
      <c r="D22" s="87">
        <v>13813</v>
      </c>
      <c r="E22" s="87">
        <v>15838</v>
      </c>
      <c r="F22" s="87">
        <v>16969</v>
      </c>
      <c r="G22" s="87">
        <v>15112</v>
      </c>
      <c r="H22" s="87">
        <v>16669</v>
      </c>
      <c r="I22" s="87">
        <v>17227</v>
      </c>
      <c r="J22" s="87">
        <v>12165</v>
      </c>
      <c r="K22" s="87">
        <v>3400</v>
      </c>
      <c r="L22" s="87">
        <v>17053</v>
      </c>
      <c r="M22" s="87">
        <v>17735</v>
      </c>
      <c r="N22" s="87">
        <v>29133</v>
      </c>
      <c r="O22" s="87">
        <v>206221</v>
      </c>
    </row>
    <row r="32" spans="1:15">
      <c r="O32" s="121"/>
    </row>
    <row r="34" spans="15:15">
      <c r="O34" s="1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1812"/>
  <sheetViews>
    <sheetView workbookViewId="0"/>
  </sheetViews>
  <sheetFormatPr defaultRowHeight="13.2"/>
  <cols>
    <col min="1" max="1" width="5" bestFit="1" customWidth="1"/>
    <col min="2" max="3" width="11.33203125" bestFit="1" customWidth="1"/>
    <col min="4" max="4" width="7.33203125" bestFit="1" customWidth="1"/>
    <col min="5" max="5" width="14.109375" bestFit="1" customWidth="1"/>
    <col min="6" max="6" width="10.33203125" bestFit="1" customWidth="1"/>
    <col min="7" max="7" width="21.44140625" bestFit="1" customWidth="1"/>
    <col min="8" max="8" width="11" bestFit="1" customWidth="1"/>
    <col min="9" max="9" width="14.109375" bestFit="1" customWidth="1"/>
    <col min="10" max="10" width="6" bestFit="1" customWidth="1"/>
    <col min="11" max="11" width="15.5546875" bestFit="1" customWidth="1"/>
    <col min="12" max="12" width="10.44140625" bestFit="1" customWidth="1"/>
    <col min="13" max="13" width="13.5546875" bestFit="1" customWidth="1"/>
    <col min="14" max="14" width="14" bestFit="1" customWidth="1"/>
    <col min="15" max="15" width="13.88671875" bestFit="1" customWidth="1"/>
    <col min="16" max="16" width="11" bestFit="1" customWidth="1"/>
    <col min="17" max="17" width="12.33203125" bestFit="1" customWidth="1"/>
    <col min="18" max="18" width="8.77734375" bestFit="1" customWidth="1"/>
    <col min="19" max="19" width="32.33203125" bestFit="1" customWidth="1"/>
    <col min="20" max="20" width="11" bestFit="1" customWidth="1"/>
    <col min="21" max="21" width="9.77734375" bestFit="1" customWidth="1"/>
    <col min="22" max="22" width="15" bestFit="1" customWidth="1"/>
    <col min="23" max="23" width="11" bestFit="1" customWidth="1"/>
    <col min="24" max="24" width="44.77734375" bestFit="1" customWidth="1"/>
    <col min="25" max="25" width="22.77734375" bestFit="1" customWidth="1"/>
    <col min="26" max="26" width="9.88671875" bestFit="1" customWidth="1"/>
    <col min="27" max="27" width="11.33203125" bestFit="1" customWidth="1"/>
    <col min="28" max="28" width="4.6640625" bestFit="1" customWidth="1"/>
    <col min="29" max="29" width="8.77734375" bestFit="1" customWidth="1"/>
    <col min="30" max="30" width="8.6640625" bestFit="1" customWidth="1"/>
    <col min="31" max="31" width="10.6640625" bestFit="1" customWidth="1"/>
    <col min="32" max="32" width="10" bestFit="1" customWidth="1"/>
    <col min="33" max="33" width="15.33203125" bestFit="1" customWidth="1"/>
    <col min="34" max="35" width="5.88671875" bestFit="1" customWidth="1"/>
    <col min="36" max="36" width="6.5546875" bestFit="1" customWidth="1"/>
    <col min="37" max="37" width="5.88671875" bestFit="1" customWidth="1"/>
    <col min="38" max="38" width="10.109375" bestFit="1" customWidth="1"/>
    <col min="39" max="39" width="6.6640625" bestFit="1" customWidth="1"/>
    <col min="40" max="40" width="5.5546875" bestFit="1" customWidth="1"/>
    <col min="41" max="41" width="5.6640625" bestFit="1" customWidth="1"/>
    <col min="42" max="42" width="5.88671875" bestFit="1" customWidth="1"/>
    <col min="43" max="43" width="5.6640625" bestFit="1" customWidth="1"/>
    <col min="44" max="44" width="12.5546875" bestFit="1" customWidth="1"/>
    <col min="45" max="45" width="13.109375" bestFit="1" customWidth="1"/>
    <col min="46" max="46" width="14.33203125" bestFit="1" customWidth="1"/>
    <col min="47" max="47" width="10.109375" bestFit="1" customWidth="1"/>
    <col min="48" max="48" width="10.21875" bestFit="1" customWidth="1"/>
    <col min="49" max="49" width="13.21875" bestFit="1" customWidth="1"/>
    <col min="50" max="50" width="11.109375" bestFit="1" customWidth="1"/>
    <col min="51" max="51" width="22.109375" bestFit="1" customWidth="1"/>
    <col min="52" max="52" width="8.77734375" bestFit="1" customWidth="1"/>
    <col min="53" max="53" width="7.21875" bestFit="1" customWidth="1"/>
    <col min="55" max="55" width="11" bestFit="1" customWidth="1"/>
    <col min="56" max="56" width="9.5546875" bestFit="1" customWidth="1"/>
    <col min="57" max="57" width="34.109375" bestFit="1" customWidth="1"/>
    <col min="58" max="58" width="9.109375" bestFit="1" customWidth="1"/>
    <col min="59" max="59" width="9.6640625" bestFit="1" customWidth="1"/>
  </cols>
  <sheetData>
    <row r="1" spans="1:59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86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20</v>
      </c>
      <c r="X1" t="s">
        <v>57</v>
      </c>
      <c r="Y1" t="s">
        <v>19</v>
      </c>
      <c r="Z1" t="s">
        <v>123</v>
      </c>
      <c r="AA1" t="s">
        <v>220</v>
      </c>
      <c r="AB1" t="s">
        <v>124</v>
      </c>
      <c r="AC1" t="s">
        <v>125</v>
      </c>
      <c r="AD1" t="s">
        <v>126</v>
      </c>
      <c r="AE1" t="s">
        <v>221</v>
      </c>
      <c r="AF1" t="s">
        <v>127</v>
      </c>
      <c r="AG1" t="s">
        <v>128</v>
      </c>
      <c r="AH1" t="s">
        <v>129</v>
      </c>
      <c r="AI1" t="s">
        <v>130</v>
      </c>
      <c r="AJ1" t="s">
        <v>131</v>
      </c>
      <c r="AK1" t="s">
        <v>132</v>
      </c>
      <c r="AL1" t="s">
        <v>222</v>
      </c>
      <c r="AM1" t="s">
        <v>133</v>
      </c>
      <c r="AN1" t="s">
        <v>134</v>
      </c>
      <c r="AO1" t="s">
        <v>135</v>
      </c>
      <c r="AP1" t="s">
        <v>132</v>
      </c>
      <c r="AQ1" t="s">
        <v>136</v>
      </c>
      <c r="AR1" t="s">
        <v>137</v>
      </c>
      <c r="AS1" t="s">
        <v>138</v>
      </c>
      <c r="AT1" t="s">
        <v>139</v>
      </c>
      <c r="AU1" t="s">
        <v>223</v>
      </c>
      <c r="AV1" t="s">
        <v>140</v>
      </c>
      <c r="AW1" t="s">
        <v>141</v>
      </c>
      <c r="AX1" t="s">
        <v>142</v>
      </c>
      <c r="AY1" t="s">
        <v>143</v>
      </c>
      <c r="AZ1" t="s">
        <v>144</v>
      </c>
      <c r="BA1" t="s">
        <v>145</v>
      </c>
      <c r="BB1" t="s">
        <v>146</v>
      </c>
      <c r="BC1" t="s">
        <v>147</v>
      </c>
      <c r="BD1" t="s">
        <v>148</v>
      </c>
      <c r="BE1" t="s">
        <v>149</v>
      </c>
      <c r="BF1" t="s">
        <v>150</v>
      </c>
      <c r="BG1" t="s">
        <v>151</v>
      </c>
    </row>
    <row r="2" spans="1:59">
      <c r="A2">
        <v>1115</v>
      </c>
      <c r="B2">
        <v>1115</v>
      </c>
      <c r="C2">
        <v>10</v>
      </c>
      <c r="D2">
        <v>2</v>
      </c>
      <c r="E2" t="s">
        <v>152</v>
      </c>
      <c r="F2" t="s">
        <v>153</v>
      </c>
      <c r="G2" t="s">
        <v>154</v>
      </c>
      <c r="H2">
        <v>1526005946</v>
      </c>
      <c r="I2">
        <v>1000006208</v>
      </c>
      <c r="L2" t="s">
        <v>333</v>
      </c>
      <c r="M2">
        <v>5100001227</v>
      </c>
      <c r="N2" t="s">
        <v>155</v>
      </c>
      <c r="O2" t="s">
        <v>156</v>
      </c>
      <c r="P2">
        <v>4110011319</v>
      </c>
      <c r="Q2" t="s">
        <v>175</v>
      </c>
      <c r="R2">
        <v>5000</v>
      </c>
      <c r="S2" t="s">
        <v>166</v>
      </c>
      <c r="V2" t="s">
        <v>167</v>
      </c>
      <c r="W2">
        <v>1502020074</v>
      </c>
      <c r="X2" t="s">
        <v>28</v>
      </c>
      <c r="Y2" t="str">
        <f>VLOOKUP(W2,Sheet4!$A$5:$B$71,2,0)</f>
        <v>MAX UG NEW</v>
      </c>
      <c r="Z2">
        <v>87082900</v>
      </c>
      <c r="AA2">
        <v>10</v>
      </c>
      <c r="AB2" t="s">
        <v>159</v>
      </c>
      <c r="AC2" s="24">
        <v>9397.5</v>
      </c>
      <c r="AD2" t="s">
        <v>160</v>
      </c>
      <c r="AE2" s="24">
        <v>93975</v>
      </c>
      <c r="AF2">
        <v>0</v>
      </c>
      <c r="AG2" s="24">
        <v>93975</v>
      </c>
      <c r="AH2">
        <v>0</v>
      </c>
      <c r="AI2">
        <v>0</v>
      </c>
      <c r="AJ2">
        <v>0</v>
      </c>
      <c r="AK2">
        <v>0</v>
      </c>
      <c r="AL2" s="24">
        <v>93975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4">
        <v>93975</v>
      </c>
      <c r="AV2">
        <v>0</v>
      </c>
      <c r="AW2">
        <v>0</v>
      </c>
      <c r="AX2">
        <v>311000</v>
      </c>
      <c r="AY2" t="s">
        <v>161</v>
      </c>
      <c r="AZ2">
        <v>69.5</v>
      </c>
      <c r="BA2">
        <v>69.5</v>
      </c>
      <c r="BB2">
        <v>0</v>
      </c>
      <c r="BC2" t="s">
        <v>176</v>
      </c>
      <c r="BD2">
        <v>1509</v>
      </c>
      <c r="BE2" t="s">
        <v>169</v>
      </c>
      <c r="BF2">
        <v>5094107222</v>
      </c>
      <c r="BG2" t="s">
        <v>334</v>
      </c>
    </row>
    <row r="3" spans="1:59">
      <c r="A3">
        <v>1115</v>
      </c>
      <c r="B3">
        <v>1115</v>
      </c>
      <c r="C3">
        <v>10</v>
      </c>
      <c r="D3">
        <v>2</v>
      </c>
      <c r="E3" t="s">
        <v>152</v>
      </c>
      <c r="F3" t="s">
        <v>153</v>
      </c>
      <c r="G3" t="s">
        <v>154</v>
      </c>
      <c r="H3">
        <v>1526005945</v>
      </c>
      <c r="I3">
        <v>1000006207</v>
      </c>
      <c r="L3" t="s">
        <v>333</v>
      </c>
      <c r="M3">
        <v>5100001227</v>
      </c>
      <c r="N3" t="s">
        <v>155</v>
      </c>
      <c r="O3" t="s">
        <v>156</v>
      </c>
      <c r="P3">
        <v>4110011319</v>
      </c>
      <c r="Q3" t="s">
        <v>175</v>
      </c>
      <c r="R3">
        <v>5000</v>
      </c>
      <c r="S3" t="s">
        <v>166</v>
      </c>
      <c r="V3" t="s">
        <v>167</v>
      </c>
      <c r="W3">
        <v>1502020074</v>
      </c>
      <c r="X3" t="s">
        <v>28</v>
      </c>
      <c r="Y3" t="str">
        <f>VLOOKUP(W3,Sheet4!$A$5:$B$71,2,0)</f>
        <v>MAX UG NEW</v>
      </c>
      <c r="Z3">
        <v>87082900</v>
      </c>
      <c r="AA3">
        <v>10</v>
      </c>
      <c r="AB3" t="s">
        <v>159</v>
      </c>
      <c r="AC3" s="24">
        <v>9397.5</v>
      </c>
      <c r="AD3" t="s">
        <v>160</v>
      </c>
      <c r="AE3" s="24">
        <v>93975</v>
      </c>
      <c r="AF3">
        <v>0</v>
      </c>
      <c r="AG3" s="24">
        <v>93975</v>
      </c>
      <c r="AH3">
        <v>0</v>
      </c>
      <c r="AI3">
        <v>0</v>
      </c>
      <c r="AJ3">
        <v>0</v>
      </c>
      <c r="AK3">
        <v>0</v>
      </c>
      <c r="AL3" s="24">
        <v>93975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s="24">
        <v>93975</v>
      </c>
      <c r="AV3">
        <v>0</v>
      </c>
      <c r="AW3">
        <v>0</v>
      </c>
      <c r="AX3">
        <v>311000</v>
      </c>
      <c r="AY3" t="s">
        <v>161</v>
      </c>
      <c r="AZ3">
        <v>69.5</v>
      </c>
      <c r="BA3">
        <v>69.5</v>
      </c>
      <c r="BB3">
        <v>0</v>
      </c>
      <c r="BC3" t="s">
        <v>176</v>
      </c>
      <c r="BD3">
        <v>1509</v>
      </c>
      <c r="BE3" t="s">
        <v>169</v>
      </c>
      <c r="BF3">
        <v>5094106025</v>
      </c>
      <c r="BG3" t="s">
        <v>334</v>
      </c>
    </row>
    <row r="4" spans="1:59">
      <c r="A4">
        <v>1115</v>
      </c>
      <c r="B4">
        <v>1115</v>
      </c>
      <c r="C4">
        <v>10</v>
      </c>
      <c r="D4">
        <v>2</v>
      </c>
      <c r="E4" t="s">
        <v>152</v>
      </c>
      <c r="F4" t="s">
        <v>153</v>
      </c>
      <c r="G4" t="s">
        <v>154</v>
      </c>
      <c r="H4">
        <v>1526005947</v>
      </c>
      <c r="I4">
        <v>1000006209</v>
      </c>
      <c r="L4" t="s">
        <v>333</v>
      </c>
      <c r="M4">
        <v>5100001227</v>
      </c>
      <c r="N4" t="s">
        <v>155</v>
      </c>
      <c r="O4" t="s">
        <v>156</v>
      </c>
      <c r="P4">
        <v>4110011319</v>
      </c>
      <c r="Q4" t="s">
        <v>175</v>
      </c>
      <c r="R4">
        <v>5000</v>
      </c>
      <c r="S4" t="s">
        <v>166</v>
      </c>
      <c r="V4" t="s">
        <v>167</v>
      </c>
      <c r="W4">
        <v>1502020074</v>
      </c>
      <c r="X4" t="s">
        <v>28</v>
      </c>
      <c r="Y4" t="str">
        <f>VLOOKUP(W4,Sheet4!$A$5:$B$71,2,0)</f>
        <v>MAX UG NEW</v>
      </c>
      <c r="Z4">
        <v>87082900</v>
      </c>
      <c r="AA4">
        <v>10</v>
      </c>
      <c r="AB4" t="s">
        <v>159</v>
      </c>
      <c r="AC4" s="24">
        <v>9397.5</v>
      </c>
      <c r="AD4" t="s">
        <v>160</v>
      </c>
      <c r="AE4" s="24">
        <v>93975</v>
      </c>
      <c r="AF4">
        <v>0</v>
      </c>
      <c r="AG4" s="24">
        <v>93975</v>
      </c>
      <c r="AH4">
        <v>0</v>
      </c>
      <c r="AI4">
        <v>0</v>
      </c>
      <c r="AJ4">
        <v>0</v>
      </c>
      <c r="AK4">
        <v>0</v>
      </c>
      <c r="AL4" s="24">
        <v>93975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s="24">
        <v>93975</v>
      </c>
      <c r="AV4">
        <v>0</v>
      </c>
      <c r="AW4">
        <v>0</v>
      </c>
      <c r="AX4">
        <v>311000</v>
      </c>
      <c r="AY4" t="s">
        <v>161</v>
      </c>
      <c r="AZ4">
        <v>69.5</v>
      </c>
      <c r="BA4">
        <v>69.5</v>
      </c>
      <c r="BB4">
        <v>0</v>
      </c>
      <c r="BC4" t="s">
        <v>176</v>
      </c>
      <c r="BD4">
        <v>1509</v>
      </c>
      <c r="BE4" t="s">
        <v>169</v>
      </c>
      <c r="BF4">
        <v>5094107378</v>
      </c>
      <c r="BG4" t="s">
        <v>334</v>
      </c>
    </row>
    <row r="5" spans="1:59">
      <c r="A5">
        <v>1115</v>
      </c>
      <c r="B5">
        <v>1115</v>
      </c>
      <c r="C5">
        <v>10</v>
      </c>
      <c r="D5">
        <v>2</v>
      </c>
      <c r="E5" t="s">
        <v>152</v>
      </c>
      <c r="F5" t="s">
        <v>153</v>
      </c>
      <c r="G5" t="s">
        <v>154</v>
      </c>
      <c r="H5">
        <v>1526005948</v>
      </c>
      <c r="I5">
        <v>1000006210</v>
      </c>
      <c r="L5" t="s">
        <v>333</v>
      </c>
      <c r="M5">
        <v>5100001666</v>
      </c>
      <c r="N5" t="s">
        <v>155</v>
      </c>
      <c r="O5" t="s">
        <v>156</v>
      </c>
      <c r="P5">
        <v>4110027035</v>
      </c>
      <c r="Q5" t="s">
        <v>225</v>
      </c>
      <c r="R5">
        <v>5000</v>
      </c>
      <c r="S5" t="s">
        <v>166</v>
      </c>
      <c r="V5" t="s">
        <v>167</v>
      </c>
      <c r="W5">
        <v>1502020105</v>
      </c>
      <c r="X5" t="s">
        <v>226</v>
      </c>
      <c r="Y5" t="str">
        <f>VLOOKUP(W5,Sheet4!$A$5:$B$71,2,0)</f>
        <v>RE STYLING</v>
      </c>
      <c r="Z5">
        <v>87082900</v>
      </c>
      <c r="AA5">
        <v>15</v>
      </c>
      <c r="AB5" t="s">
        <v>159</v>
      </c>
      <c r="AC5" s="24">
        <v>6570.77</v>
      </c>
      <c r="AD5" t="s">
        <v>160</v>
      </c>
      <c r="AE5" s="24">
        <v>98561.55</v>
      </c>
      <c r="AF5">
        <v>0</v>
      </c>
      <c r="AG5" s="24">
        <v>98561.55</v>
      </c>
      <c r="AH5">
        <v>0</v>
      </c>
      <c r="AI5">
        <v>0</v>
      </c>
      <c r="AJ5">
        <v>0</v>
      </c>
      <c r="AK5">
        <v>0</v>
      </c>
      <c r="AL5" s="24">
        <v>98561.55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s="24">
        <v>98561.55</v>
      </c>
      <c r="AV5">
        <v>0</v>
      </c>
      <c r="AW5">
        <v>0</v>
      </c>
      <c r="AX5">
        <v>311000</v>
      </c>
      <c r="AY5" t="s">
        <v>161</v>
      </c>
      <c r="AZ5">
        <v>49.75</v>
      </c>
      <c r="BA5">
        <v>49.75</v>
      </c>
      <c r="BB5">
        <v>0</v>
      </c>
      <c r="BC5" t="s">
        <v>227</v>
      </c>
      <c r="BD5">
        <v>1509</v>
      </c>
      <c r="BE5" t="s">
        <v>169</v>
      </c>
      <c r="BF5">
        <v>5094107126</v>
      </c>
      <c r="BG5" t="s">
        <v>334</v>
      </c>
    </row>
    <row r="6" spans="1:59">
      <c r="A6">
        <v>1115</v>
      </c>
      <c r="B6">
        <v>1115</v>
      </c>
      <c r="C6">
        <v>10</v>
      </c>
      <c r="D6">
        <v>2</v>
      </c>
      <c r="E6" t="s">
        <v>152</v>
      </c>
      <c r="F6" t="s">
        <v>153</v>
      </c>
      <c r="G6" t="s">
        <v>154</v>
      </c>
      <c r="H6">
        <v>1526005944</v>
      </c>
      <c r="I6">
        <v>1000006206</v>
      </c>
      <c r="L6" t="s">
        <v>333</v>
      </c>
      <c r="M6">
        <v>5100001227</v>
      </c>
      <c r="N6" t="s">
        <v>155</v>
      </c>
      <c r="O6" t="s">
        <v>156</v>
      </c>
      <c r="P6">
        <v>4110011319</v>
      </c>
      <c r="Q6" t="s">
        <v>175</v>
      </c>
      <c r="R6">
        <v>5000</v>
      </c>
      <c r="S6" t="s">
        <v>166</v>
      </c>
      <c r="V6" t="s">
        <v>167</v>
      </c>
      <c r="W6">
        <v>1502020074</v>
      </c>
      <c r="X6" t="s">
        <v>28</v>
      </c>
      <c r="Y6" t="str">
        <f>VLOOKUP(W6,Sheet4!$A$5:$B$71,2,0)</f>
        <v>MAX UG NEW</v>
      </c>
      <c r="Z6">
        <v>87082900</v>
      </c>
      <c r="AA6">
        <v>10</v>
      </c>
      <c r="AB6" t="s">
        <v>159</v>
      </c>
      <c r="AC6" s="24">
        <v>9397.5</v>
      </c>
      <c r="AD6" t="s">
        <v>160</v>
      </c>
      <c r="AE6" s="24">
        <v>93975</v>
      </c>
      <c r="AF6">
        <v>0</v>
      </c>
      <c r="AG6" s="24">
        <v>93975</v>
      </c>
      <c r="AH6">
        <v>0</v>
      </c>
      <c r="AI6">
        <v>0</v>
      </c>
      <c r="AJ6">
        <v>0</v>
      </c>
      <c r="AK6">
        <v>0</v>
      </c>
      <c r="AL6" s="24">
        <v>93975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s="24">
        <v>93975</v>
      </c>
      <c r="AV6">
        <v>0</v>
      </c>
      <c r="AW6">
        <v>0</v>
      </c>
      <c r="AX6">
        <v>311000</v>
      </c>
      <c r="AY6" t="s">
        <v>161</v>
      </c>
      <c r="AZ6">
        <v>69.5</v>
      </c>
      <c r="BA6">
        <v>69.5</v>
      </c>
      <c r="BB6">
        <v>0</v>
      </c>
      <c r="BC6" t="s">
        <v>176</v>
      </c>
      <c r="BD6">
        <v>1509</v>
      </c>
      <c r="BE6" t="s">
        <v>169</v>
      </c>
      <c r="BF6">
        <v>5094107376</v>
      </c>
      <c r="BG6" t="s">
        <v>334</v>
      </c>
    </row>
    <row r="7" spans="1:59">
      <c r="A7">
        <v>1115</v>
      </c>
      <c r="B7">
        <v>1115</v>
      </c>
      <c r="C7">
        <v>10</v>
      </c>
      <c r="D7">
        <v>2</v>
      </c>
      <c r="E7" t="s">
        <v>152</v>
      </c>
      <c r="F7" t="s">
        <v>153</v>
      </c>
      <c r="G7" t="s">
        <v>154</v>
      </c>
      <c r="H7">
        <v>1526005942</v>
      </c>
      <c r="I7">
        <v>1000006204</v>
      </c>
      <c r="L7" t="s">
        <v>333</v>
      </c>
      <c r="M7">
        <v>5100001928</v>
      </c>
      <c r="N7" t="s">
        <v>155</v>
      </c>
      <c r="O7" t="s">
        <v>156</v>
      </c>
      <c r="P7">
        <v>4110057393</v>
      </c>
      <c r="Q7" t="s">
        <v>192</v>
      </c>
      <c r="R7">
        <v>5000</v>
      </c>
      <c r="S7" t="s">
        <v>166</v>
      </c>
      <c r="V7" t="s">
        <v>167</v>
      </c>
      <c r="W7">
        <v>1502020122</v>
      </c>
      <c r="X7" t="s">
        <v>70</v>
      </c>
      <c r="Y7" t="str">
        <f>VLOOKUP(W7,Sheet4!$A$5:$B$71,2,0)</f>
        <v>MAX UG NEW EV</v>
      </c>
      <c r="Z7">
        <v>87082900</v>
      </c>
      <c r="AA7">
        <v>10</v>
      </c>
      <c r="AB7" t="s">
        <v>159</v>
      </c>
      <c r="AC7" s="24">
        <v>9566.51</v>
      </c>
      <c r="AD7" t="s">
        <v>160</v>
      </c>
      <c r="AE7" s="24">
        <v>95665.1</v>
      </c>
      <c r="AF7">
        <v>0</v>
      </c>
      <c r="AG7" s="24">
        <v>95665.1</v>
      </c>
      <c r="AH7">
        <v>0</v>
      </c>
      <c r="AI7">
        <v>0</v>
      </c>
      <c r="AJ7">
        <v>0</v>
      </c>
      <c r="AK7">
        <v>0</v>
      </c>
      <c r="AL7" s="24">
        <v>95665.1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s="24">
        <v>95665.1</v>
      </c>
      <c r="AV7">
        <v>0</v>
      </c>
      <c r="AW7">
        <v>0</v>
      </c>
      <c r="AX7">
        <v>311000</v>
      </c>
      <c r="AY7" t="s">
        <v>161</v>
      </c>
      <c r="AZ7">
        <v>0</v>
      </c>
      <c r="BA7">
        <v>61</v>
      </c>
      <c r="BB7">
        <v>-61</v>
      </c>
      <c r="BC7" t="s">
        <v>193</v>
      </c>
      <c r="BD7">
        <v>1509</v>
      </c>
      <c r="BE7" t="s">
        <v>169</v>
      </c>
      <c r="BF7">
        <v>5094104692</v>
      </c>
      <c r="BG7" t="s">
        <v>333</v>
      </c>
    </row>
    <row r="8" spans="1:59">
      <c r="A8">
        <v>1115</v>
      </c>
      <c r="B8">
        <v>1115</v>
      </c>
      <c r="C8">
        <v>10</v>
      </c>
      <c r="D8">
        <v>2</v>
      </c>
      <c r="E8" t="s">
        <v>152</v>
      </c>
      <c r="F8" t="s">
        <v>153</v>
      </c>
      <c r="G8" t="s">
        <v>154</v>
      </c>
      <c r="H8">
        <v>1526005941</v>
      </c>
      <c r="I8">
        <v>1000006203</v>
      </c>
      <c r="L8" t="s">
        <v>333</v>
      </c>
      <c r="M8">
        <v>5100001636</v>
      </c>
      <c r="N8" t="s">
        <v>155</v>
      </c>
      <c r="O8" t="s">
        <v>156</v>
      </c>
      <c r="P8">
        <v>4110026445</v>
      </c>
      <c r="Q8" t="s">
        <v>170</v>
      </c>
      <c r="R8">
        <v>5000</v>
      </c>
      <c r="S8" t="s">
        <v>166</v>
      </c>
      <c r="V8" t="s">
        <v>167</v>
      </c>
      <c r="W8">
        <v>1502020104</v>
      </c>
      <c r="X8" t="s">
        <v>26</v>
      </c>
      <c r="Y8" t="str">
        <f>VLOOKUP(W8,Sheet4!$A$5:$B$71,2,0)</f>
        <v>RE STYLING</v>
      </c>
      <c r="Z8">
        <v>87082900</v>
      </c>
      <c r="AA8">
        <v>6</v>
      </c>
      <c r="AB8" t="s">
        <v>159</v>
      </c>
      <c r="AC8" s="24">
        <v>6585.55</v>
      </c>
      <c r="AD8" t="s">
        <v>160</v>
      </c>
      <c r="AE8" s="24">
        <v>39513.300000000003</v>
      </c>
      <c r="AF8">
        <v>0</v>
      </c>
      <c r="AG8" s="24">
        <v>39513.300000000003</v>
      </c>
      <c r="AH8">
        <v>0</v>
      </c>
      <c r="AI8">
        <v>0</v>
      </c>
      <c r="AJ8">
        <v>0</v>
      </c>
      <c r="AK8">
        <v>0</v>
      </c>
      <c r="AL8" s="24">
        <v>39513.300000000003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s="24">
        <v>39513.300000000003</v>
      </c>
      <c r="AV8">
        <v>0</v>
      </c>
      <c r="AW8">
        <v>0</v>
      </c>
      <c r="AX8">
        <v>311000</v>
      </c>
      <c r="AY8" t="s">
        <v>161</v>
      </c>
      <c r="AZ8">
        <v>49.75</v>
      </c>
      <c r="BA8">
        <v>49.75</v>
      </c>
      <c r="BB8">
        <v>0</v>
      </c>
      <c r="BC8" t="s">
        <v>171</v>
      </c>
      <c r="BD8">
        <v>1509</v>
      </c>
      <c r="BE8" t="s">
        <v>169</v>
      </c>
      <c r="BF8">
        <v>5094107251</v>
      </c>
      <c r="BG8" t="s">
        <v>334</v>
      </c>
    </row>
    <row r="9" spans="1:59">
      <c r="A9">
        <v>1115</v>
      </c>
      <c r="B9">
        <v>1115</v>
      </c>
      <c r="C9">
        <v>10</v>
      </c>
      <c r="D9">
        <v>2</v>
      </c>
      <c r="E9" t="s">
        <v>152</v>
      </c>
      <c r="F9" t="s">
        <v>153</v>
      </c>
      <c r="G9" t="s">
        <v>154</v>
      </c>
      <c r="H9">
        <v>1526005940</v>
      </c>
      <c r="I9">
        <v>1000006202</v>
      </c>
      <c r="L9" t="s">
        <v>333</v>
      </c>
      <c r="M9">
        <v>5100001407</v>
      </c>
      <c r="N9" t="s">
        <v>155</v>
      </c>
      <c r="O9" t="s">
        <v>156</v>
      </c>
      <c r="P9">
        <v>4110019623</v>
      </c>
      <c r="Q9" t="s">
        <v>188</v>
      </c>
      <c r="R9">
        <v>5000</v>
      </c>
      <c r="S9" t="s">
        <v>166</v>
      </c>
      <c r="V9" t="s">
        <v>167</v>
      </c>
      <c r="W9">
        <v>1502040216</v>
      </c>
      <c r="X9" t="s">
        <v>64</v>
      </c>
      <c r="Y9" t="str">
        <f>VLOOKUP(W9,Sheet4!$A$5:$B$71,2,0)</f>
        <v>FRONT MUDGAURD</v>
      </c>
      <c r="Z9">
        <v>87082900</v>
      </c>
      <c r="AA9">
        <v>960</v>
      </c>
      <c r="AB9" t="s">
        <v>159</v>
      </c>
      <c r="AC9">
        <v>174.11</v>
      </c>
      <c r="AD9" t="s">
        <v>160</v>
      </c>
      <c r="AE9" s="24">
        <v>167145.60000000001</v>
      </c>
      <c r="AF9">
        <v>0</v>
      </c>
      <c r="AG9" s="24">
        <v>167145.60000000001</v>
      </c>
      <c r="AH9">
        <v>0</v>
      </c>
      <c r="AI9">
        <v>0</v>
      </c>
      <c r="AJ9">
        <v>0</v>
      </c>
      <c r="AK9">
        <v>0</v>
      </c>
      <c r="AL9" s="24">
        <v>167145.60000000001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s="24">
        <v>167145.60000000001</v>
      </c>
      <c r="AV9">
        <v>0</v>
      </c>
      <c r="AW9">
        <v>0</v>
      </c>
      <c r="AX9">
        <v>311000</v>
      </c>
      <c r="AY9" t="s">
        <v>161</v>
      </c>
      <c r="AZ9">
        <v>2.573</v>
      </c>
      <c r="BA9">
        <v>1.4910000000000001</v>
      </c>
      <c r="BB9">
        <v>1.0820000000000001</v>
      </c>
      <c r="BC9" t="s">
        <v>189</v>
      </c>
      <c r="BD9">
        <v>1511</v>
      </c>
      <c r="BE9" t="s">
        <v>174</v>
      </c>
      <c r="BF9">
        <v>5094107252</v>
      </c>
      <c r="BG9" t="s">
        <v>334</v>
      </c>
    </row>
    <row r="10" spans="1:59">
      <c r="A10">
        <v>1115</v>
      </c>
      <c r="B10">
        <v>1115</v>
      </c>
      <c r="C10">
        <v>10</v>
      </c>
      <c r="D10">
        <v>2</v>
      </c>
      <c r="E10" t="s">
        <v>152</v>
      </c>
      <c r="F10" t="s">
        <v>153</v>
      </c>
      <c r="G10" t="s">
        <v>154</v>
      </c>
      <c r="H10">
        <v>1526005939</v>
      </c>
      <c r="I10">
        <v>1000006201</v>
      </c>
      <c r="L10" t="s">
        <v>333</v>
      </c>
      <c r="M10">
        <v>5100001924</v>
      </c>
      <c r="N10" t="s">
        <v>155</v>
      </c>
      <c r="O10" t="s">
        <v>156</v>
      </c>
      <c r="P10">
        <v>4110055642</v>
      </c>
      <c r="Q10" t="s">
        <v>199</v>
      </c>
      <c r="R10">
        <v>5000</v>
      </c>
      <c r="S10" t="s">
        <v>166</v>
      </c>
      <c r="V10" t="s">
        <v>167</v>
      </c>
      <c r="W10">
        <v>1502040314</v>
      </c>
      <c r="X10" t="s">
        <v>248</v>
      </c>
      <c r="Y10" t="str">
        <f>VLOOKUP(W10,Sheet4!$A$5:$B$71,2,0)</f>
        <v>Re Side Door</v>
      </c>
      <c r="Z10">
        <v>87082900</v>
      </c>
      <c r="AA10">
        <v>120</v>
      </c>
      <c r="AB10" t="s">
        <v>159</v>
      </c>
      <c r="AC10">
        <v>504.46</v>
      </c>
      <c r="AD10" t="s">
        <v>160</v>
      </c>
      <c r="AE10" s="24">
        <v>60535.199999999997</v>
      </c>
      <c r="AF10">
        <v>0</v>
      </c>
      <c r="AG10" s="24">
        <v>60535.199999999997</v>
      </c>
      <c r="AH10">
        <v>0</v>
      </c>
      <c r="AI10">
        <v>0</v>
      </c>
      <c r="AJ10">
        <v>0</v>
      </c>
      <c r="AK10">
        <v>0</v>
      </c>
      <c r="AL10" s="24">
        <v>60535.199999999997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s="24">
        <v>60535.199999999997</v>
      </c>
      <c r="AV10">
        <v>0</v>
      </c>
      <c r="AW10">
        <v>0</v>
      </c>
      <c r="AX10">
        <v>311000</v>
      </c>
      <c r="AY10" t="s">
        <v>161</v>
      </c>
      <c r="AZ10">
        <v>2.27</v>
      </c>
      <c r="BA10">
        <v>2.27</v>
      </c>
      <c r="BB10">
        <v>0</v>
      </c>
      <c r="BC10" t="s">
        <v>249</v>
      </c>
      <c r="BD10">
        <v>1511</v>
      </c>
      <c r="BE10" t="s">
        <v>174</v>
      </c>
      <c r="BF10">
        <v>5094113616</v>
      </c>
      <c r="BG10" t="s">
        <v>334</v>
      </c>
    </row>
    <row r="11" spans="1:59">
      <c r="A11">
        <v>1115</v>
      </c>
      <c r="B11">
        <v>1115</v>
      </c>
      <c r="C11">
        <v>10</v>
      </c>
      <c r="D11">
        <v>2</v>
      </c>
      <c r="E11" t="s">
        <v>152</v>
      </c>
      <c r="F11" t="s">
        <v>153</v>
      </c>
      <c r="G11" t="s">
        <v>154</v>
      </c>
      <c r="H11">
        <v>1526005949</v>
      </c>
      <c r="I11">
        <v>1000006211</v>
      </c>
      <c r="L11" t="s">
        <v>333</v>
      </c>
      <c r="M11">
        <v>5100001666</v>
      </c>
      <c r="N11" t="s">
        <v>155</v>
      </c>
      <c r="O11" t="s">
        <v>156</v>
      </c>
      <c r="P11">
        <v>4110027035</v>
      </c>
      <c r="Q11" t="s">
        <v>225</v>
      </c>
      <c r="R11">
        <v>5000</v>
      </c>
      <c r="S11" t="s">
        <v>166</v>
      </c>
      <c r="V11" t="s">
        <v>167</v>
      </c>
      <c r="W11">
        <v>1502020105</v>
      </c>
      <c r="X11" t="s">
        <v>226</v>
      </c>
      <c r="Y11" t="str">
        <f>VLOOKUP(W11,Sheet4!$A$5:$B$71,2,0)</f>
        <v>RE STYLING</v>
      </c>
      <c r="Z11">
        <v>87082900</v>
      </c>
      <c r="AA11">
        <v>15</v>
      </c>
      <c r="AB11" t="s">
        <v>159</v>
      </c>
      <c r="AC11" s="24">
        <v>6570.77</v>
      </c>
      <c r="AD11" t="s">
        <v>160</v>
      </c>
      <c r="AE11" s="24">
        <v>98561.55</v>
      </c>
      <c r="AF11">
        <v>0</v>
      </c>
      <c r="AG11" s="24">
        <v>98561.55</v>
      </c>
      <c r="AH11">
        <v>0</v>
      </c>
      <c r="AI11">
        <v>0</v>
      </c>
      <c r="AJ11">
        <v>0</v>
      </c>
      <c r="AK11">
        <v>0</v>
      </c>
      <c r="AL11" s="24">
        <v>98561.55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s="24">
        <v>98561.55</v>
      </c>
      <c r="AV11">
        <v>0</v>
      </c>
      <c r="AW11">
        <v>0</v>
      </c>
      <c r="AX11">
        <v>311000</v>
      </c>
      <c r="AY11" t="s">
        <v>161</v>
      </c>
      <c r="AZ11">
        <v>49.75</v>
      </c>
      <c r="BA11">
        <v>49.75</v>
      </c>
      <c r="BB11">
        <v>0</v>
      </c>
      <c r="BC11" t="s">
        <v>227</v>
      </c>
      <c r="BD11">
        <v>1509</v>
      </c>
      <c r="BE11" t="s">
        <v>169</v>
      </c>
      <c r="BF11">
        <v>5094107045</v>
      </c>
      <c r="BG11" t="s">
        <v>334</v>
      </c>
    </row>
    <row r="12" spans="1:59">
      <c r="A12">
        <v>1115</v>
      </c>
      <c r="B12">
        <v>1115</v>
      </c>
      <c r="C12">
        <v>10</v>
      </c>
      <c r="D12">
        <v>2</v>
      </c>
      <c r="E12" t="s">
        <v>152</v>
      </c>
      <c r="F12" t="s">
        <v>153</v>
      </c>
      <c r="G12" t="s">
        <v>154</v>
      </c>
      <c r="H12">
        <v>1526005950</v>
      </c>
      <c r="I12">
        <v>1000006212</v>
      </c>
      <c r="L12" t="s">
        <v>333</v>
      </c>
      <c r="M12">
        <v>5100001666</v>
      </c>
      <c r="N12" t="s">
        <v>155</v>
      </c>
      <c r="O12" t="s">
        <v>156</v>
      </c>
      <c r="P12">
        <v>4110027035</v>
      </c>
      <c r="Q12" t="s">
        <v>225</v>
      </c>
      <c r="R12">
        <v>5000</v>
      </c>
      <c r="S12" t="s">
        <v>166</v>
      </c>
      <c r="V12" t="s">
        <v>167</v>
      </c>
      <c r="W12">
        <v>1502020105</v>
      </c>
      <c r="X12" t="s">
        <v>226</v>
      </c>
      <c r="Y12" t="str">
        <f>VLOOKUP(W12,Sheet4!$A$5:$B$71,2,0)</f>
        <v>RE STYLING</v>
      </c>
      <c r="Z12">
        <v>87082900</v>
      </c>
      <c r="AA12">
        <v>15</v>
      </c>
      <c r="AB12" t="s">
        <v>159</v>
      </c>
      <c r="AC12" s="24">
        <v>6570.77</v>
      </c>
      <c r="AD12" t="s">
        <v>160</v>
      </c>
      <c r="AE12" s="24">
        <v>98561.55</v>
      </c>
      <c r="AF12">
        <v>0</v>
      </c>
      <c r="AG12" s="24">
        <v>98561.55</v>
      </c>
      <c r="AH12">
        <v>0</v>
      </c>
      <c r="AI12">
        <v>0</v>
      </c>
      <c r="AJ12">
        <v>0</v>
      </c>
      <c r="AK12">
        <v>0</v>
      </c>
      <c r="AL12" s="24">
        <v>98561.55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s="24">
        <v>98561.55</v>
      </c>
      <c r="AV12">
        <v>0</v>
      </c>
      <c r="AW12">
        <v>0</v>
      </c>
      <c r="AX12">
        <v>311000</v>
      </c>
      <c r="AY12" t="s">
        <v>161</v>
      </c>
      <c r="AZ12">
        <v>49.75</v>
      </c>
      <c r="BA12">
        <v>49.75</v>
      </c>
      <c r="BB12">
        <v>0</v>
      </c>
      <c r="BC12" t="s">
        <v>227</v>
      </c>
      <c r="BD12">
        <v>1509</v>
      </c>
      <c r="BE12" t="s">
        <v>169</v>
      </c>
      <c r="BF12">
        <v>5094107035</v>
      </c>
      <c r="BG12" t="s">
        <v>334</v>
      </c>
    </row>
    <row r="13" spans="1:59">
      <c r="A13">
        <v>1115</v>
      </c>
      <c r="B13">
        <v>1115</v>
      </c>
      <c r="C13">
        <v>10</v>
      </c>
      <c r="D13">
        <v>2</v>
      </c>
      <c r="E13" t="s">
        <v>152</v>
      </c>
      <c r="F13" t="s">
        <v>153</v>
      </c>
      <c r="G13" t="s">
        <v>154</v>
      </c>
      <c r="H13">
        <v>1526005951</v>
      </c>
      <c r="I13">
        <v>1000006213</v>
      </c>
      <c r="L13" t="s">
        <v>333</v>
      </c>
      <c r="M13">
        <v>5100001666</v>
      </c>
      <c r="N13" t="s">
        <v>155</v>
      </c>
      <c r="O13" t="s">
        <v>156</v>
      </c>
      <c r="P13">
        <v>4110027035</v>
      </c>
      <c r="Q13" t="s">
        <v>225</v>
      </c>
      <c r="R13">
        <v>5000</v>
      </c>
      <c r="S13" t="s">
        <v>166</v>
      </c>
      <c r="V13" t="s">
        <v>167</v>
      </c>
      <c r="W13">
        <v>1502020105</v>
      </c>
      <c r="X13" t="s">
        <v>226</v>
      </c>
      <c r="Y13" t="str">
        <f>VLOOKUP(W13,Sheet4!$A$5:$B$71,2,0)</f>
        <v>RE STYLING</v>
      </c>
      <c r="Z13">
        <v>87082900</v>
      </c>
      <c r="AA13">
        <v>15</v>
      </c>
      <c r="AB13" t="s">
        <v>159</v>
      </c>
      <c r="AC13" s="24">
        <v>6570.77</v>
      </c>
      <c r="AD13" t="s">
        <v>160</v>
      </c>
      <c r="AE13" s="24">
        <v>98561.55</v>
      </c>
      <c r="AF13">
        <v>0</v>
      </c>
      <c r="AG13" s="24">
        <v>98561.55</v>
      </c>
      <c r="AH13">
        <v>0</v>
      </c>
      <c r="AI13">
        <v>0</v>
      </c>
      <c r="AJ13">
        <v>0</v>
      </c>
      <c r="AK13">
        <v>0</v>
      </c>
      <c r="AL13" s="24">
        <v>98561.55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24">
        <v>98561.55</v>
      </c>
      <c r="AV13">
        <v>0</v>
      </c>
      <c r="AW13">
        <v>0</v>
      </c>
      <c r="AX13">
        <v>311000</v>
      </c>
      <c r="AY13" t="s">
        <v>161</v>
      </c>
      <c r="AZ13">
        <v>49.75</v>
      </c>
      <c r="BA13">
        <v>49.75</v>
      </c>
      <c r="BB13">
        <v>0</v>
      </c>
      <c r="BC13" t="s">
        <v>227</v>
      </c>
      <c r="BD13">
        <v>1509</v>
      </c>
      <c r="BE13" t="s">
        <v>169</v>
      </c>
      <c r="BF13">
        <v>5094107203</v>
      </c>
      <c r="BG13" t="s">
        <v>334</v>
      </c>
    </row>
    <row r="14" spans="1:59">
      <c r="A14">
        <v>1115</v>
      </c>
      <c r="B14">
        <v>1115</v>
      </c>
      <c r="C14">
        <v>10</v>
      </c>
      <c r="D14">
        <v>2</v>
      </c>
      <c r="E14" t="s">
        <v>152</v>
      </c>
      <c r="F14" t="s">
        <v>153</v>
      </c>
      <c r="G14" t="s">
        <v>154</v>
      </c>
      <c r="H14">
        <v>1526005952</v>
      </c>
      <c r="I14">
        <v>1000006214</v>
      </c>
      <c r="L14" t="s">
        <v>333</v>
      </c>
      <c r="M14">
        <v>5100001928</v>
      </c>
      <c r="N14" t="s">
        <v>155</v>
      </c>
      <c r="O14" t="s">
        <v>156</v>
      </c>
      <c r="P14">
        <v>4110057393</v>
      </c>
      <c r="Q14" t="s">
        <v>192</v>
      </c>
      <c r="R14">
        <v>5000</v>
      </c>
      <c r="S14" t="s">
        <v>166</v>
      </c>
      <c r="V14" t="s">
        <v>167</v>
      </c>
      <c r="W14">
        <v>1502020122</v>
      </c>
      <c r="X14" t="s">
        <v>70</v>
      </c>
      <c r="Y14" t="str">
        <f>VLOOKUP(W14,Sheet4!$A$5:$B$71,2,0)</f>
        <v>MAX UG NEW EV</v>
      </c>
      <c r="Z14">
        <v>87082900</v>
      </c>
      <c r="AA14">
        <v>10</v>
      </c>
      <c r="AB14" t="s">
        <v>159</v>
      </c>
      <c r="AC14" s="24">
        <v>9566.51</v>
      </c>
      <c r="AD14" t="s">
        <v>160</v>
      </c>
      <c r="AE14" s="24">
        <v>95665.1</v>
      </c>
      <c r="AF14">
        <v>0</v>
      </c>
      <c r="AG14" s="24">
        <v>95665.1</v>
      </c>
      <c r="AH14">
        <v>0</v>
      </c>
      <c r="AI14">
        <v>0</v>
      </c>
      <c r="AJ14">
        <v>0</v>
      </c>
      <c r="AK14">
        <v>0</v>
      </c>
      <c r="AL14" s="24">
        <v>95665.1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24">
        <v>95665.1</v>
      </c>
      <c r="AV14">
        <v>0</v>
      </c>
      <c r="AW14">
        <v>0</v>
      </c>
      <c r="AX14">
        <v>311000</v>
      </c>
      <c r="AY14" t="s">
        <v>161</v>
      </c>
      <c r="AZ14">
        <v>0</v>
      </c>
      <c r="BA14">
        <v>61</v>
      </c>
      <c r="BB14">
        <v>-61</v>
      </c>
      <c r="BC14" t="s">
        <v>193</v>
      </c>
      <c r="BD14">
        <v>1509</v>
      </c>
      <c r="BE14" t="s">
        <v>169</v>
      </c>
      <c r="BF14">
        <v>5094107399</v>
      </c>
      <c r="BG14" t="s">
        <v>334</v>
      </c>
    </row>
    <row r="15" spans="1:59">
      <c r="A15">
        <v>1115</v>
      </c>
      <c r="B15">
        <v>1115</v>
      </c>
      <c r="C15">
        <v>10</v>
      </c>
      <c r="D15">
        <v>2</v>
      </c>
      <c r="E15" t="s">
        <v>152</v>
      </c>
      <c r="F15" t="s">
        <v>153</v>
      </c>
      <c r="G15" t="s">
        <v>154</v>
      </c>
      <c r="H15">
        <v>1526005953</v>
      </c>
      <c r="I15">
        <v>1000006215</v>
      </c>
      <c r="L15" t="s">
        <v>333</v>
      </c>
      <c r="M15">
        <v>5100001928</v>
      </c>
      <c r="N15" t="s">
        <v>155</v>
      </c>
      <c r="O15" t="s">
        <v>156</v>
      </c>
      <c r="P15">
        <v>4110057393</v>
      </c>
      <c r="Q15" t="s">
        <v>192</v>
      </c>
      <c r="R15">
        <v>5000</v>
      </c>
      <c r="S15" t="s">
        <v>166</v>
      </c>
      <c r="V15" t="s">
        <v>167</v>
      </c>
      <c r="W15">
        <v>1502020122</v>
      </c>
      <c r="X15" t="s">
        <v>70</v>
      </c>
      <c r="Y15" t="str">
        <f>VLOOKUP(W15,Sheet4!$A$5:$B$71,2,0)</f>
        <v>MAX UG NEW EV</v>
      </c>
      <c r="Z15">
        <v>87082900</v>
      </c>
      <c r="AA15">
        <v>10</v>
      </c>
      <c r="AB15" t="s">
        <v>159</v>
      </c>
      <c r="AC15" s="24">
        <v>9566.51</v>
      </c>
      <c r="AD15" t="s">
        <v>160</v>
      </c>
      <c r="AE15" s="24">
        <v>95665.1</v>
      </c>
      <c r="AF15">
        <v>0</v>
      </c>
      <c r="AG15" s="24">
        <v>95665.1</v>
      </c>
      <c r="AH15">
        <v>0</v>
      </c>
      <c r="AI15">
        <v>0</v>
      </c>
      <c r="AJ15">
        <v>0</v>
      </c>
      <c r="AK15">
        <v>0</v>
      </c>
      <c r="AL15" s="24">
        <v>95665.1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s="24">
        <v>95665.1</v>
      </c>
      <c r="AV15">
        <v>0</v>
      </c>
      <c r="AW15">
        <v>0</v>
      </c>
      <c r="AX15">
        <v>311000</v>
      </c>
      <c r="AY15" t="s">
        <v>161</v>
      </c>
      <c r="AZ15">
        <v>0</v>
      </c>
      <c r="BA15">
        <v>61</v>
      </c>
      <c r="BB15">
        <v>-61</v>
      </c>
      <c r="BC15" t="s">
        <v>193</v>
      </c>
      <c r="BD15">
        <v>1509</v>
      </c>
      <c r="BE15" t="s">
        <v>169</v>
      </c>
      <c r="BF15">
        <v>5094105709</v>
      </c>
      <c r="BG15" t="s">
        <v>333</v>
      </c>
    </row>
    <row r="16" spans="1:59">
      <c r="A16">
        <v>1115</v>
      </c>
      <c r="B16">
        <v>1115</v>
      </c>
      <c r="C16">
        <v>10</v>
      </c>
      <c r="D16">
        <v>2</v>
      </c>
      <c r="E16" t="s">
        <v>152</v>
      </c>
      <c r="F16" t="s">
        <v>153</v>
      </c>
      <c r="G16" t="s">
        <v>154</v>
      </c>
      <c r="H16">
        <v>1526005954</v>
      </c>
      <c r="I16">
        <v>1000006216</v>
      </c>
      <c r="L16" t="s">
        <v>333</v>
      </c>
      <c r="M16">
        <v>5100001666</v>
      </c>
      <c r="N16" t="s">
        <v>155</v>
      </c>
      <c r="O16" t="s">
        <v>156</v>
      </c>
      <c r="P16">
        <v>4110027035</v>
      </c>
      <c r="Q16" t="s">
        <v>225</v>
      </c>
      <c r="R16">
        <v>5000</v>
      </c>
      <c r="S16" t="s">
        <v>166</v>
      </c>
      <c r="V16" t="s">
        <v>167</v>
      </c>
      <c r="W16">
        <v>1502020105</v>
      </c>
      <c r="X16" t="s">
        <v>226</v>
      </c>
      <c r="Y16" t="str">
        <f>VLOOKUP(W16,Sheet4!$A$5:$B$71,2,0)</f>
        <v>RE STYLING</v>
      </c>
      <c r="Z16">
        <v>87082900</v>
      </c>
      <c r="AA16">
        <v>15</v>
      </c>
      <c r="AB16" t="s">
        <v>159</v>
      </c>
      <c r="AC16" s="24">
        <v>6570.77</v>
      </c>
      <c r="AD16" t="s">
        <v>160</v>
      </c>
      <c r="AE16" s="24">
        <v>98561.55</v>
      </c>
      <c r="AF16">
        <v>0</v>
      </c>
      <c r="AG16" s="24">
        <v>98561.55</v>
      </c>
      <c r="AH16">
        <v>0</v>
      </c>
      <c r="AI16">
        <v>0</v>
      </c>
      <c r="AJ16">
        <v>0</v>
      </c>
      <c r="AK16">
        <v>0</v>
      </c>
      <c r="AL16" s="24">
        <v>98561.55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24">
        <v>98561.55</v>
      </c>
      <c r="AV16">
        <v>0</v>
      </c>
      <c r="AW16">
        <v>0</v>
      </c>
      <c r="AX16">
        <v>311000</v>
      </c>
      <c r="AY16" t="s">
        <v>161</v>
      </c>
      <c r="AZ16">
        <v>49.75</v>
      </c>
      <c r="BA16">
        <v>49.75</v>
      </c>
      <c r="BB16">
        <v>0</v>
      </c>
      <c r="BC16" t="s">
        <v>227</v>
      </c>
      <c r="BD16">
        <v>1509</v>
      </c>
      <c r="BE16" t="s">
        <v>169</v>
      </c>
      <c r="BF16">
        <v>5094107033</v>
      </c>
      <c r="BG16" t="s">
        <v>334</v>
      </c>
    </row>
    <row r="17" spans="1:59">
      <c r="A17">
        <v>1115</v>
      </c>
      <c r="B17">
        <v>1115</v>
      </c>
      <c r="C17">
        <v>10</v>
      </c>
      <c r="D17">
        <v>2</v>
      </c>
      <c r="E17" t="s">
        <v>152</v>
      </c>
      <c r="F17" t="s">
        <v>153</v>
      </c>
      <c r="G17" t="s">
        <v>154</v>
      </c>
      <c r="H17">
        <v>1526005955</v>
      </c>
      <c r="I17">
        <v>1000006217</v>
      </c>
      <c r="L17" t="s">
        <v>333</v>
      </c>
      <c r="M17">
        <v>5100001666</v>
      </c>
      <c r="N17" t="s">
        <v>155</v>
      </c>
      <c r="O17" t="s">
        <v>156</v>
      </c>
      <c r="P17">
        <v>4110027035</v>
      </c>
      <c r="Q17" t="s">
        <v>225</v>
      </c>
      <c r="R17">
        <v>5000</v>
      </c>
      <c r="S17" t="s">
        <v>166</v>
      </c>
      <c r="V17" t="s">
        <v>167</v>
      </c>
      <c r="W17">
        <v>1502020105</v>
      </c>
      <c r="X17" t="s">
        <v>226</v>
      </c>
      <c r="Y17" t="str">
        <f>VLOOKUP(W17,Sheet4!$A$5:$B$71,2,0)</f>
        <v>RE STYLING</v>
      </c>
      <c r="Z17">
        <v>87082900</v>
      </c>
      <c r="AA17">
        <v>15</v>
      </c>
      <c r="AB17" t="s">
        <v>159</v>
      </c>
      <c r="AC17" s="24">
        <v>6570.77</v>
      </c>
      <c r="AD17" t="s">
        <v>160</v>
      </c>
      <c r="AE17" s="24">
        <v>98561.55</v>
      </c>
      <c r="AF17">
        <v>0</v>
      </c>
      <c r="AG17" s="24">
        <v>98561.55</v>
      </c>
      <c r="AH17">
        <v>0</v>
      </c>
      <c r="AI17">
        <v>0</v>
      </c>
      <c r="AJ17">
        <v>0</v>
      </c>
      <c r="AK17">
        <v>0</v>
      </c>
      <c r="AL17" s="24">
        <v>98561.55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s="24">
        <v>98561.55</v>
      </c>
      <c r="AV17">
        <v>0</v>
      </c>
      <c r="AW17">
        <v>0</v>
      </c>
      <c r="AX17">
        <v>311000</v>
      </c>
      <c r="AY17" t="s">
        <v>161</v>
      </c>
      <c r="AZ17">
        <v>49.75</v>
      </c>
      <c r="BA17">
        <v>49.75</v>
      </c>
      <c r="BB17">
        <v>0</v>
      </c>
      <c r="BC17" t="s">
        <v>227</v>
      </c>
      <c r="BD17">
        <v>1509</v>
      </c>
      <c r="BE17" t="s">
        <v>169</v>
      </c>
      <c r="BF17">
        <v>5094107005</v>
      </c>
      <c r="BG17" t="s">
        <v>334</v>
      </c>
    </row>
    <row r="18" spans="1:59">
      <c r="A18">
        <v>1115</v>
      </c>
      <c r="B18">
        <v>1115</v>
      </c>
      <c r="C18">
        <v>10</v>
      </c>
      <c r="D18">
        <v>2</v>
      </c>
      <c r="E18" t="s">
        <v>152</v>
      </c>
      <c r="F18" t="s">
        <v>153</v>
      </c>
      <c r="G18" t="s">
        <v>154</v>
      </c>
      <c r="H18">
        <v>1526005956</v>
      </c>
      <c r="I18">
        <v>1000006218</v>
      </c>
      <c r="L18" t="s">
        <v>333</v>
      </c>
      <c r="M18">
        <v>5100001666</v>
      </c>
      <c r="N18" t="s">
        <v>155</v>
      </c>
      <c r="O18" t="s">
        <v>156</v>
      </c>
      <c r="P18">
        <v>4110027035</v>
      </c>
      <c r="Q18" t="s">
        <v>225</v>
      </c>
      <c r="R18">
        <v>5000</v>
      </c>
      <c r="S18" t="s">
        <v>166</v>
      </c>
      <c r="V18" t="s">
        <v>167</v>
      </c>
      <c r="W18">
        <v>1502020105</v>
      </c>
      <c r="X18" t="s">
        <v>226</v>
      </c>
      <c r="Y18" t="str">
        <f>VLOOKUP(W18,Sheet4!$A$5:$B$71,2,0)</f>
        <v>RE STYLING</v>
      </c>
      <c r="Z18">
        <v>87082900</v>
      </c>
      <c r="AA18">
        <v>15</v>
      </c>
      <c r="AB18" t="s">
        <v>159</v>
      </c>
      <c r="AC18" s="24">
        <v>6570.77</v>
      </c>
      <c r="AD18" t="s">
        <v>160</v>
      </c>
      <c r="AE18" s="24">
        <v>98561.55</v>
      </c>
      <c r="AF18">
        <v>0</v>
      </c>
      <c r="AG18" s="24">
        <v>98561.55</v>
      </c>
      <c r="AH18">
        <v>0</v>
      </c>
      <c r="AI18">
        <v>0</v>
      </c>
      <c r="AJ18">
        <v>0</v>
      </c>
      <c r="AK18">
        <v>0</v>
      </c>
      <c r="AL18" s="24">
        <v>98561.55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s="24">
        <v>98561.55</v>
      </c>
      <c r="AV18">
        <v>0</v>
      </c>
      <c r="AW18">
        <v>0</v>
      </c>
      <c r="AX18">
        <v>311000</v>
      </c>
      <c r="AY18" t="s">
        <v>161</v>
      </c>
      <c r="AZ18">
        <v>49.75</v>
      </c>
      <c r="BA18">
        <v>49.75</v>
      </c>
      <c r="BB18">
        <v>0</v>
      </c>
      <c r="BC18" t="s">
        <v>227</v>
      </c>
      <c r="BD18">
        <v>1509</v>
      </c>
      <c r="BE18" t="s">
        <v>169</v>
      </c>
      <c r="BF18">
        <v>5094107001</v>
      </c>
      <c r="BG18" t="s">
        <v>334</v>
      </c>
    </row>
    <row r="19" spans="1:59">
      <c r="A19">
        <v>1115</v>
      </c>
      <c r="B19">
        <v>1115</v>
      </c>
      <c r="C19">
        <v>10</v>
      </c>
      <c r="D19">
        <v>2</v>
      </c>
      <c r="E19" t="s">
        <v>152</v>
      </c>
      <c r="F19" t="s">
        <v>153</v>
      </c>
      <c r="G19" t="s">
        <v>154</v>
      </c>
      <c r="H19">
        <v>1526005957</v>
      </c>
      <c r="I19">
        <v>1000006219</v>
      </c>
      <c r="L19" t="s">
        <v>333</v>
      </c>
      <c r="M19">
        <v>5100001666</v>
      </c>
      <c r="N19" t="s">
        <v>155</v>
      </c>
      <c r="O19" t="s">
        <v>156</v>
      </c>
      <c r="P19">
        <v>4110027035</v>
      </c>
      <c r="Q19" t="s">
        <v>225</v>
      </c>
      <c r="R19">
        <v>5000</v>
      </c>
      <c r="S19" t="s">
        <v>166</v>
      </c>
      <c r="V19" t="s">
        <v>167</v>
      </c>
      <c r="W19">
        <v>1502020105</v>
      </c>
      <c r="X19" t="s">
        <v>226</v>
      </c>
      <c r="Y19" t="str">
        <f>VLOOKUP(W19,Sheet4!$A$5:$B$71,2,0)</f>
        <v>RE STYLING</v>
      </c>
      <c r="Z19">
        <v>87082900</v>
      </c>
      <c r="AA19">
        <v>15</v>
      </c>
      <c r="AB19" t="s">
        <v>159</v>
      </c>
      <c r="AC19" s="24">
        <v>6570.77</v>
      </c>
      <c r="AD19" t="s">
        <v>160</v>
      </c>
      <c r="AE19" s="24">
        <v>98561.55</v>
      </c>
      <c r="AF19">
        <v>0</v>
      </c>
      <c r="AG19" s="24">
        <v>98561.55</v>
      </c>
      <c r="AH19">
        <v>0</v>
      </c>
      <c r="AI19">
        <v>0</v>
      </c>
      <c r="AJ19">
        <v>0</v>
      </c>
      <c r="AK19">
        <v>0</v>
      </c>
      <c r="AL19" s="24">
        <v>98561.55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s="24">
        <v>98561.55</v>
      </c>
      <c r="AV19">
        <v>0</v>
      </c>
      <c r="AW19">
        <v>0</v>
      </c>
      <c r="AX19">
        <v>311000</v>
      </c>
      <c r="AY19" t="s">
        <v>161</v>
      </c>
      <c r="AZ19">
        <v>49.75</v>
      </c>
      <c r="BA19">
        <v>49.75</v>
      </c>
      <c r="BB19">
        <v>0</v>
      </c>
      <c r="BC19" t="s">
        <v>227</v>
      </c>
      <c r="BD19">
        <v>1509</v>
      </c>
      <c r="BE19" t="s">
        <v>169</v>
      </c>
      <c r="BF19">
        <v>5094115847</v>
      </c>
      <c r="BG19" t="s">
        <v>334</v>
      </c>
    </row>
    <row r="20" spans="1:59">
      <c r="A20">
        <v>1115</v>
      </c>
      <c r="B20">
        <v>1115</v>
      </c>
      <c r="C20">
        <v>10</v>
      </c>
      <c r="D20">
        <v>2</v>
      </c>
      <c r="E20" t="s">
        <v>152</v>
      </c>
      <c r="F20" t="s">
        <v>153</v>
      </c>
      <c r="G20" t="s">
        <v>154</v>
      </c>
      <c r="H20">
        <v>1526005958</v>
      </c>
      <c r="I20">
        <v>1000006220</v>
      </c>
      <c r="L20" t="s">
        <v>333</v>
      </c>
      <c r="M20">
        <v>5100001666</v>
      </c>
      <c r="N20" t="s">
        <v>155</v>
      </c>
      <c r="O20" t="s">
        <v>156</v>
      </c>
      <c r="P20">
        <v>4110027035</v>
      </c>
      <c r="Q20" t="s">
        <v>225</v>
      </c>
      <c r="R20">
        <v>5000</v>
      </c>
      <c r="S20" t="s">
        <v>166</v>
      </c>
      <c r="V20" t="s">
        <v>167</v>
      </c>
      <c r="W20">
        <v>1502020105</v>
      </c>
      <c r="X20" t="s">
        <v>226</v>
      </c>
      <c r="Y20" t="str">
        <f>VLOOKUP(W20,Sheet4!$A$5:$B$71,2,0)</f>
        <v>RE STYLING</v>
      </c>
      <c r="Z20">
        <v>87082900</v>
      </c>
      <c r="AA20">
        <v>15</v>
      </c>
      <c r="AB20" t="s">
        <v>159</v>
      </c>
      <c r="AC20" s="24">
        <v>6570.77</v>
      </c>
      <c r="AD20" t="s">
        <v>160</v>
      </c>
      <c r="AE20" s="24">
        <v>98561.55</v>
      </c>
      <c r="AF20">
        <v>0</v>
      </c>
      <c r="AG20" s="24">
        <v>98561.55</v>
      </c>
      <c r="AH20">
        <v>0</v>
      </c>
      <c r="AI20">
        <v>0</v>
      </c>
      <c r="AJ20">
        <v>0</v>
      </c>
      <c r="AK20">
        <v>0</v>
      </c>
      <c r="AL20" s="24">
        <v>98561.55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s="24">
        <v>98561.55</v>
      </c>
      <c r="AV20">
        <v>0</v>
      </c>
      <c r="AW20">
        <v>0</v>
      </c>
      <c r="AX20">
        <v>311000</v>
      </c>
      <c r="AY20" t="s">
        <v>161</v>
      </c>
      <c r="AZ20">
        <v>49.75</v>
      </c>
      <c r="BA20">
        <v>49.75</v>
      </c>
      <c r="BB20">
        <v>0</v>
      </c>
      <c r="BC20" t="s">
        <v>227</v>
      </c>
      <c r="BD20">
        <v>1509</v>
      </c>
      <c r="BE20" t="s">
        <v>169</v>
      </c>
      <c r="BF20">
        <v>5094115859</v>
      </c>
      <c r="BG20" t="s">
        <v>334</v>
      </c>
    </row>
    <row r="21" spans="1:59">
      <c r="A21">
        <v>1115</v>
      </c>
      <c r="B21">
        <v>1115</v>
      </c>
      <c r="C21">
        <v>10</v>
      </c>
      <c r="D21">
        <v>2</v>
      </c>
      <c r="E21" t="s">
        <v>152</v>
      </c>
      <c r="F21" t="s">
        <v>153</v>
      </c>
      <c r="G21" t="s">
        <v>154</v>
      </c>
      <c r="H21">
        <v>1526005938</v>
      </c>
      <c r="I21">
        <v>1000006200</v>
      </c>
      <c r="L21" t="s">
        <v>333</v>
      </c>
      <c r="M21">
        <v>5100001924</v>
      </c>
      <c r="N21" t="s">
        <v>155</v>
      </c>
      <c r="O21" t="s">
        <v>156</v>
      </c>
      <c r="P21">
        <v>4110055642</v>
      </c>
      <c r="Q21" t="s">
        <v>199</v>
      </c>
      <c r="R21">
        <v>5000</v>
      </c>
      <c r="S21" t="s">
        <v>166</v>
      </c>
      <c r="V21" t="s">
        <v>167</v>
      </c>
      <c r="W21">
        <v>1502040313</v>
      </c>
      <c r="X21" t="s">
        <v>246</v>
      </c>
      <c r="Y21" t="str">
        <f>VLOOKUP(W21,Sheet4!$A$5:$B$71,2,0)</f>
        <v>Re Side Door</v>
      </c>
      <c r="Z21">
        <v>87082900</v>
      </c>
      <c r="AA21">
        <v>120</v>
      </c>
      <c r="AB21" t="s">
        <v>159</v>
      </c>
      <c r="AC21">
        <v>504.46</v>
      </c>
      <c r="AD21" t="s">
        <v>160</v>
      </c>
      <c r="AE21" s="24">
        <v>60535.199999999997</v>
      </c>
      <c r="AF21">
        <v>0</v>
      </c>
      <c r="AG21" s="24">
        <v>60535.199999999997</v>
      </c>
      <c r="AH21">
        <v>0</v>
      </c>
      <c r="AI21">
        <v>0</v>
      </c>
      <c r="AJ21">
        <v>0</v>
      </c>
      <c r="AK21">
        <v>0</v>
      </c>
      <c r="AL21" s="24">
        <v>60535.199999999997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s="24">
        <v>60535.199999999997</v>
      </c>
      <c r="AV21">
        <v>0</v>
      </c>
      <c r="AW21">
        <v>0</v>
      </c>
      <c r="AX21">
        <v>311000</v>
      </c>
      <c r="AY21" t="s">
        <v>161</v>
      </c>
      <c r="AZ21">
        <v>2.27</v>
      </c>
      <c r="BA21">
        <v>2.27</v>
      </c>
      <c r="BB21">
        <v>0</v>
      </c>
      <c r="BC21" t="s">
        <v>247</v>
      </c>
      <c r="BD21">
        <v>1511</v>
      </c>
      <c r="BE21" t="s">
        <v>174</v>
      </c>
      <c r="BF21">
        <v>5094113618</v>
      </c>
      <c r="BG21" t="s">
        <v>334</v>
      </c>
    </row>
    <row r="22" spans="1:59">
      <c r="A22">
        <v>1115</v>
      </c>
      <c r="B22">
        <v>1115</v>
      </c>
      <c r="C22">
        <v>10</v>
      </c>
      <c r="D22">
        <v>2</v>
      </c>
      <c r="E22" t="s">
        <v>152</v>
      </c>
      <c r="F22" t="s">
        <v>153</v>
      </c>
      <c r="G22" t="s">
        <v>154</v>
      </c>
      <c r="H22">
        <v>1526005936</v>
      </c>
      <c r="I22">
        <v>1000006198</v>
      </c>
      <c r="L22" t="s">
        <v>333</v>
      </c>
      <c r="M22">
        <v>5100001934</v>
      </c>
      <c r="N22" t="s">
        <v>155</v>
      </c>
      <c r="O22" t="s">
        <v>156</v>
      </c>
      <c r="P22">
        <v>4110058649</v>
      </c>
      <c r="Q22" t="s">
        <v>196</v>
      </c>
      <c r="R22">
        <v>5000</v>
      </c>
      <c r="S22" t="s">
        <v>166</v>
      </c>
      <c r="V22" t="s">
        <v>167</v>
      </c>
      <c r="W22">
        <v>1502040217</v>
      </c>
      <c r="X22" t="s">
        <v>197</v>
      </c>
      <c r="Y22" t="str">
        <f>VLOOKUP(W22,Sheet4!$A$5:$B$71,2,0)</f>
        <v>FRONT MUDGARD GOGO</v>
      </c>
      <c r="Z22">
        <v>87082900</v>
      </c>
      <c r="AA22">
        <v>150</v>
      </c>
      <c r="AB22" t="s">
        <v>159</v>
      </c>
      <c r="AC22">
        <v>380.93</v>
      </c>
      <c r="AD22" t="s">
        <v>160</v>
      </c>
      <c r="AE22" s="24">
        <v>57139.5</v>
      </c>
      <c r="AF22">
        <v>0</v>
      </c>
      <c r="AG22" s="24">
        <v>57139.5</v>
      </c>
      <c r="AH22">
        <v>0</v>
      </c>
      <c r="AI22">
        <v>0</v>
      </c>
      <c r="AJ22">
        <v>0</v>
      </c>
      <c r="AK22">
        <v>0</v>
      </c>
      <c r="AL22" s="24">
        <v>57139.5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s="24">
        <v>57139.5</v>
      </c>
      <c r="AV22">
        <v>0</v>
      </c>
      <c r="AW22">
        <v>0</v>
      </c>
      <c r="AX22">
        <v>311000</v>
      </c>
      <c r="AY22" t="s">
        <v>161</v>
      </c>
      <c r="AZ22">
        <v>2.13</v>
      </c>
      <c r="BA22">
        <v>2.13</v>
      </c>
      <c r="BB22">
        <v>0</v>
      </c>
      <c r="BC22" t="s">
        <v>198</v>
      </c>
      <c r="BD22">
        <v>1511</v>
      </c>
      <c r="BE22" t="s">
        <v>174</v>
      </c>
      <c r="BF22">
        <v>5094103632</v>
      </c>
      <c r="BG22" t="s">
        <v>333</v>
      </c>
    </row>
    <row r="23" spans="1:59">
      <c r="A23">
        <v>1115</v>
      </c>
      <c r="B23">
        <v>1115</v>
      </c>
      <c r="C23">
        <v>10</v>
      </c>
      <c r="D23">
        <v>2</v>
      </c>
      <c r="E23" t="s">
        <v>152</v>
      </c>
      <c r="F23" t="s">
        <v>153</v>
      </c>
      <c r="G23" t="s">
        <v>154</v>
      </c>
      <c r="H23">
        <v>1526005935</v>
      </c>
      <c r="I23">
        <v>1000006197</v>
      </c>
      <c r="L23" t="s">
        <v>333</v>
      </c>
      <c r="M23">
        <v>5100001603</v>
      </c>
      <c r="N23" t="s">
        <v>155</v>
      </c>
      <c r="O23" t="s">
        <v>156</v>
      </c>
      <c r="P23">
        <v>4110025468</v>
      </c>
      <c r="Q23" t="s">
        <v>165</v>
      </c>
      <c r="R23">
        <v>5000</v>
      </c>
      <c r="S23" t="s">
        <v>166</v>
      </c>
      <c r="V23" t="s">
        <v>167</v>
      </c>
      <c r="W23">
        <v>1502020102</v>
      </c>
      <c r="X23" t="s">
        <v>58</v>
      </c>
      <c r="Y23" t="str">
        <f>VLOOKUP(W23,Sheet4!$A$5:$B$71,2,0)</f>
        <v>MAXIMA HD</v>
      </c>
      <c r="Z23">
        <v>87082900</v>
      </c>
      <c r="AA23">
        <v>6</v>
      </c>
      <c r="AB23" t="s">
        <v>159</v>
      </c>
      <c r="AC23" s="24">
        <v>8593.51</v>
      </c>
      <c r="AD23" t="s">
        <v>160</v>
      </c>
      <c r="AE23" s="24">
        <v>51561.06</v>
      </c>
      <c r="AF23">
        <v>0</v>
      </c>
      <c r="AG23" s="24">
        <v>51561.06</v>
      </c>
      <c r="AH23">
        <v>0</v>
      </c>
      <c r="AI23">
        <v>0</v>
      </c>
      <c r="AJ23">
        <v>0</v>
      </c>
      <c r="AK23">
        <v>0</v>
      </c>
      <c r="AL23" s="24">
        <v>51561.06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s="24">
        <v>51561.06</v>
      </c>
      <c r="AV23">
        <v>0</v>
      </c>
      <c r="AW23">
        <v>0</v>
      </c>
      <c r="AX23">
        <v>311000</v>
      </c>
      <c r="AY23" t="s">
        <v>161</v>
      </c>
      <c r="AZ23">
        <v>93.34</v>
      </c>
      <c r="BA23">
        <v>75.430000000000007</v>
      </c>
      <c r="BB23">
        <v>17.91</v>
      </c>
      <c r="BC23" t="s">
        <v>168</v>
      </c>
      <c r="BD23">
        <v>1509</v>
      </c>
      <c r="BE23" t="s">
        <v>169</v>
      </c>
      <c r="BF23">
        <v>5094103638</v>
      </c>
      <c r="BG23" t="s">
        <v>333</v>
      </c>
    </row>
    <row r="24" spans="1:59">
      <c r="A24">
        <v>1115</v>
      </c>
      <c r="B24">
        <v>1115</v>
      </c>
      <c r="C24">
        <v>10</v>
      </c>
      <c r="D24">
        <v>2</v>
      </c>
      <c r="E24" t="s">
        <v>152</v>
      </c>
      <c r="F24" t="s">
        <v>153</v>
      </c>
      <c r="G24" t="s">
        <v>154</v>
      </c>
      <c r="H24">
        <v>1526005934</v>
      </c>
      <c r="I24">
        <v>1000006196</v>
      </c>
      <c r="L24" t="s">
        <v>333</v>
      </c>
      <c r="M24">
        <v>5100001603</v>
      </c>
      <c r="N24" t="s">
        <v>155</v>
      </c>
      <c r="O24" t="s">
        <v>156</v>
      </c>
      <c r="P24">
        <v>4110025468</v>
      </c>
      <c r="Q24" t="s">
        <v>165</v>
      </c>
      <c r="R24">
        <v>5000</v>
      </c>
      <c r="S24" t="s">
        <v>166</v>
      </c>
      <c r="V24" t="s">
        <v>167</v>
      </c>
      <c r="W24">
        <v>1502020102</v>
      </c>
      <c r="X24" t="s">
        <v>58</v>
      </c>
      <c r="Y24" t="str">
        <f>VLOOKUP(W24,Sheet4!$A$5:$B$71,2,0)</f>
        <v>MAXIMA HD</v>
      </c>
      <c r="Z24">
        <v>87082900</v>
      </c>
      <c r="AA24">
        <v>8</v>
      </c>
      <c r="AB24" t="s">
        <v>159</v>
      </c>
      <c r="AC24" s="24">
        <v>8593.51</v>
      </c>
      <c r="AD24" t="s">
        <v>160</v>
      </c>
      <c r="AE24" s="24">
        <v>68748.08</v>
      </c>
      <c r="AF24">
        <v>0</v>
      </c>
      <c r="AG24" s="24">
        <v>68748.08</v>
      </c>
      <c r="AH24">
        <v>0</v>
      </c>
      <c r="AI24">
        <v>0</v>
      </c>
      <c r="AJ24">
        <v>0</v>
      </c>
      <c r="AK24">
        <v>0</v>
      </c>
      <c r="AL24" s="24">
        <v>68748.08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s="24">
        <v>68748.08</v>
      </c>
      <c r="AV24">
        <v>0</v>
      </c>
      <c r="AW24">
        <v>0</v>
      </c>
      <c r="AX24">
        <v>311000</v>
      </c>
      <c r="AY24" t="s">
        <v>161</v>
      </c>
      <c r="AZ24">
        <v>93.34</v>
      </c>
      <c r="BA24">
        <v>75.430000000000007</v>
      </c>
      <c r="BB24">
        <v>17.91</v>
      </c>
      <c r="BC24" t="s">
        <v>168</v>
      </c>
      <c r="BD24">
        <v>1509</v>
      </c>
      <c r="BE24" t="s">
        <v>169</v>
      </c>
      <c r="BF24">
        <v>5094113260</v>
      </c>
      <c r="BG24" t="s">
        <v>334</v>
      </c>
    </row>
    <row r="25" spans="1:59">
      <c r="A25">
        <v>1115</v>
      </c>
      <c r="B25">
        <v>1115</v>
      </c>
      <c r="C25">
        <v>10</v>
      </c>
      <c r="D25">
        <v>2</v>
      </c>
      <c r="E25" t="s">
        <v>152</v>
      </c>
      <c r="F25" t="s">
        <v>153</v>
      </c>
      <c r="G25" t="s">
        <v>154</v>
      </c>
      <c r="H25">
        <v>1526005933</v>
      </c>
      <c r="I25">
        <v>1000006195</v>
      </c>
      <c r="L25" t="s">
        <v>333</v>
      </c>
      <c r="M25">
        <v>5100001603</v>
      </c>
      <c r="N25" t="s">
        <v>155</v>
      </c>
      <c r="O25" t="s">
        <v>156</v>
      </c>
      <c r="P25">
        <v>4110025468</v>
      </c>
      <c r="Q25" t="s">
        <v>165</v>
      </c>
      <c r="R25">
        <v>5000</v>
      </c>
      <c r="S25" t="s">
        <v>166</v>
      </c>
      <c r="V25" t="s">
        <v>167</v>
      </c>
      <c r="W25">
        <v>1502020102</v>
      </c>
      <c r="X25" t="s">
        <v>58</v>
      </c>
      <c r="Y25" t="str">
        <f>VLOOKUP(W25,Sheet4!$A$5:$B$71,2,0)</f>
        <v>MAXIMA HD</v>
      </c>
      <c r="Z25">
        <v>87082900</v>
      </c>
      <c r="AA25">
        <v>8</v>
      </c>
      <c r="AB25" t="s">
        <v>159</v>
      </c>
      <c r="AC25" s="24">
        <v>8593.51</v>
      </c>
      <c r="AD25" t="s">
        <v>160</v>
      </c>
      <c r="AE25" s="24">
        <v>68748.08</v>
      </c>
      <c r="AF25">
        <v>0</v>
      </c>
      <c r="AG25" s="24">
        <v>68748.08</v>
      </c>
      <c r="AH25">
        <v>0</v>
      </c>
      <c r="AI25">
        <v>0</v>
      </c>
      <c r="AJ25">
        <v>0</v>
      </c>
      <c r="AK25">
        <v>0</v>
      </c>
      <c r="AL25" s="24">
        <v>68748.08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s="24">
        <v>68748.08</v>
      </c>
      <c r="AV25">
        <v>0</v>
      </c>
      <c r="AW25">
        <v>0</v>
      </c>
      <c r="AX25">
        <v>311000</v>
      </c>
      <c r="AY25" t="s">
        <v>161</v>
      </c>
      <c r="AZ25">
        <v>93.34</v>
      </c>
      <c r="BA25">
        <v>75.430000000000007</v>
      </c>
      <c r="BB25">
        <v>17.91</v>
      </c>
      <c r="BC25" t="s">
        <v>168</v>
      </c>
      <c r="BD25">
        <v>1509</v>
      </c>
      <c r="BE25" t="s">
        <v>169</v>
      </c>
      <c r="BF25">
        <v>5094113196</v>
      </c>
      <c r="BG25" t="s">
        <v>334</v>
      </c>
    </row>
    <row r="26" spans="1:59">
      <c r="A26">
        <v>1115</v>
      </c>
      <c r="B26">
        <v>1115</v>
      </c>
      <c r="C26">
        <v>10</v>
      </c>
      <c r="D26">
        <v>2</v>
      </c>
      <c r="E26" t="s">
        <v>152</v>
      </c>
      <c r="F26" t="s">
        <v>153</v>
      </c>
      <c r="G26" t="s">
        <v>154</v>
      </c>
      <c r="H26">
        <v>1526005932</v>
      </c>
      <c r="I26">
        <v>1000006194</v>
      </c>
      <c r="L26" t="s">
        <v>333</v>
      </c>
      <c r="M26">
        <v>5100001603</v>
      </c>
      <c r="N26" t="s">
        <v>155</v>
      </c>
      <c r="O26" t="s">
        <v>156</v>
      </c>
      <c r="P26">
        <v>4110025468</v>
      </c>
      <c r="Q26" t="s">
        <v>165</v>
      </c>
      <c r="R26">
        <v>5000</v>
      </c>
      <c r="S26" t="s">
        <v>166</v>
      </c>
      <c r="V26" t="s">
        <v>167</v>
      </c>
      <c r="W26">
        <v>1502020102</v>
      </c>
      <c r="X26" t="s">
        <v>58</v>
      </c>
      <c r="Y26" t="str">
        <f>VLOOKUP(W26,Sheet4!$A$5:$B$71,2,0)</f>
        <v>MAXIMA HD</v>
      </c>
      <c r="Z26">
        <v>87082900</v>
      </c>
      <c r="AA26">
        <v>8</v>
      </c>
      <c r="AB26" t="s">
        <v>159</v>
      </c>
      <c r="AC26" s="24">
        <v>8593.51</v>
      </c>
      <c r="AD26" t="s">
        <v>160</v>
      </c>
      <c r="AE26" s="24">
        <v>68748.08</v>
      </c>
      <c r="AF26">
        <v>0</v>
      </c>
      <c r="AG26" s="24">
        <v>68748.08</v>
      </c>
      <c r="AH26">
        <v>0</v>
      </c>
      <c r="AI26">
        <v>0</v>
      </c>
      <c r="AJ26">
        <v>0</v>
      </c>
      <c r="AK26">
        <v>0</v>
      </c>
      <c r="AL26" s="24">
        <v>68748.08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24">
        <v>68748.08</v>
      </c>
      <c r="AV26">
        <v>0</v>
      </c>
      <c r="AW26">
        <v>0</v>
      </c>
      <c r="AX26">
        <v>311000</v>
      </c>
      <c r="AY26" t="s">
        <v>161</v>
      </c>
      <c r="AZ26">
        <v>93.34</v>
      </c>
      <c r="BA26">
        <v>75.430000000000007</v>
      </c>
      <c r="BB26">
        <v>17.91</v>
      </c>
      <c r="BC26" t="s">
        <v>168</v>
      </c>
      <c r="BD26">
        <v>1509</v>
      </c>
      <c r="BE26" t="s">
        <v>169</v>
      </c>
      <c r="BF26">
        <v>5094110863</v>
      </c>
      <c r="BG26" t="s">
        <v>334</v>
      </c>
    </row>
    <row r="27" spans="1:59">
      <c r="A27">
        <v>1115</v>
      </c>
      <c r="B27">
        <v>1115</v>
      </c>
      <c r="C27">
        <v>10</v>
      </c>
      <c r="D27">
        <v>2</v>
      </c>
      <c r="E27" t="s">
        <v>152</v>
      </c>
      <c r="F27" t="s">
        <v>153</v>
      </c>
      <c r="G27" t="s">
        <v>154</v>
      </c>
      <c r="H27">
        <v>1526005931</v>
      </c>
      <c r="I27">
        <v>1000006193</v>
      </c>
      <c r="L27" t="s">
        <v>333</v>
      </c>
      <c r="M27">
        <v>5100001636</v>
      </c>
      <c r="N27" t="s">
        <v>155</v>
      </c>
      <c r="O27" t="s">
        <v>156</v>
      </c>
      <c r="P27">
        <v>4110026445</v>
      </c>
      <c r="Q27" t="s">
        <v>170</v>
      </c>
      <c r="R27">
        <v>5000</v>
      </c>
      <c r="S27" t="s">
        <v>166</v>
      </c>
      <c r="V27" t="s">
        <v>167</v>
      </c>
      <c r="W27">
        <v>1502020104</v>
      </c>
      <c r="X27" t="s">
        <v>26</v>
      </c>
      <c r="Y27" t="str">
        <f>VLOOKUP(W27,Sheet4!$A$5:$B$71,2,0)</f>
        <v>RE STYLING</v>
      </c>
      <c r="Z27">
        <v>87082900</v>
      </c>
      <c r="AA27">
        <v>15</v>
      </c>
      <c r="AB27" t="s">
        <v>159</v>
      </c>
      <c r="AC27" s="24">
        <v>6585.55</v>
      </c>
      <c r="AD27" t="s">
        <v>160</v>
      </c>
      <c r="AE27" s="24">
        <v>98783.25</v>
      </c>
      <c r="AF27">
        <v>0</v>
      </c>
      <c r="AG27" s="24">
        <v>98783.25</v>
      </c>
      <c r="AH27">
        <v>0</v>
      </c>
      <c r="AI27">
        <v>0</v>
      </c>
      <c r="AJ27">
        <v>0</v>
      </c>
      <c r="AK27">
        <v>0</v>
      </c>
      <c r="AL27" s="24">
        <v>98783.25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s="24">
        <v>98783.25</v>
      </c>
      <c r="AV27">
        <v>0</v>
      </c>
      <c r="AW27">
        <v>0</v>
      </c>
      <c r="AX27">
        <v>311000</v>
      </c>
      <c r="AY27" t="s">
        <v>161</v>
      </c>
      <c r="AZ27">
        <v>49.75</v>
      </c>
      <c r="BA27">
        <v>49.75</v>
      </c>
      <c r="BB27">
        <v>0</v>
      </c>
      <c r="BC27" t="s">
        <v>171</v>
      </c>
      <c r="BD27">
        <v>1509</v>
      </c>
      <c r="BE27" t="s">
        <v>169</v>
      </c>
      <c r="BF27">
        <v>5094107034</v>
      </c>
      <c r="BG27" t="s">
        <v>334</v>
      </c>
    </row>
    <row r="28" spans="1:59">
      <c r="A28">
        <v>1115</v>
      </c>
      <c r="B28">
        <v>1115</v>
      </c>
      <c r="C28">
        <v>10</v>
      </c>
      <c r="D28">
        <v>2</v>
      </c>
      <c r="E28" t="s">
        <v>152</v>
      </c>
      <c r="F28" t="s">
        <v>153</v>
      </c>
      <c r="G28" t="s">
        <v>154</v>
      </c>
      <c r="H28">
        <v>1526005930</v>
      </c>
      <c r="I28">
        <v>1000006192</v>
      </c>
      <c r="L28" t="s">
        <v>333</v>
      </c>
      <c r="M28">
        <v>5100001636</v>
      </c>
      <c r="N28" t="s">
        <v>155</v>
      </c>
      <c r="O28" t="s">
        <v>156</v>
      </c>
      <c r="P28">
        <v>4110026445</v>
      </c>
      <c r="Q28" t="s">
        <v>170</v>
      </c>
      <c r="R28">
        <v>5000</v>
      </c>
      <c r="S28" t="s">
        <v>166</v>
      </c>
      <c r="V28" t="s">
        <v>167</v>
      </c>
      <c r="W28">
        <v>1502020104</v>
      </c>
      <c r="X28" t="s">
        <v>26</v>
      </c>
      <c r="Y28" t="str">
        <f>VLOOKUP(W28,Sheet4!$A$5:$B$71,2,0)</f>
        <v>RE STYLING</v>
      </c>
      <c r="Z28">
        <v>87082900</v>
      </c>
      <c r="AA28">
        <v>15</v>
      </c>
      <c r="AB28" t="s">
        <v>159</v>
      </c>
      <c r="AC28" s="24">
        <v>6585.55</v>
      </c>
      <c r="AD28" t="s">
        <v>160</v>
      </c>
      <c r="AE28" s="24">
        <v>98783.25</v>
      </c>
      <c r="AF28">
        <v>0</v>
      </c>
      <c r="AG28" s="24">
        <v>98783.25</v>
      </c>
      <c r="AH28">
        <v>0</v>
      </c>
      <c r="AI28">
        <v>0</v>
      </c>
      <c r="AJ28">
        <v>0</v>
      </c>
      <c r="AK28">
        <v>0</v>
      </c>
      <c r="AL28" s="24">
        <v>98783.25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s="24">
        <v>98783.25</v>
      </c>
      <c r="AV28">
        <v>0</v>
      </c>
      <c r="AW28">
        <v>0</v>
      </c>
      <c r="AX28">
        <v>311000</v>
      </c>
      <c r="AY28" t="s">
        <v>161</v>
      </c>
      <c r="AZ28">
        <v>49.75</v>
      </c>
      <c r="BA28">
        <v>49.75</v>
      </c>
      <c r="BB28">
        <v>0</v>
      </c>
      <c r="BC28" t="s">
        <v>171</v>
      </c>
      <c r="BD28">
        <v>1509</v>
      </c>
      <c r="BE28" t="s">
        <v>169</v>
      </c>
      <c r="BF28">
        <v>5094118521</v>
      </c>
      <c r="BG28" t="s">
        <v>334</v>
      </c>
    </row>
    <row r="29" spans="1:59">
      <c r="A29">
        <v>1115</v>
      </c>
      <c r="B29">
        <v>1115</v>
      </c>
      <c r="C29">
        <v>10</v>
      </c>
      <c r="D29">
        <v>2</v>
      </c>
      <c r="E29" t="s">
        <v>152</v>
      </c>
      <c r="F29" t="s">
        <v>153</v>
      </c>
      <c r="G29" t="s">
        <v>154</v>
      </c>
      <c r="H29">
        <v>1526005929</v>
      </c>
      <c r="I29">
        <v>1000006191</v>
      </c>
      <c r="L29" t="s">
        <v>333</v>
      </c>
      <c r="M29">
        <v>5100001636</v>
      </c>
      <c r="N29" t="s">
        <v>155</v>
      </c>
      <c r="O29" t="s">
        <v>156</v>
      </c>
      <c r="P29">
        <v>4110026445</v>
      </c>
      <c r="Q29" t="s">
        <v>170</v>
      </c>
      <c r="R29">
        <v>5000</v>
      </c>
      <c r="S29" t="s">
        <v>166</v>
      </c>
      <c r="V29" t="s">
        <v>167</v>
      </c>
      <c r="W29">
        <v>1502020104</v>
      </c>
      <c r="X29" t="s">
        <v>26</v>
      </c>
      <c r="Y29" t="str">
        <f>VLOOKUP(W29,Sheet4!$A$5:$B$71,2,0)</f>
        <v>RE STYLING</v>
      </c>
      <c r="Z29">
        <v>87082900</v>
      </c>
      <c r="AA29">
        <v>15</v>
      </c>
      <c r="AB29" t="s">
        <v>159</v>
      </c>
      <c r="AC29" s="24">
        <v>6585.55</v>
      </c>
      <c r="AD29" t="s">
        <v>160</v>
      </c>
      <c r="AE29" s="24">
        <v>98783.25</v>
      </c>
      <c r="AF29">
        <v>0</v>
      </c>
      <c r="AG29" s="24">
        <v>98783.25</v>
      </c>
      <c r="AH29">
        <v>0</v>
      </c>
      <c r="AI29">
        <v>0</v>
      </c>
      <c r="AJ29">
        <v>0</v>
      </c>
      <c r="AK29">
        <v>0</v>
      </c>
      <c r="AL29" s="24">
        <v>98783.25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s="24">
        <v>98783.25</v>
      </c>
      <c r="AV29">
        <v>0</v>
      </c>
      <c r="AW29">
        <v>0</v>
      </c>
      <c r="AX29">
        <v>311000</v>
      </c>
      <c r="AY29" t="s">
        <v>161</v>
      </c>
      <c r="AZ29">
        <v>49.75</v>
      </c>
      <c r="BA29">
        <v>49.75</v>
      </c>
      <c r="BB29">
        <v>0</v>
      </c>
      <c r="BC29" t="s">
        <v>171</v>
      </c>
      <c r="BD29">
        <v>1509</v>
      </c>
      <c r="BE29" t="s">
        <v>169</v>
      </c>
      <c r="BF29">
        <v>5094107238</v>
      </c>
      <c r="BG29" t="s">
        <v>334</v>
      </c>
    </row>
    <row r="30" spans="1:59">
      <c r="A30">
        <v>1115</v>
      </c>
      <c r="B30">
        <v>1115</v>
      </c>
      <c r="C30">
        <v>10</v>
      </c>
      <c r="D30">
        <v>2</v>
      </c>
      <c r="E30" t="s">
        <v>152</v>
      </c>
      <c r="F30" t="s">
        <v>153</v>
      </c>
      <c r="G30" t="s">
        <v>154</v>
      </c>
      <c r="H30">
        <v>1526005928</v>
      </c>
      <c r="I30">
        <v>1000006190</v>
      </c>
      <c r="L30" t="s">
        <v>333</v>
      </c>
      <c r="M30">
        <v>5100001636</v>
      </c>
      <c r="N30" t="s">
        <v>155</v>
      </c>
      <c r="O30" t="s">
        <v>156</v>
      </c>
      <c r="P30">
        <v>4110026445</v>
      </c>
      <c r="Q30" t="s">
        <v>170</v>
      </c>
      <c r="R30">
        <v>5000</v>
      </c>
      <c r="S30" t="s">
        <v>166</v>
      </c>
      <c r="V30" t="s">
        <v>167</v>
      </c>
      <c r="W30">
        <v>1502020104</v>
      </c>
      <c r="X30" t="s">
        <v>26</v>
      </c>
      <c r="Y30" t="str">
        <f>VLOOKUP(W30,Sheet4!$A$5:$B$71,2,0)</f>
        <v>RE STYLING</v>
      </c>
      <c r="Z30">
        <v>87082900</v>
      </c>
      <c r="AA30">
        <v>15</v>
      </c>
      <c r="AB30" t="s">
        <v>159</v>
      </c>
      <c r="AC30" s="24">
        <v>6585.55</v>
      </c>
      <c r="AD30" t="s">
        <v>160</v>
      </c>
      <c r="AE30" s="24">
        <v>98783.25</v>
      </c>
      <c r="AF30">
        <v>0</v>
      </c>
      <c r="AG30" s="24">
        <v>98783.25</v>
      </c>
      <c r="AH30">
        <v>0</v>
      </c>
      <c r="AI30">
        <v>0</v>
      </c>
      <c r="AJ30">
        <v>0</v>
      </c>
      <c r="AK30">
        <v>0</v>
      </c>
      <c r="AL30" s="24">
        <v>98783.25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s="24">
        <v>98783.25</v>
      </c>
      <c r="AV30">
        <v>0</v>
      </c>
      <c r="AW30">
        <v>0</v>
      </c>
      <c r="AX30">
        <v>311000</v>
      </c>
      <c r="AY30" t="s">
        <v>161</v>
      </c>
      <c r="AZ30">
        <v>49.75</v>
      </c>
      <c r="BA30">
        <v>49.75</v>
      </c>
      <c r="BB30">
        <v>0</v>
      </c>
      <c r="BC30" t="s">
        <v>171</v>
      </c>
      <c r="BD30">
        <v>1509</v>
      </c>
      <c r="BE30" t="s">
        <v>169</v>
      </c>
      <c r="BF30">
        <v>5094107218</v>
      </c>
      <c r="BG30" t="s">
        <v>334</v>
      </c>
    </row>
    <row r="31" spans="1:59">
      <c r="A31">
        <v>1115</v>
      </c>
      <c r="B31">
        <v>1115</v>
      </c>
      <c r="C31">
        <v>10</v>
      </c>
      <c r="D31">
        <v>2</v>
      </c>
      <c r="E31" t="s">
        <v>152</v>
      </c>
      <c r="F31" t="s">
        <v>153</v>
      </c>
      <c r="G31" t="s">
        <v>154</v>
      </c>
      <c r="H31">
        <v>1526005927</v>
      </c>
      <c r="I31">
        <v>1000006189</v>
      </c>
      <c r="L31" t="s">
        <v>333</v>
      </c>
      <c r="M31">
        <v>5100001603</v>
      </c>
      <c r="N31" t="s">
        <v>155</v>
      </c>
      <c r="O31" t="s">
        <v>156</v>
      </c>
      <c r="P31">
        <v>4110025468</v>
      </c>
      <c r="Q31" t="s">
        <v>165</v>
      </c>
      <c r="R31">
        <v>5000</v>
      </c>
      <c r="S31" t="s">
        <v>166</v>
      </c>
      <c r="V31" t="s">
        <v>167</v>
      </c>
      <c r="W31">
        <v>1502020102</v>
      </c>
      <c r="X31" t="s">
        <v>58</v>
      </c>
      <c r="Y31" t="str">
        <f>VLOOKUP(W31,Sheet4!$A$5:$B$71,2,0)</f>
        <v>MAXIMA HD</v>
      </c>
      <c r="Z31">
        <v>87082900</v>
      </c>
      <c r="AA31">
        <v>8</v>
      </c>
      <c r="AB31" t="s">
        <v>159</v>
      </c>
      <c r="AC31" s="24">
        <v>8593.51</v>
      </c>
      <c r="AD31" t="s">
        <v>160</v>
      </c>
      <c r="AE31" s="24">
        <v>68748.08</v>
      </c>
      <c r="AF31">
        <v>0</v>
      </c>
      <c r="AG31" s="24">
        <v>68748.08</v>
      </c>
      <c r="AH31">
        <v>0</v>
      </c>
      <c r="AI31">
        <v>0</v>
      </c>
      <c r="AJ31">
        <v>0</v>
      </c>
      <c r="AK31">
        <v>0</v>
      </c>
      <c r="AL31" s="24">
        <v>68748.08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s="24">
        <v>68748.08</v>
      </c>
      <c r="AV31">
        <v>0</v>
      </c>
      <c r="AW31">
        <v>0</v>
      </c>
      <c r="AX31">
        <v>311000</v>
      </c>
      <c r="AY31" t="s">
        <v>161</v>
      </c>
      <c r="AZ31">
        <v>93.34</v>
      </c>
      <c r="BA31">
        <v>75.430000000000007</v>
      </c>
      <c r="BB31">
        <v>17.91</v>
      </c>
      <c r="BC31" t="s">
        <v>168</v>
      </c>
      <c r="BD31">
        <v>1509</v>
      </c>
      <c r="BE31" t="s">
        <v>169</v>
      </c>
      <c r="BF31">
        <v>5094101159</v>
      </c>
      <c r="BG31" t="s">
        <v>333</v>
      </c>
    </row>
    <row r="32" spans="1:59">
      <c r="A32">
        <v>1115</v>
      </c>
      <c r="B32">
        <v>1115</v>
      </c>
      <c r="C32">
        <v>10</v>
      </c>
      <c r="D32">
        <v>2</v>
      </c>
      <c r="E32" t="s">
        <v>152</v>
      </c>
      <c r="F32" t="s">
        <v>153</v>
      </c>
      <c r="G32" t="s">
        <v>154</v>
      </c>
      <c r="H32">
        <v>1526005926</v>
      </c>
      <c r="I32">
        <v>1000006188</v>
      </c>
      <c r="L32" t="s">
        <v>333</v>
      </c>
      <c r="M32">
        <v>5100001603</v>
      </c>
      <c r="N32" t="s">
        <v>155</v>
      </c>
      <c r="O32" t="s">
        <v>156</v>
      </c>
      <c r="P32">
        <v>4110025468</v>
      </c>
      <c r="Q32" t="s">
        <v>165</v>
      </c>
      <c r="R32">
        <v>5000</v>
      </c>
      <c r="S32" t="s">
        <v>166</v>
      </c>
      <c r="V32" t="s">
        <v>167</v>
      </c>
      <c r="W32">
        <v>1502020102</v>
      </c>
      <c r="X32" t="s">
        <v>58</v>
      </c>
      <c r="Y32" t="str">
        <f>VLOOKUP(W32,Sheet4!$A$5:$B$71,2,0)</f>
        <v>MAXIMA HD</v>
      </c>
      <c r="Z32">
        <v>87082900</v>
      </c>
      <c r="AA32">
        <v>8</v>
      </c>
      <c r="AB32" t="s">
        <v>159</v>
      </c>
      <c r="AC32" s="24">
        <v>8593.51</v>
      </c>
      <c r="AD32" t="s">
        <v>160</v>
      </c>
      <c r="AE32" s="24">
        <v>68748.08</v>
      </c>
      <c r="AF32">
        <v>0</v>
      </c>
      <c r="AG32" s="24">
        <v>68748.08</v>
      </c>
      <c r="AH32">
        <v>0</v>
      </c>
      <c r="AI32">
        <v>0</v>
      </c>
      <c r="AJ32">
        <v>0</v>
      </c>
      <c r="AK32">
        <v>0</v>
      </c>
      <c r="AL32" s="24">
        <v>68748.08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s="24">
        <v>68748.08</v>
      </c>
      <c r="AV32">
        <v>0</v>
      </c>
      <c r="AW32">
        <v>0</v>
      </c>
      <c r="AX32">
        <v>311000</v>
      </c>
      <c r="AY32" t="s">
        <v>161</v>
      </c>
      <c r="AZ32">
        <v>93.34</v>
      </c>
      <c r="BA32">
        <v>75.430000000000007</v>
      </c>
      <c r="BB32">
        <v>17.91</v>
      </c>
      <c r="BC32" t="s">
        <v>168</v>
      </c>
      <c r="BD32">
        <v>1509</v>
      </c>
      <c r="BE32" t="s">
        <v>169</v>
      </c>
      <c r="BF32">
        <v>5094105742</v>
      </c>
      <c r="BG32" t="s">
        <v>333</v>
      </c>
    </row>
    <row r="33" spans="1:59">
      <c r="A33">
        <v>1115</v>
      </c>
      <c r="B33">
        <v>1115</v>
      </c>
      <c r="C33">
        <v>10</v>
      </c>
      <c r="D33">
        <v>2</v>
      </c>
      <c r="E33" t="s">
        <v>152</v>
      </c>
      <c r="F33" t="s">
        <v>153</v>
      </c>
      <c r="G33" t="s">
        <v>154</v>
      </c>
      <c r="H33">
        <v>1526005924</v>
      </c>
      <c r="I33">
        <v>1000006186</v>
      </c>
      <c r="L33" t="s">
        <v>333</v>
      </c>
      <c r="M33">
        <v>5100001636</v>
      </c>
      <c r="N33" t="s">
        <v>155</v>
      </c>
      <c r="O33" t="s">
        <v>156</v>
      </c>
      <c r="P33">
        <v>4110026445</v>
      </c>
      <c r="Q33" t="s">
        <v>170</v>
      </c>
      <c r="R33">
        <v>5000</v>
      </c>
      <c r="S33" t="s">
        <v>166</v>
      </c>
      <c r="V33" t="s">
        <v>167</v>
      </c>
      <c r="W33">
        <v>1502020104</v>
      </c>
      <c r="X33" t="s">
        <v>26</v>
      </c>
      <c r="Y33" t="str">
        <f>VLOOKUP(W33,Sheet4!$A$5:$B$71,2,0)</f>
        <v>RE STYLING</v>
      </c>
      <c r="Z33">
        <v>87082900</v>
      </c>
      <c r="AA33">
        <v>15</v>
      </c>
      <c r="AB33" t="s">
        <v>159</v>
      </c>
      <c r="AC33" s="24">
        <v>6585.55</v>
      </c>
      <c r="AD33" t="s">
        <v>160</v>
      </c>
      <c r="AE33" s="24">
        <v>98783.25</v>
      </c>
      <c r="AF33">
        <v>0</v>
      </c>
      <c r="AG33" s="24">
        <v>98783.25</v>
      </c>
      <c r="AH33">
        <v>0</v>
      </c>
      <c r="AI33">
        <v>0</v>
      </c>
      <c r="AJ33">
        <v>0</v>
      </c>
      <c r="AK33">
        <v>0</v>
      </c>
      <c r="AL33" s="24">
        <v>98783.25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s="24">
        <v>98783.25</v>
      </c>
      <c r="AV33">
        <v>0</v>
      </c>
      <c r="AW33">
        <v>0</v>
      </c>
      <c r="AX33">
        <v>311000</v>
      </c>
      <c r="AY33" t="s">
        <v>161</v>
      </c>
      <c r="AZ33">
        <v>49.75</v>
      </c>
      <c r="BA33">
        <v>49.75</v>
      </c>
      <c r="BB33">
        <v>0</v>
      </c>
      <c r="BC33" t="s">
        <v>171</v>
      </c>
      <c r="BD33">
        <v>1509</v>
      </c>
      <c r="BE33" t="s">
        <v>169</v>
      </c>
      <c r="BF33">
        <v>5094107269</v>
      </c>
      <c r="BG33" t="s">
        <v>334</v>
      </c>
    </row>
    <row r="34" spans="1:59">
      <c r="A34">
        <v>1115</v>
      </c>
      <c r="B34">
        <v>1115</v>
      </c>
      <c r="C34">
        <v>10</v>
      </c>
      <c r="D34">
        <v>2</v>
      </c>
      <c r="E34" t="s">
        <v>152</v>
      </c>
      <c r="F34" t="s">
        <v>153</v>
      </c>
      <c r="G34" t="s">
        <v>154</v>
      </c>
      <c r="H34">
        <v>1526005923</v>
      </c>
      <c r="I34">
        <v>1000006185</v>
      </c>
      <c r="L34" t="s">
        <v>333</v>
      </c>
      <c r="M34">
        <v>5100001636</v>
      </c>
      <c r="N34" t="s">
        <v>155</v>
      </c>
      <c r="O34" t="s">
        <v>156</v>
      </c>
      <c r="P34">
        <v>4110026445</v>
      </c>
      <c r="Q34" t="s">
        <v>170</v>
      </c>
      <c r="R34">
        <v>5000</v>
      </c>
      <c r="S34" t="s">
        <v>166</v>
      </c>
      <c r="V34" t="s">
        <v>167</v>
      </c>
      <c r="W34">
        <v>1502020104</v>
      </c>
      <c r="X34" t="s">
        <v>26</v>
      </c>
      <c r="Y34" t="str">
        <f>VLOOKUP(W34,Sheet4!$A$5:$B$71,2,0)</f>
        <v>RE STYLING</v>
      </c>
      <c r="Z34">
        <v>87082900</v>
      </c>
      <c r="AA34">
        <v>15</v>
      </c>
      <c r="AB34" t="s">
        <v>159</v>
      </c>
      <c r="AC34" s="24">
        <v>6585.55</v>
      </c>
      <c r="AD34" t="s">
        <v>160</v>
      </c>
      <c r="AE34" s="24">
        <v>98783.25</v>
      </c>
      <c r="AF34">
        <v>0</v>
      </c>
      <c r="AG34" s="24">
        <v>98783.25</v>
      </c>
      <c r="AH34">
        <v>0</v>
      </c>
      <c r="AI34">
        <v>0</v>
      </c>
      <c r="AJ34">
        <v>0</v>
      </c>
      <c r="AK34">
        <v>0</v>
      </c>
      <c r="AL34" s="24">
        <v>98783.25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s="24">
        <v>98783.25</v>
      </c>
      <c r="AV34">
        <v>0</v>
      </c>
      <c r="AW34">
        <v>0</v>
      </c>
      <c r="AX34">
        <v>311000</v>
      </c>
      <c r="AY34" t="s">
        <v>161</v>
      </c>
      <c r="AZ34">
        <v>49.75</v>
      </c>
      <c r="BA34">
        <v>49.75</v>
      </c>
      <c r="BB34">
        <v>0</v>
      </c>
      <c r="BC34" t="s">
        <v>171</v>
      </c>
      <c r="BD34">
        <v>1509</v>
      </c>
      <c r="BE34" t="s">
        <v>169</v>
      </c>
      <c r="BF34">
        <v>5094107322</v>
      </c>
      <c r="BG34" t="s">
        <v>334</v>
      </c>
    </row>
    <row r="35" spans="1:59">
      <c r="A35">
        <v>1115</v>
      </c>
      <c r="B35">
        <v>1115</v>
      </c>
      <c r="C35">
        <v>10</v>
      </c>
      <c r="D35">
        <v>2</v>
      </c>
      <c r="E35" t="s">
        <v>152</v>
      </c>
      <c r="F35" t="s">
        <v>153</v>
      </c>
      <c r="G35" t="s">
        <v>154</v>
      </c>
      <c r="H35">
        <v>1526005922</v>
      </c>
      <c r="I35">
        <v>1000006184</v>
      </c>
      <c r="L35" t="s">
        <v>333</v>
      </c>
      <c r="M35">
        <v>5100001636</v>
      </c>
      <c r="N35" t="s">
        <v>155</v>
      </c>
      <c r="O35" t="s">
        <v>156</v>
      </c>
      <c r="P35">
        <v>4110026445</v>
      </c>
      <c r="Q35" t="s">
        <v>170</v>
      </c>
      <c r="R35">
        <v>5000</v>
      </c>
      <c r="S35" t="s">
        <v>166</v>
      </c>
      <c r="V35" t="s">
        <v>167</v>
      </c>
      <c r="W35">
        <v>1502020104</v>
      </c>
      <c r="X35" t="s">
        <v>26</v>
      </c>
      <c r="Y35" t="str">
        <f>VLOOKUP(W35,Sheet4!$A$5:$B$71,2,0)</f>
        <v>RE STYLING</v>
      </c>
      <c r="Z35">
        <v>87082900</v>
      </c>
      <c r="AA35">
        <v>15</v>
      </c>
      <c r="AB35" t="s">
        <v>159</v>
      </c>
      <c r="AC35" s="24">
        <v>6585.55</v>
      </c>
      <c r="AD35" t="s">
        <v>160</v>
      </c>
      <c r="AE35" s="24">
        <v>98783.25</v>
      </c>
      <c r="AF35">
        <v>0</v>
      </c>
      <c r="AG35" s="24">
        <v>98783.25</v>
      </c>
      <c r="AH35">
        <v>0</v>
      </c>
      <c r="AI35">
        <v>0</v>
      </c>
      <c r="AJ35">
        <v>0</v>
      </c>
      <c r="AK35">
        <v>0</v>
      </c>
      <c r="AL35" s="24">
        <v>98783.25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s="24">
        <v>98783.25</v>
      </c>
      <c r="AV35">
        <v>0</v>
      </c>
      <c r="AW35">
        <v>0</v>
      </c>
      <c r="AX35">
        <v>311000</v>
      </c>
      <c r="AY35" t="s">
        <v>161</v>
      </c>
      <c r="AZ35">
        <v>49.75</v>
      </c>
      <c r="BA35">
        <v>49.75</v>
      </c>
      <c r="BB35">
        <v>0</v>
      </c>
      <c r="BC35" t="s">
        <v>171</v>
      </c>
      <c r="BD35">
        <v>1509</v>
      </c>
      <c r="BE35" t="s">
        <v>169</v>
      </c>
      <c r="BF35">
        <v>5094107278</v>
      </c>
      <c r="BG35" t="s">
        <v>334</v>
      </c>
    </row>
    <row r="36" spans="1:59">
      <c r="A36">
        <v>1115</v>
      </c>
      <c r="B36">
        <v>1115</v>
      </c>
      <c r="C36">
        <v>10</v>
      </c>
      <c r="D36">
        <v>2</v>
      </c>
      <c r="E36" t="s">
        <v>152</v>
      </c>
      <c r="F36" t="s">
        <v>153</v>
      </c>
      <c r="G36" t="s">
        <v>154</v>
      </c>
      <c r="H36">
        <v>1526005921</v>
      </c>
      <c r="I36">
        <v>1000006183</v>
      </c>
      <c r="L36" t="s">
        <v>333</v>
      </c>
      <c r="M36">
        <v>5100001101</v>
      </c>
      <c r="N36" t="s">
        <v>155</v>
      </c>
      <c r="O36" t="s">
        <v>156</v>
      </c>
      <c r="P36">
        <v>4110004653</v>
      </c>
      <c r="Q36" t="s">
        <v>177</v>
      </c>
      <c r="R36">
        <v>5000</v>
      </c>
      <c r="S36" t="s">
        <v>166</v>
      </c>
      <c r="V36" t="s">
        <v>167</v>
      </c>
      <c r="W36">
        <v>1502040194</v>
      </c>
      <c r="X36" t="s">
        <v>44</v>
      </c>
      <c r="Y36" t="str">
        <f>VLOOKUP(W36,Sheet4!$A$5:$B$71,2,0)</f>
        <v>CRADEL</v>
      </c>
      <c r="Z36">
        <v>87082900</v>
      </c>
      <c r="AA36">
        <v>48</v>
      </c>
      <c r="AB36" t="s">
        <v>159</v>
      </c>
      <c r="AC36">
        <v>956.92</v>
      </c>
      <c r="AD36" t="s">
        <v>160</v>
      </c>
      <c r="AE36" s="24">
        <v>45932.160000000003</v>
      </c>
      <c r="AF36">
        <v>0</v>
      </c>
      <c r="AG36" s="24">
        <v>45932.160000000003</v>
      </c>
      <c r="AH36">
        <v>0</v>
      </c>
      <c r="AI36">
        <v>0</v>
      </c>
      <c r="AJ36">
        <v>0</v>
      </c>
      <c r="AK36">
        <v>0</v>
      </c>
      <c r="AL36" s="24">
        <v>45932.160000000003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s="24">
        <v>45932.160000000003</v>
      </c>
      <c r="AV36">
        <v>0</v>
      </c>
      <c r="AW36">
        <v>0</v>
      </c>
      <c r="AX36">
        <v>311000</v>
      </c>
      <c r="AY36" t="s">
        <v>161</v>
      </c>
      <c r="AZ36">
        <v>6.3769999999999998</v>
      </c>
      <c r="BA36">
        <v>6.3769999999999998</v>
      </c>
      <c r="BB36">
        <v>0</v>
      </c>
      <c r="BC36" t="s">
        <v>184</v>
      </c>
      <c r="BD36">
        <v>1511</v>
      </c>
      <c r="BE36" t="s">
        <v>174</v>
      </c>
      <c r="BF36">
        <v>5094112615</v>
      </c>
      <c r="BG36" t="s">
        <v>334</v>
      </c>
    </row>
    <row r="37" spans="1:59">
      <c r="A37">
        <v>1115</v>
      </c>
      <c r="B37">
        <v>1115</v>
      </c>
      <c r="C37">
        <v>10</v>
      </c>
      <c r="D37">
        <v>2</v>
      </c>
      <c r="E37" t="s">
        <v>152</v>
      </c>
      <c r="F37" t="s">
        <v>153</v>
      </c>
      <c r="G37" t="s">
        <v>154</v>
      </c>
      <c r="H37">
        <v>1526005920</v>
      </c>
      <c r="I37">
        <v>1000006182</v>
      </c>
      <c r="L37" t="s">
        <v>333</v>
      </c>
      <c r="M37">
        <v>5100001101</v>
      </c>
      <c r="N37" t="s">
        <v>155</v>
      </c>
      <c r="O37" t="s">
        <v>156</v>
      </c>
      <c r="P37">
        <v>4110004653</v>
      </c>
      <c r="Q37" t="s">
        <v>177</v>
      </c>
      <c r="R37">
        <v>5000</v>
      </c>
      <c r="S37" t="s">
        <v>166</v>
      </c>
      <c r="V37" t="s">
        <v>167</v>
      </c>
      <c r="W37">
        <v>1502040194</v>
      </c>
      <c r="X37" t="s">
        <v>44</v>
      </c>
      <c r="Y37" t="str">
        <f>VLOOKUP(W37,Sheet4!$A$5:$B$71,2,0)</f>
        <v>CRADEL</v>
      </c>
      <c r="Z37">
        <v>87082900</v>
      </c>
      <c r="AA37">
        <v>48</v>
      </c>
      <c r="AB37" t="s">
        <v>159</v>
      </c>
      <c r="AC37">
        <v>956.92</v>
      </c>
      <c r="AD37" t="s">
        <v>160</v>
      </c>
      <c r="AE37" s="24">
        <v>45932.160000000003</v>
      </c>
      <c r="AF37">
        <v>0</v>
      </c>
      <c r="AG37" s="24">
        <v>45932.160000000003</v>
      </c>
      <c r="AH37">
        <v>0</v>
      </c>
      <c r="AI37">
        <v>0</v>
      </c>
      <c r="AJ37">
        <v>0</v>
      </c>
      <c r="AK37">
        <v>0</v>
      </c>
      <c r="AL37" s="24">
        <v>45932.160000000003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s="24">
        <v>45932.160000000003</v>
      </c>
      <c r="AV37">
        <v>0</v>
      </c>
      <c r="AW37">
        <v>0</v>
      </c>
      <c r="AX37">
        <v>311000</v>
      </c>
      <c r="AY37" t="s">
        <v>161</v>
      </c>
      <c r="AZ37">
        <v>6.3769999999999998</v>
      </c>
      <c r="BA37">
        <v>6.3769999999999998</v>
      </c>
      <c r="BB37">
        <v>0</v>
      </c>
      <c r="BC37" t="s">
        <v>184</v>
      </c>
      <c r="BD37">
        <v>1511</v>
      </c>
      <c r="BE37" t="s">
        <v>174</v>
      </c>
      <c r="BF37">
        <v>5094102331</v>
      </c>
      <c r="BG37" t="s">
        <v>333</v>
      </c>
    </row>
    <row r="38" spans="1:59">
      <c r="A38">
        <v>1115</v>
      </c>
      <c r="B38">
        <v>1115</v>
      </c>
      <c r="C38">
        <v>10</v>
      </c>
      <c r="D38">
        <v>2</v>
      </c>
      <c r="E38" t="s">
        <v>152</v>
      </c>
      <c r="F38" t="s">
        <v>153</v>
      </c>
      <c r="G38" t="s">
        <v>154</v>
      </c>
      <c r="H38">
        <v>1526005917</v>
      </c>
      <c r="I38">
        <v>1000006179</v>
      </c>
      <c r="L38" t="s">
        <v>333</v>
      </c>
      <c r="M38">
        <v>5100001603</v>
      </c>
      <c r="N38" t="s">
        <v>155</v>
      </c>
      <c r="O38" t="s">
        <v>156</v>
      </c>
      <c r="P38">
        <v>4110025468</v>
      </c>
      <c r="Q38" t="s">
        <v>165</v>
      </c>
      <c r="R38">
        <v>5000</v>
      </c>
      <c r="S38" t="s">
        <v>166</v>
      </c>
      <c r="V38" t="s">
        <v>167</v>
      </c>
      <c r="W38">
        <v>1502020102</v>
      </c>
      <c r="X38" t="s">
        <v>58</v>
      </c>
      <c r="Y38" t="str">
        <f>VLOOKUP(W38,Sheet4!$A$5:$B$71,2,0)</f>
        <v>MAXIMA HD</v>
      </c>
      <c r="Z38">
        <v>87082900</v>
      </c>
      <c r="AA38">
        <v>8</v>
      </c>
      <c r="AB38" t="s">
        <v>159</v>
      </c>
      <c r="AC38" s="24">
        <v>8593.51</v>
      </c>
      <c r="AD38" t="s">
        <v>160</v>
      </c>
      <c r="AE38" s="24">
        <v>68748.08</v>
      </c>
      <c r="AF38">
        <v>0</v>
      </c>
      <c r="AG38" s="24">
        <v>68748.08</v>
      </c>
      <c r="AH38">
        <v>0</v>
      </c>
      <c r="AI38">
        <v>0</v>
      </c>
      <c r="AJ38">
        <v>0</v>
      </c>
      <c r="AK38">
        <v>0</v>
      </c>
      <c r="AL38" s="24">
        <v>68748.08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s="24">
        <v>68748.08</v>
      </c>
      <c r="AV38">
        <v>0</v>
      </c>
      <c r="AW38">
        <v>0</v>
      </c>
      <c r="AX38">
        <v>311000</v>
      </c>
      <c r="AY38" t="s">
        <v>161</v>
      </c>
      <c r="AZ38">
        <v>93.34</v>
      </c>
      <c r="BA38">
        <v>75.430000000000007</v>
      </c>
      <c r="BB38">
        <v>17.91</v>
      </c>
      <c r="BC38" t="s">
        <v>168</v>
      </c>
      <c r="BD38">
        <v>1509</v>
      </c>
      <c r="BE38" t="s">
        <v>169</v>
      </c>
      <c r="BF38">
        <v>5094104449</v>
      </c>
      <c r="BG38" t="s">
        <v>333</v>
      </c>
    </row>
    <row r="39" spans="1:59">
      <c r="A39">
        <v>1115</v>
      </c>
      <c r="B39">
        <v>1115</v>
      </c>
      <c r="C39">
        <v>10</v>
      </c>
      <c r="D39">
        <v>2</v>
      </c>
      <c r="E39" t="s">
        <v>152</v>
      </c>
      <c r="F39" t="s">
        <v>153</v>
      </c>
      <c r="G39" t="s">
        <v>154</v>
      </c>
      <c r="H39">
        <v>1526005914</v>
      </c>
      <c r="I39">
        <v>1000006177</v>
      </c>
      <c r="L39" t="s">
        <v>333</v>
      </c>
      <c r="M39">
        <v>5100001603</v>
      </c>
      <c r="N39" t="s">
        <v>155</v>
      </c>
      <c r="O39" t="s">
        <v>156</v>
      </c>
      <c r="P39">
        <v>4110025468</v>
      </c>
      <c r="Q39" t="s">
        <v>165</v>
      </c>
      <c r="R39">
        <v>5000</v>
      </c>
      <c r="S39" t="s">
        <v>166</v>
      </c>
      <c r="V39" t="s">
        <v>167</v>
      </c>
      <c r="W39">
        <v>1502020102</v>
      </c>
      <c r="X39" t="s">
        <v>58</v>
      </c>
      <c r="Y39" t="str">
        <f>VLOOKUP(W39,Sheet4!$A$5:$B$71,2,0)</f>
        <v>MAXIMA HD</v>
      </c>
      <c r="Z39">
        <v>87082900</v>
      </c>
      <c r="AA39">
        <v>8</v>
      </c>
      <c r="AB39" t="s">
        <v>159</v>
      </c>
      <c r="AC39" s="24">
        <v>8593.51</v>
      </c>
      <c r="AD39" t="s">
        <v>160</v>
      </c>
      <c r="AE39" s="24">
        <v>68748.08</v>
      </c>
      <c r="AF39">
        <v>0</v>
      </c>
      <c r="AG39" s="24">
        <v>68748.08</v>
      </c>
      <c r="AH39">
        <v>0</v>
      </c>
      <c r="AI39">
        <v>0</v>
      </c>
      <c r="AJ39">
        <v>0</v>
      </c>
      <c r="AK39">
        <v>0</v>
      </c>
      <c r="AL39" s="24">
        <v>68748.08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s="24">
        <v>68748.08</v>
      </c>
      <c r="AV39">
        <v>0</v>
      </c>
      <c r="AW39">
        <v>0</v>
      </c>
      <c r="AX39">
        <v>311000</v>
      </c>
      <c r="AY39" t="s">
        <v>161</v>
      </c>
      <c r="AZ39">
        <v>93.34</v>
      </c>
      <c r="BA39">
        <v>75.430000000000007</v>
      </c>
      <c r="BB39">
        <v>17.91</v>
      </c>
      <c r="BC39" t="s">
        <v>168</v>
      </c>
      <c r="BD39">
        <v>1509</v>
      </c>
      <c r="BE39" t="s">
        <v>169</v>
      </c>
      <c r="BF39">
        <v>5094104442</v>
      </c>
      <c r="BG39" t="s">
        <v>333</v>
      </c>
    </row>
    <row r="40" spans="1:59">
      <c r="A40">
        <v>1115</v>
      </c>
      <c r="B40">
        <v>1115</v>
      </c>
      <c r="C40">
        <v>10</v>
      </c>
      <c r="D40">
        <v>2</v>
      </c>
      <c r="E40" t="s">
        <v>152</v>
      </c>
      <c r="F40" t="s">
        <v>153</v>
      </c>
      <c r="G40" t="s">
        <v>154</v>
      </c>
      <c r="H40">
        <v>1526005913</v>
      </c>
      <c r="I40">
        <v>1000006176</v>
      </c>
      <c r="L40" t="s">
        <v>333</v>
      </c>
      <c r="M40">
        <v>5100001603</v>
      </c>
      <c r="N40" t="s">
        <v>155</v>
      </c>
      <c r="O40" t="s">
        <v>156</v>
      </c>
      <c r="P40">
        <v>4110025468</v>
      </c>
      <c r="Q40" t="s">
        <v>165</v>
      </c>
      <c r="R40">
        <v>5000</v>
      </c>
      <c r="S40" t="s">
        <v>166</v>
      </c>
      <c r="V40" t="s">
        <v>167</v>
      </c>
      <c r="W40">
        <v>1502020102</v>
      </c>
      <c r="X40" t="s">
        <v>58</v>
      </c>
      <c r="Y40" t="str">
        <f>VLOOKUP(W40,Sheet4!$A$5:$B$71,2,0)</f>
        <v>MAXIMA HD</v>
      </c>
      <c r="Z40">
        <v>87082900</v>
      </c>
      <c r="AA40">
        <v>8</v>
      </c>
      <c r="AB40" t="s">
        <v>159</v>
      </c>
      <c r="AC40" s="24">
        <v>8593.51</v>
      </c>
      <c r="AD40" t="s">
        <v>160</v>
      </c>
      <c r="AE40" s="24">
        <v>68748.08</v>
      </c>
      <c r="AF40">
        <v>0</v>
      </c>
      <c r="AG40" s="24">
        <v>68748.08</v>
      </c>
      <c r="AH40">
        <v>0</v>
      </c>
      <c r="AI40">
        <v>0</v>
      </c>
      <c r="AJ40">
        <v>0</v>
      </c>
      <c r="AK40">
        <v>0</v>
      </c>
      <c r="AL40" s="24">
        <v>68748.08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s="24">
        <v>68748.08</v>
      </c>
      <c r="AV40">
        <v>0</v>
      </c>
      <c r="AW40">
        <v>0</v>
      </c>
      <c r="AX40">
        <v>311000</v>
      </c>
      <c r="AY40" t="s">
        <v>161</v>
      </c>
      <c r="AZ40">
        <v>93.34</v>
      </c>
      <c r="BA40">
        <v>75.430000000000007</v>
      </c>
      <c r="BB40">
        <v>17.91</v>
      </c>
      <c r="BC40" t="s">
        <v>168</v>
      </c>
      <c r="BD40">
        <v>1509</v>
      </c>
      <c r="BE40" t="s">
        <v>169</v>
      </c>
      <c r="BF40">
        <v>5094104415</v>
      </c>
      <c r="BG40" t="s">
        <v>333</v>
      </c>
    </row>
    <row r="41" spans="1:59">
      <c r="A41">
        <v>1115</v>
      </c>
      <c r="B41">
        <v>1115</v>
      </c>
      <c r="C41">
        <v>10</v>
      </c>
      <c r="D41">
        <v>2</v>
      </c>
      <c r="E41" t="s">
        <v>152</v>
      </c>
      <c r="F41" t="s">
        <v>153</v>
      </c>
      <c r="G41" t="s">
        <v>154</v>
      </c>
      <c r="H41">
        <v>1526005959</v>
      </c>
      <c r="I41">
        <v>1000006221</v>
      </c>
      <c r="L41" t="s">
        <v>333</v>
      </c>
      <c r="M41">
        <v>5100001666</v>
      </c>
      <c r="N41" t="s">
        <v>155</v>
      </c>
      <c r="O41" t="s">
        <v>156</v>
      </c>
      <c r="P41">
        <v>4110027035</v>
      </c>
      <c r="Q41" t="s">
        <v>225</v>
      </c>
      <c r="R41">
        <v>5000</v>
      </c>
      <c r="S41" t="s">
        <v>166</v>
      </c>
      <c r="V41" t="s">
        <v>167</v>
      </c>
      <c r="W41">
        <v>1502020105</v>
      </c>
      <c r="X41" t="s">
        <v>226</v>
      </c>
      <c r="Y41" t="str">
        <f>VLOOKUP(W41,Sheet4!$A$5:$B$71,2,0)</f>
        <v>RE STYLING</v>
      </c>
      <c r="Z41">
        <v>87082900</v>
      </c>
      <c r="AA41">
        <v>15</v>
      </c>
      <c r="AB41" t="s">
        <v>159</v>
      </c>
      <c r="AC41" s="24">
        <v>6570.77</v>
      </c>
      <c r="AD41" t="s">
        <v>160</v>
      </c>
      <c r="AE41" s="24">
        <v>98561.55</v>
      </c>
      <c r="AF41">
        <v>0</v>
      </c>
      <c r="AG41" s="24">
        <v>98561.55</v>
      </c>
      <c r="AH41">
        <v>0</v>
      </c>
      <c r="AI41">
        <v>0</v>
      </c>
      <c r="AJ41">
        <v>0</v>
      </c>
      <c r="AK41">
        <v>0</v>
      </c>
      <c r="AL41" s="24">
        <v>98561.55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s="24">
        <v>98561.55</v>
      </c>
      <c r="AV41">
        <v>0</v>
      </c>
      <c r="AW41">
        <v>0</v>
      </c>
      <c r="AX41">
        <v>311000</v>
      </c>
      <c r="AY41" t="s">
        <v>161</v>
      </c>
      <c r="AZ41">
        <v>49.75</v>
      </c>
      <c r="BA41">
        <v>49.75</v>
      </c>
      <c r="BB41">
        <v>0</v>
      </c>
      <c r="BC41" t="s">
        <v>227</v>
      </c>
      <c r="BD41">
        <v>1509</v>
      </c>
      <c r="BE41" t="s">
        <v>169</v>
      </c>
      <c r="BF41">
        <v>5094115870</v>
      </c>
      <c r="BG41" t="s">
        <v>334</v>
      </c>
    </row>
    <row r="42" spans="1:59">
      <c r="A42">
        <v>1115</v>
      </c>
      <c r="B42">
        <v>1115</v>
      </c>
      <c r="C42">
        <v>10</v>
      </c>
      <c r="D42">
        <v>2</v>
      </c>
      <c r="E42" t="s">
        <v>152</v>
      </c>
      <c r="F42" t="s">
        <v>153</v>
      </c>
      <c r="G42" t="s">
        <v>154</v>
      </c>
      <c r="H42">
        <v>1526005998</v>
      </c>
      <c r="I42">
        <v>1000006260</v>
      </c>
      <c r="L42" t="s">
        <v>334</v>
      </c>
      <c r="M42">
        <v>5100001100</v>
      </c>
      <c r="N42" t="s">
        <v>155</v>
      </c>
      <c r="O42" t="s">
        <v>156</v>
      </c>
      <c r="P42">
        <v>4110004652</v>
      </c>
      <c r="Q42" t="s">
        <v>177</v>
      </c>
      <c r="R42">
        <v>5000</v>
      </c>
      <c r="S42" t="s">
        <v>166</v>
      </c>
      <c r="V42" t="s">
        <v>167</v>
      </c>
      <c r="W42">
        <v>1502040165</v>
      </c>
      <c r="X42" t="s">
        <v>234</v>
      </c>
      <c r="Y42" t="str">
        <f>VLOOKUP(W42,Sheet4!$A$5:$B$71,2,0)</f>
        <v>REAR COVER</v>
      </c>
      <c r="Z42">
        <v>87082900</v>
      </c>
      <c r="AA42">
        <v>55</v>
      </c>
      <c r="AB42" t="s">
        <v>159</v>
      </c>
      <c r="AC42">
        <v>165.65</v>
      </c>
      <c r="AD42" t="s">
        <v>160</v>
      </c>
      <c r="AE42" s="24">
        <v>9110.75</v>
      </c>
      <c r="AF42">
        <v>0</v>
      </c>
      <c r="AG42" s="24">
        <v>9110.75</v>
      </c>
      <c r="AH42">
        <v>0</v>
      </c>
      <c r="AI42">
        <v>0</v>
      </c>
      <c r="AJ42">
        <v>0</v>
      </c>
      <c r="AK42">
        <v>0</v>
      </c>
      <c r="AL42" s="24">
        <v>9110.75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s="24">
        <v>9110.75</v>
      </c>
      <c r="AV42">
        <v>0</v>
      </c>
      <c r="AW42">
        <v>0</v>
      </c>
      <c r="AX42">
        <v>311000</v>
      </c>
      <c r="AY42" t="s">
        <v>161</v>
      </c>
      <c r="AZ42">
        <v>1.248</v>
      </c>
      <c r="BA42">
        <v>1.248</v>
      </c>
      <c r="BB42">
        <v>0</v>
      </c>
      <c r="BC42" t="s">
        <v>235</v>
      </c>
      <c r="BD42">
        <v>1511</v>
      </c>
      <c r="BE42" t="s">
        <v>174</v>
      </c>
      <c r="BF42">
        <v>5094115332</v>
      </c>
      <c r="BG42" t="s">
        <v>334</v>
      </c>
    </row>
    <row r="43" spans="1:59">
      <c r="A43">
        <v>1115</v>
      </c>
      <c r="B43">
        <v>1115</v>
      </c>
      <c r="C43">
        <v>10</v>
      </c>
      <c r="D43">
        <v>2</v>
      </c>
      <c r="E43" t="s">
        <v>152</v>
      </c>
      <c r="F43" t="s">
        <v>153</v>
      </c>
      <c r="G43" t="s">
        <v>154</v>
      </c>
      <c r="H43">
        <v>1526005997</v>
      </c>
      <c r="I43">
        <v>1000006259</v>
      </c>
      <c r="L43" t="s">
        <v>334</v>
      </c>
      <c r="M43">
        <v>5100001100</v>
      </c>
      <c r="N43" t="s">
        <v>155</v>
      </c>
      <c r="O43" t="s">
        <v>156</v>
      </c>
      <c r="P43">
        <v>4110004652</v>
      </c>
      <c r="Q43" t="s">
        <v>177</v>
      </c>
      <c r="R43">
        <v>5000</v>
      </c>
      <c r="S43" t="s">
        <v>166</v>
      </c>
      <c r="V43" t="s">
        <v>167</v>
      </c>
      <c r="W43">
        <v>1502040164</v>
      </c>
      <c r="X43" t="s">
        <v>236</v>
      </c>
      <c r="Y43" t="str">
        <f>VLOOKUP(W43,Sheet4!$A$5:$B$71,2,0)</f>
        <v>REAR COVER</v>
      </c>
      <c r="Z43">
        <v>87082900</v>
      </c>
      <c r="AA43">
        <v>55</v>
      </c>
      <c r="AB43" t="s">
        <v>159</v>
      </c>
      <c r="AC43">
        <v>160.52000000000001</v>
      </c>
      <c r="AD43" t="s">
        <v>160</v>
      </c>
      <c r="AE43" s="24">
        <v>8828.6</v>
      </c>
      <c r="AF43">
        <v>0</v>
      </c>
      <c r="AG43" s="24">
        <v>8828.6</v>
      </c>
      <c r="AH43">
        <v>0</v>
      </c>
      <c r="AI43">
        <v>0</v>
      </c>
      <c r="AJ43">
        <v>0</v>
      </c>
      <c r="AK43">
        <v>0</v>
      </c>
      <c r="AL43" s="24">
        <v>8828.6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s="24">
        <v>8828.6</v>
      </c>
      <c r="AV43">
        <v>0</v>
      </c>
      <c r="AW43">
        <v>0</v>
      </c>
      <c r="AX43">
        <v>311000</v>
      </c>
      <c r="AY43" t="s">
        <v>161</v>
      </c>
      <c r="AZ43">
        <v>1.1659999999999999</v>
      </c>
      <c r="BA43">
        <v>1.1659999999999999</v>
      </c>
      <c r="BB43">
        <v>0</v>
      </c>
      <c r="BC43" t="s">
        <v>237</v>
      </c>
      <c r="BD43">
        <v>1511</v>
      </c>
      <c r="BE43" t="s">
        <v>174</v>
      </c>
      <c r="BF43">
        <v>5094115334</v>
      </c>
      <c r="BG43" t="s">
        <v>334</v>
      </c>
    </row>
    <row r="44" spans="1:59">
      <c r="A44">
        <v>1115</v>
      </c>
      <c r="B44">
        <v>1115</v>
      </c>
      <c r="C44">
        <v>10</v>
      </c>
      <c r="D44">
        <v>2</v>
      </c>
      <c r="E44" t="s">
        <v>152</v>
      </c>
      <c r="F44" t="s">
        <v>153</v>
      </c>
      <c r="G44" t="s">
        <v>154</v>
      </c>
      <c r="H44">
        <v>1526005996</v>
      </c>
      <c r="I44">
        <v>1000006258</v>
      </c>
      <c r="L44" t="s">
        <v>334</v>
      </c>
      <c r="M44">
        <v>5100001925</v>
      </c>
      <c r="N44" t="s">
        <v>155</v>
      </c>
      <c r="O44" t="s">
        <v>156</v>
      </c>
      <c r="P44">
        <v>4110055667</v>
      </c>
      <c r="Q44" t="s">
        <v>185</v>
      </c>
      <c r="R44">
        <v>5000</v>
      </c>
      <c r="S44" t="s">
        <v>166</v>
      </c>
      <c r="V44" t="s">
        <v>167</v>
      </c>
      <c r="W44">
        <v>1502040318</v>
      </c>
      <c r="X44" t="s">
        <v>72</v>
      </c>
      <c r="Y44" t="str">
        <f>VLOOKUP(W44,Sheet4!$A$5:$B$71,2,0)</f>
        <v>Re Side Door</v>
      </c>
      <c r="Z44">
        <v>87082900</v>
      </c>
      <c r="AA44">
        <v>120</v>
      </c>
      <c r="AB44" t="s">
        <v>159</v>
      </c>
      <c r="AC44">
        <v>506.59</v>
      </c>
      <c r="AD44" t="s">
        <v>160</v>
      </c>
      <c r="AE44" s="24">
        <v>60790.8</v>
      </c>
      <c r="AF44">
        <v>0</v>
      </c>
      <c r="AG44" s="24">
        <v>60790.8</v>
      </c>
      <c r="AH44">
        <v>0</v>
      </c>
      <c r="AI44">
        <v>0</v>
      </c>
      <c r="AJ44">
        <v>0</v>
      </c>
      <c r="AK44">
        <v>0</v>
      </c>
      <c r="AL44" s="24">
        <v>60790.8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s="24">
        <v>60790.8</v>
      </c>
      <c r="AV44">
        <v>0</v>
      </c>
      <c r="AW44">
        <v>0</v>
      </c>
      <c r="AX44">
        <v>311000</v>
      </c>
      <c r="AY44" t="s">
        <v>161</v>
      </c>
      <c r="AZ44">
        <v>2.27</v>
      </c>
      <c r="BA44">
        <v>2.27</v>
      </c>
      <c r="BB44">
        <v>0</v>
      </c>
      <c r="BC44" t="s">
        <v>187</v>
      </c>
      <c r="BD44">
        <v>1511</v>
      </c>
      <c r="BE44" t="s">
        <v>174</v>
      </c>
      <c r="BF44">
        <v>5094113644</v>
      </c>
      <c r="BG44" t="s">
        <v>334</v>
      </c>
    </row>
    <row r="45" spans="1:59">
      <c r="A45">
        <v>1115</v>
      </c>
      <c r="B45">
        <v>1115</v>
      </c>
      <c r="C45">
        <v>10</v>
      </c>
      <c r="D45">
        <v>2</v>
      </c>
      <c r="E45" t="s">
        <v>152</v>
      </c>
      <c r="F45" t="s">
        <v>153</v>
      </c>
      <c r="G45" t="s">
        <v>154</v>
      </c>
      <c r="H45">
        <v>1526005995</v>
      </c>
      <c r="I45">
        <v>1000006257</v>
      </c>
      <c r="L45" t="s">
        <v>334</v>
      </c>
      <c r="M45">
        <v>5100001925</v>
      </c>
      <c r="N45" t="s">
        <v>155</v>
      </c>
      <c r="O45" t="s">
        <v>156</v>
      </c>
      <c r="P45">
        <v>4110055667</v>
      </c>
      <c r="Q45" t="s">
        <v>185</v>
      </c>
      <c r="R45">
        <v>5000</v>
      </c>
      <c r="S45" t="s">
        <v>166</v>
      </c>
      <c r="V45" t="s">
        <v>167</v>
      </c>
      <c r="W45">
        <v>1502040317</v>
      </c>
      <c r="X45" t="s">
        <v>73</v>
      </c>
      <c r="Y45" t="str">
        <f>VLOOKUP(W45,Sheet4!$A$5:$B$71,2,0)</f>
        <v>Re Side Door</v>
      </c>
      <c r="Z45">
        <v>87082900</v>
      </c>
      <c r="AA45">
        <v>120</v>
      </c>
      <c r="AB45" t="s">
        <v>159</v>
      </c>
      <c r="AC45">
        <v>506.59</v>
      </c>
      <c r="AD45" t="s">
        <v>160</v>
      </c>
      <c r="AE45" s="24">
        <v>60790.8</v>
      </c>
      <c r="AF45">
        <v>0</v>
      </c>
      <c r="AG45" s="24">
        <v>60790.8</v>
      </c>
      <c r="AH45">
        <v>0</v>
      </c>
      <c r="AI45">
        <v>0</v>
      </c>
      <c r="AJ45">
        <v>0</v>
      </c>
      <c r="AK45">
        <v>0</v>
      </c>
      <c r="AL45" s="24">
        <v>60790.8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s="24">
        <v>60790.8</v>
      </c>
      <c r="AV45">
        <v>0</v>
      </c>
      <c r="AW45">
        <v>0</v>
      </c>
      <c r="AX45">
        <v>311000</v>
      </c>
      <c r="AY45" t="s">
        <v>161</v>
      </c>
      <c r="AZ45">
        <v>2.27</v>
      </c>
      <c r="BA45">
        <v>2.27</v>
      </c>
      <c r="BB45">
        <v>0</v>
      </c>
      <c r="BC45" t="s">
        <v>186</v>
      </c>
      <c r="BD45">
        <v>1511</v>
      </c>
      <c r="BE45" t="s">
        <v>174</v>
      </c>
      <c r="BF45">
        <v>5094113645</v>
      </c>
      <c r="BG45" t="s">
        <v>334</v>
      </c>
    </row>
    <row r="46" spans="1:59">
      <c r="A46">
        <v>1115</v>
      </c>
      <c r="B46">
        <v>1115</v>
      </c>
      <c r="C46">
        <v>10</v>
      </c>
      <c r="D46">
        <v>2</v>
      </c>
      <c r="E46" t="s">
        <v>152</v>
      </c>
      <c r="F46" t="s">
        <v>153</v>
      </c>
      <c r="G46" t="s">
        <v>154</v>
      </c>
      <c r="H46">
        <v>1526005994</v>
      </c>
      <c r="I46">
        <v>1000006256</v>
      </c>
      <c r="L46" t="s">
        <v>334</v>
      </c>
      <c r="M46">
        <v>5100001935</v>
      </c>
      <c r="N46" t="s">
        <v>155</v>
      </c>
      <c r="O46" t="s">
        <v>156</v>
      </c>
      <c r="P46">
        <v>4110059361</v>
      </c>
      <c r="Q46" t="s">
        <v>243</v>
      </c>
      <c r="R46">
        <v>5000</v>
      </c>
      <c r="S46" t="s">
        <v>166</v>
      </c>
      <c r="V46" t="s">
        <v>167</v>
      </c>
      <c r="W46">
        <v>1502020125</v>
      </c>
      <c r="X46" t="s">
        <v>244</v>
      </c>
      <c r="Y46" t="str">
        <f>VLOOKUP(W46,Sheet4!$A$5:$B$71,2,0)</f>
        <v>RE STYLING</v>
      </c>
      <c r="Z46">
        <v>87082900</v>
      </c>
      <c r="AA46">
        <v>3</v>
      </c>
      <c r="AB46" t="s">
        <v>159</v>
      </c>
      <c r="AC46" s="24">
        <v>6435.33</v>
      </c>
      <c r="AD46" t="s">
        <v>160</v>
      </c>
      <c r="AE46" s="24">
        <v>19305.990000000002</v>
      </c>
      <c r="AF46">
        <v>0</v>
      </c>
      <c r="AG46" s="24">
        <v>19305.990000000002</v>
      </c>
      <c r="AH46">
        <v>0</v>
      </c>
      <c r="AI46">
        <v>0</v>
      </c>
      <c r="AJ46">
        <v>0</v>
      </c>
      <c r="AK46">
        <v>0</v>
      </c>
      <c r="AL46" s="24">
        <v>19305.990000000002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s="24">
        <v>19305.990000000002</v>
      </c>
      <c r="AV46">
        <v>0</v>
      </c>
      <c r="AW46">
        <v>0</v>
      </c>
      <c r="AX46">
        <v>311000</v>
      </c>
      <c r="AY46" t="s">
        <v>161</v>
      </c>
      <c r="AZ46">
        <v>0</v>
      </c>
      <c r="BA46">
        <v>0</v>
      </c>
      <c r="BB46">
        <v>0</v>
      </c>
      <c r="BC46" t="s">
        <v>245</v>
      </c>
      <c r="BD46">
        <v>1509</v>
      </c>
      <c r="BE46" t="s">
        <v>169</v>
      </c>
      <c r="BF46">
        <v>5094116152</v>
      </c>
      <c r="BG46" t="s">
        <v>334</v>
      </c>
    </row>
    <row r="47" spans="1:59">
      <c r="A47">
        <v>1115</v>
      </c>
      <c r="B47">
        <v>1115</v>
      </c>
      <c r="C47">
        <v>10</v>
      </c>
      <c r="D47">
        <v>2</v>
      </c>
      <c r="E47" t="s">
        <v>152</v>
      </c>
      <c r="F47" t="s">
        <v>153</v>
      </c>
      <c r="G47" t="s">
        <v>154</v>
      </c>
      <c r="H47">
        <v>1526005993</v>
      </c>
      <c r="I47">
        <v>1000006255</v>
      </c>
      <c r="L47" t="s">
        <v>334</v>
      </c>
      <c r="M47">
        <v>5100001939</v>
      </c>
      <c r="N47" t="s">
        <v>155</v>
      </c>
      <c r="O47" t="s">
        <v>156</v>
      </c>
      <c r="P47">
        <v>4110059608</v>
      </c>
      <c r="Q47" t="s">
        <v>240</v>
      </c>
      <c r="R47">
        <v>5000</v>
      </c>
      <c r="S47" t="s">
        <v>166</v>
      </c>
      <c r="V47" t="s">
        <v>167</v>
      </c>
      <c r="W47">
        <v>1502020129</v>
      </c>
      <c r="X47" t="s">
        <v>241</v>
      </c>
      <c r="Y47" t="str">
        <f>VLOOKUP(W47,Sheet4!$A$5:$B$71,2,0)</f>
        <v>RE STYLING</v>
      </c>
      <c r="Z47">
        <v>87082900</v>
      </c>
      <c r="AA47">
        <v>12</v>
      </c>
      <c r="AB47" t="s">
        <v>159</v>
      </c>
      <c r="AC47" s="24">
        <v>6500.18</v>
      </c>
      <c r="AD47" t="s">
        <v>160</v>
      </c>
      <c r="AE47" s="24">
        <v>78002.16</v>
      </c>
      <c r="AF47">
        <v>0</v>
      </c>
      <c r="AG47" s="24">
        <v>78002.16</v>
      </c>
      <c r="AH47">
        <v>0</v>
      </c>
      <c r="AI47">
        <v>0</v>
      </c>
      <c r="AJ47">
        <v>0</v>
      </c>
      <c r="AK47">
        <v>0</v>
      </c>
      <c r="AL47" s="24">
        <v>78002.16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24">
        <v>78002.16</v>
      </c>
      <c r="AV47">
        <v>0</v>
      </c>
      <c r="AW47">
        <v>0</v>
      </c>
      <c r="AX47">
        <v>311000</v>
      </c>
      <c r="AY47" t="s">
        <v>161</v>
      </c>
      <c r="AZ47">
        <v>0</v>
      </c>
      <c r="BA47">
        <v>0</v>
      </c>
      <c r="BB47">
        <v>0</v>
      </c>
      <c r="BC47" t="s">
        <v>242</v>
      </c>
      <c r="BD47">
        <v>1509</v>
      </c>
      <c r="BE47" t="s">
        <v>169</v>
      </c>
      <c r="BF47">
        <v>5094116126</v>
      </c>
      <c r="BG47" t="s">
        <v>334</v>
      </c>
    </row>
    <row r="48" spans="1:59">
      <c r="A48">
        <v>1115</v>
      </c>
      <c r="B48">
        <v>1115</v>
      </c>
      <c r="C48">
        <v>10</v>
      </c>
      <c r="D48">
        <v>2</v>
      </c>
      <c r="E48" t="s">
        <v>152</v>
      </c>
      <c r="F48" t="s">
        <v>153</v>
      </c>
      <c r="G48" t="s">
        <v>154</v>
      </c>
      <c r="H48">
        <v>1526005992</v>
      </c>
      <c r="I48">
        <v>1000006254</v>
      </c>
      <c r="L48" t="s">
        <v>334</v>
      </c>
      <c r="M48">
        <v>5100001636</v>
      </c>
      <c r="N48" t="s">
        <v>155</v>
      </c>
      <c r="O48" t="s">
        <v>156</v>
      </c>
      <c r="P48">
        <v>4110026445</v>
      </c>
      <c r="Q48" t="s">
        <v>170</v>
      </c>
      <c r="R48">
        <v>5000</v>
      </c>
      <c r="S48" t="s">
        <v>166</v>
      </c>
      <c r="V48" t="s">
        <v>167</v>
      </c>
      <c r="W48">
        <v>1502020104</v>
      </c>
      <c r="X48" t="s">
        <v>26</v>
      </c>
      <c r="Y48" t="str">
        <f>VLOOKUP(W48,Sheet4!$A$5:$B$71,2,0)</f>
        <v>RE STYLING</v>
      </c>
      <c r="Z48">
        <v>87082900</v>
      </c>
      <c r="AA48">
        <v>15</v>
      </c>
      <c r="AB48" t="s">
        <v>159</v>
      </c>
      <c r="AC48" s="24">
        <v>6585.55</v>
      </c>
      <c r="AD48" t="s">
        <v>160</v>
      </c>
      <c r="AE48" s="24">
        <v>98783.25</v>
      </c>
      <c r="AF48">
        <v>0</v>
      </c>
      <c r="AG48" s="24">
        <v>98783.25</v>
      </c>
      <c r="AH48">
        <v>0</v>
      </c>
      <c r="AI48">
        <v>0</v>
      </c>
      <c r="AJ48">
        <v>0</v>
      </c>
      <c r="AK48">
        <v>0</v>
      </c>
      <c r="AL48" s="24">
        <v>98783.25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s="24">
        <v>98783.25</v>
      </c>
      <c r="AV48">
        <v>0</v>
      </c>
      <c r="AW48">
        <v>0</v>
      </c>
      <c r="AX48">
        <v>311000</v>
      </c>
      <c r="AY48" t="s">
        <v>161</v>
      </c>
      <c r="AZ48">
        <v>49.75</v>
      </c>
      <c r="BA48">
        <v>49.75</v>
      </c>
      <c r="BB48">
        <v>0</v>
      </c>
      <c r="BC48" t="s">
        <v>171</v>
      </c>
      <c r="BD48">
        <v>1509</v>
      </c>
      <c r="BE48" t="s">
        <v>169</v>
      </c>
      <c r="BF48">
        <v>5094118526</v>
      </c>
      <c r="BG48" t="s">
        <v>334</v>
      </c>
    </row>
    <row r="49" spans="1:59">
      <c r="A49">
        <v>1115</v>
      </c>
      <c r="B49">
        <v>1115</v>
      </c>
      <c r="C49">
        <v>10</v>
      </c>
      <c r="D49">
        <v>2</v>
      </c>
      <c r="E49" t="s">
        <v>152</v>
      </c>
      <c r="F49" t="s">
        <v>153</v>
      </c>
      <c r="G49" t="s">
        <v>154</v>
      </c>
      <c r="H49">
        <v>1526005991</v>
      </c>
      <c r="I49">
        <v>1000006253</v>
      </c>
      <c r="L49" t="s">
        <v>334</v>
      </c>
      <c r="M49">
        <v>5100001636</v>
      </c>
      <c r="N49" t="s">
        <v>155</v>
      </c>
      <c r="O49" t="s">
        <v>156</v>
      </c>
      <c r="P49">
        <v>4110026445</v>
      </c>
      <c r="Q49" t="s">
        <v>170</v>
      </c>
      <c r="R49">
        <v>5000</v>
      </c>
      <c r="S49" t="s">
        <v>166</v>
      </c>
      <c r="V49" t="s">
        <v>167</v>
      </c>
      <c r="W49">
        <v>1502020104</v>
      </c>
      <c r="X49" t="s">
        <v>26</v>
      </c>
      <c r="Y49" t="str">
        <f>VLOOKUP(W49,Sheet4!$A$5:$B$71,2,0)</f>
        <v>RE STYLING</v>
      </c>
      <c r="Z49">
        <v>87082900</v>
      </c>
      <c r="AA49">
        <v>15</v>
      </c>
      <c r="AB49" t="s">
        <v>159</v>
      </c>
      <c r="AC49" s="24">
        <v>6585.55</v>
      </c>
      <c r="AD49" t="s">
        <v>160</v>
      </c>
      <c r="AE49" s="24">
        <v>98783.25</v>
      </c>
      <c r="AF49">
        <v>0</v>
      </c>
      <c r="AG49" s="24">
        <v>98783.25</v>
      </c>
      <c r="AH49">
        <v>0</v>
      </c>
      <c r="AI49">
        <v>0</v>
      </c>
      <c r="AJ49">
        <v>0</v>
      </c>
      <c r="AK49">
        <v>0</v>
      </c>
      <c r="AL49" s="24">
        <v>98783.25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s="24">
        <v>98783.25</v>
      </c>
      <c r="AV49">
        <v>0</v>
      </c>
      <c r="AW49">
        <v>0</v>
      </c>
      <c r="AX49">
        <v>311000</v>
      </c>
      <c r="AY49" t="s">
        <v>161</v>
      </c>
      <c r="AZ49">
        <v>49.75</v>
      </c>
      <c r="BA49">
        <v>49.75</v>
      </c>
      <c r="BB49">
        <v>0</v>
      </c>
      <c r="BC49" t="s">
        <v>171</v>
      </c>
      <c r="BD49">
        <v>1509</v>
      </c>
      <c r="BE49" t="s">
        <v>169</v>
      </c>
      <c r="BF49">
        <v>5094118523</v>
      </c>
      <c r="BG49" t="s">
        <v>334</v>
      </c>
    </row>
    <row r="50" spans="1:59">
      <c r="A50">
        <v>1115</v>
      </c>
      <c r="B50">
        <v>1115</v>
      </c>
      <c r="C50">
        <v>10</v>
      </c>
      <c r="D50">
        <v>2</v>
      </c>
      <c r="E50" t="s">
        <v>152</v>
      </c>
      <c r="F50" t="s">
        <v>153</v>
      </c>
      <c r="G50" t="s">
        <v>154</v>
      </c>
      <c r="H50">
        <v>1526005990</v>
      </c>
      <c r="I50">
        <v>1000006252</v>
      </c>
      <c r="L50" t="s">
        <v>334</v>
      </c>
      <c r="M50">
        <v>5100001636</v>
      </c>
      <c r="N50" t="s">
        <v>155</v>
      </c>
      <c r="O50" t="s">
        <v>156</v>
      </c>
      <c r="P50">
        <v>4110026445</v>
      </c>
      <c r="Q50" t="s">
        <v>170</v>
      </c>
      <c r="R50">
        <v>5000</v>
      </c>
      <c r="S50" t="s">
        <v>166</v>
      </c>
      <c r="V50" t="s">
        <v>167</v>
      </c>
      <c r="W50">
        <v>1502020104</v>
      </c>
      <c r="X50" t="s">
        <v>26</v>
      </c>
      <c r="Y50" t="str">
        <f>VLOOKUP(W50,Sheet4!$A$5:$B$71,2,0)</f>
        <v>RE STYLING</v>
      </c>
      <c r="Z50">
        <v>87082900</v>
      </c>
      <c r="AA50">
        <v>15</v>
      </c>
      <c r="AB50" t="s">
        <v>159</v>
      </c>
      <c r="AC50" s="24">
        <v>6585.55</v>
      </c>
      <c r="AD50" t="s">
        <v>160</v>
      </c>
      <c r="AE50" s="24">
        <v>98783.25</v>
      </c>
      <c r="AF50">
        <v>0</v>
      </c>
      <c r="AG50" s="24">
        <v>98783.25</v>
      </c>
      <c r="AH50">
        <v>0</v>
      </c>
      <c r="AI50">
        <v>0</v>
      </c>
      <c r="AJ50">
        <v>0</v>
      </c>
      <c r="AK50">
        <v>0</v>
      </c>
      <c r="AL50" s="24">
        <v>98783.25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s="24">
        <v>98783.25</v>
      </c>
      <c r="AV50">
        <v>0</v>
      </c>
      <c r="AW50">
        <v>0</v>
      </c>
      <c r="AX50">
        <v>311000</v>
      </c>
      <c r="AY50" t="s">
        <v>161</v>
      </c>
      <c r="AZ50">
        <v>49.75</v>
      </c>
      <c r="BA50">
        <v>49.75</v>
      </c>
      <c r="BB50">
        <v>0</v>
      </c>
      <c r="BC50" t="s">
        <v>171</v>
      </c>
      <c r="BD50">
        <v>1509</v>
      </c>
      <c r="BE50" t="s">
        <v>169</v>
      </c>
      <c r="BF50">
        <v>5094118451</v>
      </c>
      <c r="BG50" t="s">
        <v>334</v>
      </c>
    </row>
    <row r="51" spans="1:59">
      <c r="A51">
        <v>1115</v>
      </c>
      <c r="B51">
        <v>1115</v>
      </c>
      <c r="C51">
        <v>10</v>
      </c>
      <c r="D51">
        <v>2</v>
      </c>
      <c r="E51" t="s">
        <v>152</v>
      </c>
      <c r="F51" t="s">
        <v>153</v>
      </c>
      <c r="G51" t="s">
        <v>154</v>
      </c>
      <c r="H51">
        <v>1526005989</v>
      </c>
      <c r="I51">
        <v>1000006251</v>
      </c>
      <c r="L51" t="s">
        <v>334</v>
      </c>
      <c r="M51">
        <v>5100001636</v>
      </c>
      <c r="N51" t="s">
        <v>155</v>
      </c>
      <c r="O51" t="s">
        <v>156</v>
      </c>
      <c r="P51">
        <v>4110026445</v>
      </c>
      <c r="Q51" t="s">
        <v>170</v>
      </c>
      <c r="R51">
        <v>5000</v>
      </c>
      <c r="S51" t="s">
        <v>166</v>
      </c>
      <c r="V51" t="s">
        <v>167</v>
      </c>
      <c r="W51">
        <v>1502020104</v>
      </c>
      <c r="X51" t="s">
        <v>26</v>
      </c>
      <c r="Y51" t="str">
        <f>VLOOKUP(W51,Sheet4!$A$5:$B$71,2,0)</f>
        <v>RE STYLING</v>
      </c>
      <c r="Z51">
        <v>87082900</v>
      </c>
      <c r="AA51">
        <v>15</v>
      </c>
      <c r="AB51" t="s">
        <v>159</v>
      </c>
      <c r="AC51" s="24">
        <v>6585.55</v>
      </c>
      <c r="AD51" t="s">
        <v>160</v>
      </c>
      <c r="AE51" s="24">
        <v>98783.25</v>
      </c>
      <c r="AF51">
        <v>0</v>
      </c>
      <c r="AG51" s="24">
        <v>98783.25</v>
      </c>
      <c r="AH51">
        <v>0</v>
      </c>
      <c r="AI51">
        <v>0</v>
      </c>
      <c r="AJ51">
        <v>0</v>
      </c>
      <c r="AK51">
        <v>0</v>
      </c>
      <c r="AL51" s="24">
        <v>98783.25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s="24">
        <v>98783.25</v>
      </c>
      <c r="AV51">
        <v>0</v>
      </c>
      <c r="AW51">
        <v>0</v>
      </c>
      <c r="AX51">
        <v>311000</v>
      </c>
      <c r="AY51" t="s">
        <v>161</v>
      </c>
      <c r="AZ51">
        <v>49.75</v>
      </c>
      <c r="BA51">
        <v>49.75</v>
      </c>
      <c r="BB51">
        <v>0</v>
      </c>
      <c r="BC51" t="s">
        <v>171</v>
      </c>
      <c r="BD51">
        <v>1509</v>
      </c>
      <c r="BE51" t="s">
        <v>169</v>
      </c>
      <c r="BF51">
        <v>5094118524</v>
      </c>
      <c r="BG51" t="s">
        <v>334</v>
      </c>
    </row>
    <row r="52" spans="1:59">
      <c r="A52">
        <v>1115</v>
      </c>
      <c r="B52">
        <v>1115</v>
      </c>
      <c r="C52">
        <v>10</v>
      </c>
      <c r="D52">
        <v>2</v>
      </c>
      <c r="E52" t="s">
        <v>152</v>
      </c>
      <c r="F52" t="s">
        <v>153</v>
      </c>
      <c r="G52" t="s">
        <v>154</v>
      </c>
      <c r="H52">
        <v>1526005988</v>
      </c>
      <c r="I52">
        <v>1000006250</v>
      </c>
      <c r="L52" t="s">
        <v>334</v>
      </c>
      <c r="M52">
        <v>5100001939</v>
      </c>
      <c r="N52" t="s">
        <v>155</v>
      </c>
      <c r="O52" t="s">
        <v>156</v>
      </c>
      <c r="P52">
        <v>4110059608</v>
      </c>
      <c r="Q52" t="s">
        <v>240</v>
      </c>
      <c r="R52">
        <v>5000</v>
      </c>
      <c r="S52" t="s">
        <v>166</v>
      </c>
      <c r="V52" t="s">
        <v>167</v>
      </c>
      <c r="W52">
        <v>1502020129</v>
      </c>
      <c r="X52" t="s">
        <v>241</v>
      </c>
      <c r="Y52" t="str">
        <f>VLOOKUP(W52,Sheet4!$A$5:$B$71,2,0)</f>
        <v>RE STYLING</v>
      </c>
      <c r="Z52">
        <v>87082900</v>
      </c>
      <c r="AA52">
        <v>15</v>
      </c>
      <c r="AB52" t="s">
        <v>159</v>
      </c>
      <c r="AC52" s="24">
        <v>6500.18</v>
      </c>
      <c r="AD52" t="s">
        <v>160</v>
      </c>
      <c r="AE52" s="24">
        <v>97502.7</v>
      </c>
      <c r="AF52">
        <v>0</v>
      </c>
      <c r="AG52" s="24">
        <v>97502.7</v>
      </c>
      <c r="AH52">
        <v>0</v>
      </c>
      <c r="AI52">
        <v>0</v>
      </c>
      <c r="AJ52">
        <v>0</v>
      </c>
      <c r="AK52">
        <v>0</v>
      </c>
      <c r="AL52" s="24">
        <v>97502.7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s="24">
        <v>97502.7</v>
      </c>
      <c r="AV52">
        <v>0</v>
      </c>
      <c r="AW52">
        <v>0</v>
      </c>
      <c r="AX52">
        <v>311000</v>
      </c>
      <c r="AY52" t="s">
        <v>161</v>
      </c>
      <c r="AZ52">
        <v>0</v>
      </c>
      <c r="BA52">
        <v>0</v>
      </c>
      <c r="BB52">
        <v>0</v>
      </c>
      <c r="BC52" t="s">
        <v>242</v>
      </c>
      <c r="BD52">
        <v>1509</v>
      </c>
      <c r="BE52" t="s">
        <v>169</v>
      </c>
      <c r="BF52">
        <v>5094130493</v>
      </c>
      <c r="BG52" t="s">
        <v>335</v>
      </c>
    </row>
    <row r="53" spans="1:59">
      <c r="A53">
        <v>1115</v>
      </c>
      <c r="B53">
        <v>1115</v>
      </c>
      <c r="C53">
        <v>10</v>
      </c>
      <c r="D53">
        <v>2</v>
      </c>
      <c r="E53" t="s">
        <v>152</v>
      </c>
      <c r="F53" t="s">
        <v>153</v>
      </c>
      <c r="G53" t="s">
        <v>154</v>
      </c>
      <c r="H53">
        <v>1526005987</v>
      </c>
      <c r="I53">
        <v>1000006249</v>
      </c>
      <c r="L53" t="s">
        <v>334</v>
      </c>
      <c r="M53">
        <v>5100001939</v>
      </c>
      <c r="N53" t="s">
        <v>155</v>
      </c>
      <c r="O53" t="s">
        <v>156</v>
      </c>
      <c r="P53">
        <v>4110059608</v>
      </c>
      <c r="Q53" t="s">
        <v>240</v>
      </c>
      <c r="R53">
        <v>5000</v>
      </c>
      <c r="S53" t="s">
        <v>166</v>
      </c>
      <c r="V53" t="s">
        <v>167</v>
      </c>
      <c r="W53">
        <v>1502020129</v>
      </c>
      <c r="X53" t="s">
        <v>241</v>
      </c>
      <c r="Y53" t="str">
        <f>VLOOKUP(W53,Sheet4!$A$5:$B$71,2,0)</f>
        <v>RE STYLING</v>
      </c>
      <c r="Z53">
        <v>87082900</v>
      </c>
      <c r="AA53">
        <v>15</v>
      </c>
      <c r="AB53" t="s">
        <v>159</v>
      </c>
      <c r="AC53" s="24">
        <v>6500.18</v>
      </c>
      <c r="AD53" t="s">
        <v>160</v>
      </c>
      <c r="AE53" s="24">
        <v>97502.7</v>
      </c>
      <c r="AF53">
        <v>0</v>
      </c>
      <c r="AG53" s="24">
        <v>97502.7</v>
      </c>
      <c r="AH53">
        <v>0</v>
      </c>
      <c r="AI53">
        <v>0</v>
      </c>
      <c r="AJ53">
        <v>0</v>
      </c>
      <c r="AK53">
        <v>0</v>
      </c>
      <c r="AL53" s="24">
        <v>97502.7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s="24">
        <v>97502.7</v>
      </c>
      <c r="AV53">
        <v>0</v>
      </c>
      <c r="AW53">
        <v>0</v>
      </c>
      <c r="AX53">
        <v>311000</v>
      </c>
      <c r="AY53" t="s">
        <v>161</v>
      </c>
      <c r="AZ53">
        <v>0</v>
      </c>
      <c r="BA53">
        <v>0</v>
      </c>
      <c r="BB53">
        <v>0</v>
      </c>
      <c r="BC53" t="s">
        <v>242</v>
      </c>
      <c r="BD53">
        <v>1509</v>
      </c>
      <c r="BE53" t="s">
        <v>169</v>
      </c>
      <c r="BF53">
        <v>5094130476</v>
      </c>
      <c r="BG53" t="s">
        <v>335</v>
      </c>
    </row>
    <row r="54" spans="1:59">
      <c r="A54">
        <v>1115</v>
      </c>
      <c r="B54">
        <v>1115</v>
      </c>
      <c r="C54">
        <v>10</v>
      </c>
      <c r="D54">
        <v>2</v>
      </c>
      <c r="E54" t="s">
        <v>152</v>
      </c>
      <c r="F54" t="s">
        <v>153</v>
      </c>
      <c r="G54" t="s">
        <v>154</v>
      </c>
      <c r="H54">
        <v>1526005986</v>
      </c>
      <c r="I54">
        <v>1000006248</v>
      </c>
      <c r="L54" t="s">
        <v>334</v>
      </c>
      <c r="M54">
        <v>5100001939</v>
      </c>
      <c r="N54" t="s">
        <v>155</v>
      </c>
      <c r="O54" t="s">
        <v>156</v>
      </c>
      <c r="P54">
        <v>4110059608</v>
      </c>
      <c r="Q54" t="s">
        <v>240</v>
      </c>
      <c r="R54">
        <v>5000</v>
      </c>
      <c r="S54" t="s">
        <v>166</v>
      </c>
      <c r="V54" t="s">
        <v>167</v>
      </c>
      <c r="W54">
        <v>1502020129</v>
      </c>
      <c r="X54" t="s">
        <v>241</v>
      </c>
      <c r="Y54" t="str">
        <f>VLOOKUP(W54,Sheet4!$A$5:$B$71,2,0)</f>
        <v>RE STYLING</v>
      </c>
      <c r="Z54">
        <v>87082900</v>
      </c>
      <c r="AA54">
        <v>15</v>
      </c>
      <c r="AB54" t="s">
        <v>159</v>
      </c>
      <c r="AC54" s="24">
        <v>6500.18</v>
      </c>
      <c r="AD54" t="s">
        <v>160</v>
      </c>
      <c r="AE54" s="24">
        <v>97502.7</v>
      </c>
      <c r="AF54">
        <v>0</v>
      </c>
      <c r="AG54" s="24">
        <v>97502.7</v>
      </c>
      <c r="AH54">
        <v>0</v>
      </c>
      <c r="AI54">
        <v>0</v>
      </c>
      <c r="AJ54">
        <v>0</v>
      </c>
      <c r="AK54">
        <v>0</v>
      </c>
      <c r="AL54" s="24">
        <v>97502.7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s="24">
        <v>97502.7</v>
      </c>
      <c r="AV54">
        <v>0</v>
      </c>
      <c r="AW54">
        <v>0</v>
      </c>
      <c r="AX54">
        <v>311000</v>
      </c>
      <c r="AY54" t="s">
        <v>161</v>
      </c>
      <c r="AZ54">
        <v>0</v>
      </c>
      <c r="BA54">
        <v>0</v>
      </c>
      <c r="BB54">
        <v>0</v>
      </c>
      <c r="BC54" t="s">
        <v>242</v>
      </c>
      <c r="BD54">
        <v>1509</v>
      </c>
      <c r="BE54" t="s">
        <v>169</v>
      </c>
      <c r="BF54">
        <v>5094130647</v>
      </c>
      <c r="BG54" t="s">
        <v>335</v>
      </c>
    </row>
    <row r="55" spans="1:59">
      <c r="A55">
        <v>1115</v>
      </c>
      <c r="B55">
        <v>1115</v>
      </c>
      <c r="C55">
        <v>10</v>
      </c>
      <c r="D55">
        <v>2</v>
      </c>
      <c r="E55" t="s">
        <v>152</v>
      </c>
      <c r="F55" t="s">
        <v>153</v>
      </c>
      <c r="G55" t="s">
        <v>154</v>
      </c>
      <c r="H55">
        <v>1526005985</v>
      </c>
      <c r="I55">
        <v>1000006247</v>
      </c>
      <c r="L55" t="s">
        <v>334</v>
      </c>
      <c r="M55">
        <v>5100001939</v>
      </c>
      <c r="N55" t="s">
        <v>155</v>
      </c>
      <c r="O55" t="s">
        <v>156</v>
      </c>
      <c r="P55">
        <v>4110059608</v>
      </c>
      <c r="Q55" t="s">
        <v>240</v>
      </c>
      <c r="R55">
        <v>5000</v>
      </c>
      <c r="S55" t="s">
        <v>166</v>
      </c>
      <c r="V55" t="s">
        <v>167</v>
      </c>
      <c r="W55">
        <v>1502020129</v>
      </c>
      <c r="X55" t="s">
        <v>241</v>
      </c>
      <c r="Y55" t="str">
        <f>VLOOKUP(W55,Sheet4!$A$5:$B$71,2,0)</f>
        <v>RE STYLING</v>
      </c>
      <c r="Z55">
        <v>87082900</v>
      </c>
      <c r="AA55">
        <v>15</v>
      </c>
      <c r="AB55" t="s">
        <v>159</v>
      </c>
      <c r="AC55" s="24">
        <v>6500.18</v>
      </c>
      <c r="AD55" t="s">
        <v>160</v>
      </c>
      <c r="AE55" s="24">
        <v>97502.7</v>
      </c>
      <c r="AF55">
        <v>0</v>
      </c>
      <c r="AG55" s="24">
        <v>97502.7</v>
      </c>
      <c r="AH55">
        <v>0</v>
      </c>
      <c r="AI55">
        <v>0</v>
      </c>
      <c r="AJ55">
        <v>0</v>
      </c>
      <c r="AK55">
        <v>0</v>
      </c>
      <c r="AL55" s="24">
        <v>97502.7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s="24">
        <v>97502.7</v>
      </c>
      <c r="AV55">
        <v>0</v>
      </c>
      <c r="AW55">
        <v>0</v>
      </c>
      <c r="AX55">
        <v>311000</v>
      </c>
      <c r="AY55" t="s">
        <v>161</v>
      </c>
      <c r="AZ55">
        <v>0</v>
      </c>
      <c r="BA55">
        <v>0</v>
      </c>
      <c r="BB55">
        <v>0</v>
      </c>
      <c r="BC55" t="s">
        <v>242</v>
      </c>
      <c r="BD55">
        <v>1509</v>
      </c>
      <c r="BE55" t="s">
        <v>169</v>
      </c>
      <c r="BF55">
        <v>5094130652</v>
      </c>
      <c r="BG55" t="s">
        <v>335</v>
      </c>
    </row>
    <row r="56" spans="1:59">
      <c r="A56">
        <v>1115</v>
      </c>
      <c r="B56">
        <v>1115</v>
      </c>
      <c r="C56">
        <v>10</v>
      </c>
      <c r="D56">
        <v>2</v>
      </c>
      <c r="E56" t="s">
        <v>152</v>
      </c>
      <c r="F56" t="s">
        <v>153</v>
      </c>
      <c r="G56" t="s">
        <v>154</v>
      </c>
      <c r="H56">
        <v>1526005984</v>
      </c>
      <c r="I56">
        <v>1000006246</v>
      </c>
      <c r="L56" t="s">
        <v>334</v>
      </c>
      <c r="M56">
        <v>5100001666</v>
      </c>
      <c r="N56" t="s">
        <v>155</v>
      </c>
      <c r="O56" t="s">
        <v>156</v>
      </c>
      <c r="P56">
        <v>4110027035</v>
      </c>
      <c r="Q56" t="s">
        <v>225</v>
      </c>
      <c r="R56">
        <v>5000</v>
      </c>
      <c r="S56" t="s">
        <v>166</v>
      </c>
      <c r="V56" t="s">
        <v>167</v>
      </c>
      <c r="W56">
        <v>1502020105</v>
      </c>
      <c r="X56" t="s">
        <v>226</v>
      </c>
      <c r="Y56" t="str">
        <f>VLOOKUP(W56,Sheet4!$A$5:$B$71,2,0)</f>
        <v>RE STYLING</v>
      </c>
      <c r="Z56">
        <v>87082900</v>
      </c>
      <c r="AA56">
        <v>15</v>
      </c>
      <c r="AB56" t="s">
        <v>159</v>
      </c>
      <c r="AC56" s="24">
        <v>6570.77</v>
      </c>
      <c r="AD56" t="s">
        <v>160</v>
      </c>
      <c r="AE56" s="24">
        <v>98561.55</v>
      </c>
      <c r="AF56">
        <v>0</v>
      </c>
      <c r="AG56" s="24">
        <v>98561.55</v>
      </c>
      <c r="AH56">
        <v>0</v>
      </c>
      <c r="AI56">
        <v>0</v>
      </c>
      <c r="AJ56">
        <v>0</v>
      </c>
      <c r="AK56">
        <v>0</v>
      </c>
      <c r="AL56" s="24">
        <v>98561.55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s="24">
        <v>98561.55</v>
      </c>
      <c r="AV56">
        <v>0</v>
      </c>
      <c r="AW56">
        <v>0</v>
      </c>
      <c r="AX56">
        <v>311000</v>
      </c>
      <c r="AY56" t="s">
        <v>161</v>
      </c>
      <c r="AZ56">
        <v>49.75</v>
      </c>
      <c r="BA56">
        <v>49.75</v>
      </c>
      <c r="BB56">
        <v>0</v>
      </c>
      <c r="BC56" t="s">
        <v>227</v>
      </c>
      <c r="BD56">
        <v>1509</v>
      </c>
      <c r="BE56" t="s">
        <v>169</v>
      </c>
      <c r="BF56">
        <v>5094127735</v>
      </c>
      <c r="BG56" t="s">
        <v>334</v>
      </c>
    </row>
    <row r="57" spans="1:59">
      <c r="A57">
        <v>1115</v>
      </c>
      <c r="B57">
        <v>1115</v>
      </c>
      <c r="C57">
        <v>10</v>
      </c>
      <c r="D57">
        <v>2</v>
      </c>
      <c r="E57" t="s">
        <v>152</v>
      </c>
      <c r="F57" t="s">
        <v>153</v>
      </c>
      <c r="G57" t="s">
        <v>154</v>
      </c>
      <c r="H57">
        <v>1526005983</v>
      </c>
      <c r="I57">
        <v>1000006245</v>
      </c>
      <c r="L57" t="s">
        <v>334</v>
      </c>
      <c r="M57">
        <v>5100001666</v>
      </c>
      <c r="N57" t="s">
        <v>155</v>
      </c>
      <c r="O57" t="s">
        <v>156</v>
      </c>
      <c r="P57">
        <v>4110027035</v>
      </c>
      <c r="Q57" t="s">
        <v>225</v>
      </c>
      <c r="R57">
        <v>5000</v>
      </c>
      <c r="S57" t="s">
        <v>166</v>
      </c>
      <c r="V57" t="s">
        <v>167</v>
      </c>
      <c r="W57">
        <v>1502020105</v>
      </c>
      <c r="X57" t="s">
        <v>226</v>
      </c>
      <c r="Y57" t="str">
        <f>VLOOKUP(W57,Sheet4!$A$5:$B$71,2,0)</f>
        <v>RE STYLING</v>
      </c>
      <c r="Z57">
        <v>87082900</v>
      </c>
      <c r="AA57">
        <v>15</v>
      </c>
      <c r="AB57" t="s">
        <v>159</v>
      </c>
      <c r="AC57" s="24">
        <v>6570.77</v>
      </c>
      <c r="AD57" t="s">
        <v>160</v>
      </c>
      <c r="AE57" s="24">
        <v>98561.55</v>
      </c>
      <c r="AF57">
        <v>0</v>
      </c>
      <c r="AG57" s="24">
        <v>98561.55</v>
      </c>
      <c r="AH57">
        <v>0</v>
      </c>
      <c r="AI57">
        <v>0</v>
      </c>
      <c r="AJ57">
        <v>0</v>
      </c>
      <c r="AK57">
        <v>0</v>
      </c>
      <c r="AL57" s="24">
        <v>98561.55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s="24">
        <v>98561.55</v>
      </c>
      <c r="AV57">
        <v>0</v>
      </c>
      <c r="AW57">
        <v>0</v>
      </c>
      <c r="AX57">
        <v>311000</v>
      </c>
      <c r="AY57" t="s">
        <v>161</v>
      </c>
      <c r="AZ57">
        <v>49.75</v>
      </c>
      <c r="BA57">
        <v>49.75</v>
      </c>
      <c r="BB57">
        <v>0</v>
      </c>
      <c r="BC57" t="s">
        <v>227</v>
      </c>
      <c r="BD57">
        <v>1509</v>
      </c>
      <c r="BE57" t="s">
        <v>169</v>
      </c>
      <c r="BF57">
        <v>5094127736</v>
      </c>
      <c r="BG57" t="s">
        <v>334</v>
      </c>
    </row>
    <row r="58" spans="1:59">
      <c r="A58">
        <v>1115</v>
      </c>
      <c r="B58">
        <v>1115</v>
      </c>
      <c r="C58">
        <v>10</v>
      </c>
      <c r="D58">
        <v>2</v>
      </c>
      <c r="E58" t="s">
        <v>152</v>
      </c>
      <c r="F58" t="s">
        <v>153</v>
      </c>
      <c r="G58" t="s">
        <v>154</v>
      </c>
      <c r="H58">
        <v>1526005982</v>
      </c>
      <c r="I58">
        <v>1000006244</v>
      </c>
      <c r="L58" t="s">
        <v>334</v>
      </c>
      <c r="M58">
        <v>5100001666</v>
      </c>
      <c r="N58" t="s">
        <v>155</v>
      </c>
      <c r="O58" t="s">
        <v>156</v>
      </c>
      <c r="P58">
        <v>4110027035</v>
      </c>
      <c r="Q58" t="s">
        <v>225</v>
      </c>
      <c r="R58">
        <v>5000</v>
      </c>
      <c r="S58" t="s">
        <v>166</v>
      </c>
      <c r="V58" t="s">
        <v>167</v>
      </c>
      <c r="W58">
        <v>1502020105</v>
      </c>
      <c r="X58" t="s">
        <v>226</v>
      </c>
      <c r="Y58" t="str">
        <f>VLOOKUP(W58,Sheet4!$A$5:$B$71,2,0)</f>
        <v>RE STYLING</v>
      </c>
      <c r="Z58">
        <v>87082900</v>
      </c>
      <c r="AA58">
        <v>15</v>
      </c>
      <c r="AB58" t="s">
        <v>159</v>
      </c>
      <c r="AC58" s="24">
        <v>6570.77</v>
      </c>
      <c r="AD58" t="s">
        <v>160</v>
      </c>
      <c r="AE58" s="24">
        <v>98561.55</v>
      </c>
      <c r="AF58">
        <v>0</v>
      </c>
      <c r="AG58" s="24">
        <v>98561.55</v>
      </c>
      <c r="AH58">
        <v>0</v>
      </c>
      <c r="AI58">
        <v>0</v>
      </c>
      <c r="AJ58">
        <v>0</v>
      </c>
      <c r="AK58">
        <v>0</v>
      </c>
      <c r="AL58" s="24">
        <v>98561.55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s="24">
        <v>98561.55</v>
      </c>
      <c r="AV58">
        <v>0</v>
      </c>
      <c r="AW58">
        <v>0</v>
      </c>
      <c r="AX58">
        <v>311000</v>
      </c>
      <c r="AY58" t="s">
        <v>161</v>
      </c>
      <c r="AZ58">
        <v>49.75</v>
      </c>
      <c r="BA58">
        <v>49.75</v>
      </c>
      <c r="BB58">
        <v>0</v>
      </c>
      <c r="BC58" t="s">
        <v>227</v>
      </c>
      <c r="BD58">
        <v>1509</v>
      </c>
      <c r="BE58" t="s">
        <v>169</v>
      </c>
      <c r="BF58">
        <v>5094115982</v>
      </c>
      <c r="BG58" t="s">
        <v>334</v>
      </c>
    </row>
    <row r="59" spans="1:59">
      <c r="A59">
        <v>1115</v>
      </c>
      <c r="B59">
        <v>1115</v>
      </c>
      <c r="C59">
        <v>10</v>
      </c>
      <c r="D59">
        <v>2</v>
      </c>
      <c r="E59" t="s">
        <v>152</v>
      </c>
      <c r="F59" t="s">
        <v>153</v>
      </c>
      <c r="G59" t="s">
        <v>154</v>
      </c>
      <c r="H59">
        <v>1526005981</v>
      </c>
      <c r="I59">
        <v>1000006243</v>
      </c>
      <c r="L59" t="s">
        <v>334</v>
      </c>
      <c r="M59">
        <v>5100001666</v>
      </c>
      <c r="N59" t="s">
        <v>155</v>
      </c>
      <c r="O59" t="s">
        <v>156</v>
      </c>
      <c r="P59">
        <v>4110027035</v>
      </c>
      <c r="Q59" t="s">
        <v>225</v>
      </c>
      <c r="R59">
        <v>5000</v>
      </c>
      <c r="S59" t="s">
        <v>166</v>
      </c>
      <c r="V59" t="s">
        <v>167</v>
      </c>
      <c r="W59">
        <v>1502020105</v>
      </c>
      <c r="X59" t="s">
        <v>226</v>
      </c>
      <c r="Y59" t="str">
        <f>VLOOKUP(W59,Sheet4!$A$5:$B$71,2,0)</f>
        <v>RE STYLING</v>
      </c>
      <c r="Z59">
        <v>87082900</v>
      </c>
      <c r="AA59">
        <v>15</v>
      </c>
      <c r="AB59" t="s">
        <v>159</v>
      </c>
      <c r="AC59" s="24">
        <v>6570.77</v>
      </c>
      <c r="AD59" t="s">
        <v>160</v>
      </c>
      <c r="AE59" s="24">
        <v>98561.55</v>
      </c>
      <c r="AF59">
        <v>0</v>
      </c>
      <c r="AG59" s="24">
        <v>98561.55</v>
      </c>
      <c r="AH59">
        <v>0</v>
      </c>
      <c r="AI59">
        <v>0</v>
      </c>
      <c r="AJ59">
        <v>0</v>
      </c>
      <c r="AK59">
        <v>0</v>
      </c>
      <c r="AL59" s="24">
        <v>98561.55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s="24">
        <v>98561.55</v>
      </c>
      <c r="AV59">
        <v>0</v>
      </c>
      <c r="AW59">
        <v>0</v>
      </c>
      <c r="AX59">
        <v>311000</v>
      </c>
      <c r="AY59" t="s">
        <v>161</v>
      </c>
      <c r="AZ59">
        <v>49.75</v>
      </c>
      <c r="BA59">
        <v>49.75</v>
      </c>
      <c r="BB59">
        <v>0</v>
      </c>
      <c r="BC59" t="s">
        <v>227</v>
      </c>
      <c r="BD59">
        <v>1509</v>
      </c>
      <c r="BE59" t="s">
        <v>169</v>
      </c>
      <c r="BF59">
        <v>5094115864</v>
      </c>
      <c r="BG59" t="s">
        <v>334</v>
      </c>
    </row>
    <row r="60" spans="1:59">
      <c r="A60">
        <v>1115</v>
      </c>
      <c r="B60">
        <v>1115</v>
      </c>
      <c r="C60">
        <v>10</v>
      </c>
      <c r="D60">
        <v>2</v>
      </c>
      <c r="E60" t="s">
        <v>152</v>
      </c>
      <c r="F60" t="s">
        <v>153</v>
      </c>
      <c r="G60" t="s">
        <v>154</v>
      </c>
      <c r="H60">
        <v>1526005980</v>
      </c>
      <c r="I60">
        <v>1000006242</v>
      </c>
      <c r="L60" t="s">
        <v>334</v>
      </c>
      <c r="M60">
        <v>5100001666</v>
      </c>
      <c r="N60" t="s">
        <v>155</v>
      </c>
      <c r="O60" t="s">
        <v>156</v>
      </c>
      <c r="P60">
        <v>4110027035</v>
      </c>
      <c r="Q60" t="s">
        <v>225</v>
      </c>
      <c r="R60">
        <v>5000</v>
      </c>
      <c r="S60" t="s">
        <v>166</v>
      </c>
      <c r="V60" t="s">
        <v>167</v>
      </c>
      <c r="W60">
        <v>1502020105</v>
      </c>
      <c r="X60" t="s">
        <v>226</v>
      </c>
      <c r="Y60" t="str">
        <f>VLOOKUP(W60,Sheet4!$A$5:$B$71,2,0)</f>
        <v>RE STYLING</v>
      </c>
      <c r="Z60">
        <v>87082900</v>
      </c>
      <c r="AA60">
        <v>15</v>
      </c>
      <c r="AB60" t="s">
        <v>159</v>
      </c>
      <c r="AC60" s="24">
        <v>6570.77</v>
      </c>
      <c r="AD60" t="s">
        <v>160</v>
      </c>
      <c r="AE60" s="24">
        <v>98561.55</v>
      </c>
      <c r="AF60">
        <v>0</v>
      </c>
      <c r="AG60" s="24">
        <v>98561.55</v>
      </c>
      <c r="AH60">
        <v>0</v>
      </c>
      <c r="AI60">
        <v>0</v>
      </c>
      <c r="AJ60">
        <v>0</v>
      </c>
      <c r="AK60">
        <v>0</v>
      </c>
      <c r="AL60" s="24">
        <v>98561.55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24">
        <v>98561.55</v>
      </c>
      <c r="AV60">
        <v>0</v>
      </c>
      <c r="AW60">
        <v>0</v>
      </c>
      <c r="AX60">
        <v>311000</v>
      </c>
      <c r="AY60" t="s">
        <v>161</v>
      </c>
      <c r="AZ60">
        <v>49.75</v>
      </c>
      <c r="BA60">
        <v>49.75</v>
      </c>
      <c r="BB60">
        <v>0</v>
      </c>
      <c r="BC60" t="s">
        <v>227</v>
      </c>
      <c r="BD60">
        <v>1509</v>
      </c>
      <c r="BE60" t="s">
        <v>169</v>
      </c>
      <c r="BF60">
        <v>5094127944</v>
      </c>
      <c r="BG60" t="s">
        <v>334</v>
      </c>
    </row>
    <row r="61" spans="1:59">
      <c r="A61">
        <v>1115</v>
      </c>
      <c r="B61">
        <v>1115</v>
      </c>
      <c r="C61">
        <v>10</v>
      </c>
      <c r="D61">
        <v>2</v>
      </c>
      <c r="E61" t="s">
        <v>152</v>
      </c>
      <c r="F61" t="s">
        <v>153</v>
      </c>
      <c r="G61" t="s">
        <v>154</v>
      </c>
      <c r="H61">
        <v>1526005979</v>
      </c>
      <c r="I61">
        <v>1000006241</v>
      </c>
      <c r="L61" t="s">
        <v>334</v>
      </c>
      <c r="M61">
        <v>5100001227</v>
      </c>
      <c r="N61" t="s">
        <v>155</v>
      </c>
      <c r="O61" t="s">
        <v>156</v>
      </c>
      <c r="P61">
        <v>4110011319</v>
      </c>
      <c r="Q61" t="s">
        <v>175</v>
      </c>
      <c r="R61">
        <v>5000</v>
      </c>
      <c r="S61" t="s">
        <v>166</v>
      </c>
      <c r="V61" t="s">
        <v>167</v>
      </c>
      <c r="W61">
        <v>1502020074</v>
      </c>
      <c r="X61" t="s">
        <v>28</v>
      </c>
      <c r="Y61" t="str">
        <f>VLOOKUP(W61,Sheet4!$A$5:$B$71,2,0)</f>
        <v>MAX UG NEW</v>
      </c>
      <c r="Z61">
        <v>87082900</v>
      </c>
      <c r="AA61">
        <v>10</v>
      </c>
      <c r="AB61" t="s">
        <v>159</v>
      </c>
      <c r="AC61" s="24">
        <v>9397.5</v>
      </c>
      <c r="AD61" t="s">
        <v>160</v>
      </c>
      <c r="AE61" s="24">
        <v>93975</v>
      </c>
      <c r="AF61">
        <v>0</v>
      </c>
      <c r="AG61" s="24">
        <v>93975</v>
      </c>
      <c r="AH61">
        <v>0</v>
      </c>
      <c r="AI61">
        <v>0</v>
      </c>
      <c r="AJ61">
        <v>0</v>
      </c>
      <c r="AK61">
        <v>0</v>
      </c>
      <c r="AL61" s="24">
        <v>93975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s="24">
        <v>93975</v>
      </c>
      <c r="AV61">
        <v>0</v>
      </c>
      <c r="AW61">
        <v>0</v>
      </c>
      <c r="AX61">
        <v>311000</v>
      </c>
      <c r="AY61" t="s">
        <v>161</v>
      </c>
      <c r="AZ61">
        <v>69.5</v>
      </c>
      <c r="BA61">
        <v>69.5</v>
      </c>
      <c r="BB61">
        <v>0</v>
      </c>
      <c r="BC61" t="s">
        <v>176</v>
      </c>
      <c r="BD61">
        <v>1509</v>
      </c>
      <c r="BE61" t="s">
        <v>169</v>
      </c>
      <c r="BF61">
        <v>5094107106</v>
      </c>
      <c r="BG61" t="s">
        <v>334</v>
      </c>
    </row>
    <row r="62" spans="1:59">
      <c r="A62">
        <v>1115</v>
      </c>
      <c r="B62">
        <v>1115</v>
      </c>
      <c r="C62">
        <v>10</v>
      </c>
      <c r="D62">
        <v>2</v>
      </c>
      <c r="E62" t="s">
        <v>152</v>
      </c>
      <c r="F62" t="s">
        <v>153</v>
      </c>
      <c r="G62" t="s">
        <v>154</v>
      </c>
      <c r="H62">
        <v>1526005978</v>
      </c>
      <c r="I62">
        <v>1000006240</v>
      </c>
      <c r="L62" t="s">
        <v>334</v>
      </c>
      <c r="M62">
        <v>5100001899</v>
      </c>
      <c r="N62" t="s">
        <v>155</v>
      </c>
      <c r="O62" t="s">
        <v>156</v>
      </c>
      <c r="P62">
        <v>4110041854</v>
      </c>
      <c r="Q62" t="s">
        <v>172</v>
      </c>
      <c r="R62">
        <v>5000</v>
      </c>
      <c r="S62" t="s">
        <v>166</v>
      </c>
      <c r="V62" t="s">
        <v>167</v>
      </c>
      <c r="W62">
        <v>1502040267</v>
      </c>
      <c r="X62" t="s">
        <v>63</v>
      </c>
      <c r="Y62" t="str">
        <f>VLOOKUP(W62,Sheet4!$A$5:$B$71,2,0)</f>
        <v>DASH BOARD</v>
      </c>
      <c r="Z62">
        <v>87082900</v>
      </c>
      <c r="AA62">
        <v>416</v>
      </c>
      <c r="AB62" t="s">
        <v>159</v>
      </c>
      <c r="AC62">
        <v>290.89999999999998</v>
      </c>
      <c r="AD62" t="s">
        <v>160</v>
      </c>
      <c r="AE62" s="24">
        <v>121014.39999999999</v>
      </c>
      <c r="AF62">
        <v>0</v>
      </c>
      <c r="AG62" s="24">
        <v>121014.39999999999</v>
      </c>
      <c r="AH62">
        <v>0</v>
      </c>
      <c r="AI62">
        <v>0</v>
      </c>
      <c r="AJ62">
        <v>0</v>
      </c>
      <c r="AK62">
        <v>0</v>
      </c>
      <c r="AL62" s="24">
        <v>121014.39999999999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s="24">
        <v>121014.39999999999</v>
      </c>
      <c r="AV62">
        <v>0</v>
      </c>
      <c r="AW62">
        <v>0</v>
      </c>
      <c r="AX62">
        <v>311000</v>
      </c>
      <c r="AY62" t="s">
        <v>161</v>
      </c>
      <c r="AZ62">
        <v>4.5</v>
      </c>
      <c r="BA62">
        <v>4.5</v>
      </c>
      <c r="BB62">
        <v>0</v>
      </c>
      <c r="BC62" t="s">
        <v>173</v>
      </c>
      <c r="BD62">
        <v>1511</v>
      </c>
      <c r="BE62" t="s">
        <v>174</v>
      </c>
      <c r="BF62">
        <v>5094115612</v>
      </c>
      <c r="BG62" t="s">
        <v>334</v>
      </c>
    </row>
    <row r="63" spans="1:59">
      <c r="A63">
        <v>1115</v>
      </c>
      <c r="B63">
        <v>1115</v>
      </c>
      <c r="C63">
        <v>10</v>
      </c>
      <c r="D63">
        <v>2</v>
      </c>
      <c r="E63" t="s">
        <v>152</v>
      </c>
      <c r="F63" t="s">
        <v>153</v>
      </c>
      <c r="G63" t="s">
        <v>154</v>
      </c>
      <c r="H63">
        <v>1526005977</v>
      </c>
      <c r="I63">
        <v>1000006239</v>
      </c>
      <c r="L63" t="s">
        <v>334</v>
      </c>
      <c r="M63">
        <v>5100001227</v>
      </c>
      <c r="N63" t="s">
        <v>155</v>
      </c>
      <c r="O63" t="s">
        <v>156</v>
      </c>
      <c r="P63">
        <v>4110011319</v>
      </c>
      <c r="Q63" t="s">
        <v>175</v>
      </c>
      <c r="R63">
        <v>5000</v>
      </c>
      <c r="S63" t="s">
        <v>166</v>
      </c>
      <c r="V63" t="s">
        <v>167</v>
      </c>
      <c r="W63">
        <v>1502020074</v>
      </c>
      <c r="X63" t="s">
        <v>28</v>
      </c>
      <c r="Y63" t="str">
        <f>VLOOKUP(W63,Sheet4!$A$5:$B$71,2,0)</f>
        <v>MAX UG NEW</v>
      </c>
      <c r="Z63">
        <v>87082900</v>
      </c>
      <c r="AA63">
        <v>10</v>
      </c>
      <c r="AB63" t="s">
        <v>159</v>
      </c>
      <c r="AC63" s="24">
        <v>9397.5</v>
      </c>
      <c r="AD63" t="s">
        <v>160</v>
      </c>
      <c r="AE63" s="24">
        <v>93975</v>
      </c>
      <c r="AF63">
        <v>0</v>
      </c>
      <c r="AG63" s="24">
        <v>93975</v>
      </c>
      <c r="AH63">
        <v>0</v>
      </c>
      <c r="AI63">
        <v>0</v>
      </c>
      <c r="AJ63">
        <v>0</v>
      </c>
      <c r="AK63">
        <v>0</v>
      </c>
      <c r="AL63" s="24">
        <v>93975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s="24">
        <v>93975</v>
      </c>
      <c r="AV63">
        <v>0</v>
      </c>
      <c r="AW63">
        <v>0</v>
      </c>
      <c r="AX63">
        <v>311000</v>
      </c>
      <c r="AY63" t="s">
        <v>161</v>
      </c>
      <c r="AZ63">
        <v>69.5</v>
      </c>
      <c r="BA63">
        <v>69.5</v>
      </c>
      <c r="BB63">
        <v>0</v>
      </c>
      <c r="BC63" t="s">
        <v>176</v>
      </c>
      <c r="BD63">
        <v>1509</v>
      </c>
      <c r="BE63" t="s">
        <v>169</v>
      </c>
      <c r="BF63">
        <v>5094107420</v>
      </c>
      <c r="BG63" t="s">
        <v>334</v>
      </c>
    </row>
    <row r="64" spans="1:59">
      <c r="A64">
        <v>1115</v>
      </c>
      <c r="B64">
        <v>1115</v>
      </c>
      <c r="C64">
        <v>10</v>
      </c>
      <c r="D64">
        <v>2</v>
      </c>
      <c r="E64" t="s">
        <v>152</v>
      </c>
      <c r="F64" t="s">
        <v>153</v>
      </c>
      <c r="G64" t="s">
        <v>154</v>
      </c>
      <c r="H64">
        <v>1526005976</v>
      </c>
      <c r="I64">
        <v>1000006238</v>
      </c>
      <c r="L64" t="s">
        <v>334</v>
      </c>
      <c r="M64">
        <v>5100001227</v>
      </c>
      <c r="N64" t="s">
        <v>155</v>
      </c>
      <c r="O64" t="s">
        <v>156</v>
      </c>
      <c r="P64">
        <v>4110011319</v>
      </c>
      <c r="Q64" t="s">
        <v>175</v>
      </c>
      <c r="R64">
        <v>5000</v>
      </c>
      <c r="S64" t="s">
        <v>166</v>
      </c>
      <c r="V64" t="s">
        <v>167</v>
      </c>
      <c r="W64">
        <v>1502020074</v>
      </c>
      <c r="X64" t="s">
        <v>28</v>
      </c>
      <c r="Y64" t="str">
        <f>VLOOKUP(W64,Sheet4!$A$5:$B$71,2,0)</f>
        <v>MAX UG NEW</v>
      </c>
      <c r="Z64">
        <v>87082900</v>
      </c>
      <c r="AA64">
        <v>10</v>
      </c>
      <c r="AB64" t="s">
        <v>159</v>
      </c>
      <c r="AC64" s="24">
        <v>9397.5</v>
      </c>
      <c r="AD64" t="s">
        <v>160</v>
      </c>
      <c r="AE64" s="24">
        <v>93975</v>
      </c>
      <c r="AF64">
        <v>0</v>
      </c>
      <c r="AG64" s="24">
        <v>93975</v>
      </c>
      <c r="AH64">
        <v>0</v>
      </c>
      <c r="AI64">
        <v>0</v>
      </c>
      <c r="AJ64">
        <v>0</v>
      </c>
      <c r="AK64">
        <v>0</v>
      </c>
      <c r="AL64" s="24">
        <v>93975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s="24">
        <v>93975</v>
      </c>
      <c r="AV64">
        <v>0</v>
      </c>
      <c r="AW64">
        <v>0</v>
      </c>
      <c r="AX64">
        <v>311000</v>
      </c>
      <c r="AY64" t="s">
        <v>161</v>
      </c>
      <c r="AZ64">
        <v>69.5</v>
      </c>
      <c r="BA64">
        <v>69.5</v>
      </c>
      <c r="BB64">
        <v>0</v>
      </c>
      <c r="BC64" t="s">
        <v>176</v>
      </c>
      <c r="BD64">
        <v>1509</v>
      </c>
      <c r="BE64" t="s">
        <v>169</v>
      </c>
      <c r="BF64">
        <v>5094108571</v>
      </c>
      <c r="BG64" t="s">
        <v>334</v>
      </c>
    </row>
    <row r="65" spans="1:59">
      <c r="A65">
        <v>1115</v>
      </c>
      <c r="B65">
        <v>1115</v>
      </c>
      <c r="C65">
        <v>10</v>
      </c>
      <c r="D65">
        <v>2</v>
      </c>
      <c r="E65" t="s">
        <v>152</v>
      </c>
      <c r="F65" t="s">
        <v>153</v>
      </c>
      <c r="G65" t="s">
        <v>154</v>
      </c>
      <c r="H65">
        <v>1526005975</v>
      </c>
      <c r="I65">
        <v>1000006237</v>
      </c>
      <c r="L65" t="s">
        <v>334</v>
      </c>
      <c r="M65">
        <v>5100001227</v>
      </c>
      <c r="N65" t="s">
        <v>155</v>
      </c>
      <c r="O65" t="s">
        <v>156</v>
      </c>
      <c r="P65">
        <v>4110011319</v>
      </c>
      <c r="Q65" t="s">
        <v>175</v>
      </c>
      <c r="R65">
        <v>5000</v>
      </c>
      <c r="S65" t="s">
        <v>166</v>
      </c>
      <c r="V65" t="s">
        <v>167</v>
      </c>
      <c r="W65">
        <v>1502020074</v>
      </c>
      <c r="X65" t="s">
        <v>28</v>
      </c>
      <c r="Y65" t="str">
        <f>VLOOKUP(W65,Sheet4!$A$5:$B$71,2,0)</f>
        <v>MAX UG NEW</v>
      </c>
      <c r="Z65">
        <v>87082900</v>
      </c>
      <c r="AA65">
        <v>10</v>
      </c>
      <c r="AB65" t="s">
        <v>159</v>
      </c>
      <c r="AC65" s="24">
        <v>9397.5</v>
      </c>
      <c r="AD65" t="s">
        <v>160</v>
      </c>
      <c r="AE65" s="24">
        <v>93975</v>
      </c>
      <c r="AF65">
        <v>0</v>
      </c>
      <c r="AG65" s="24">
        <v>93975</v>
      </c>
      <c r="AH65">
        <v>0</v>
      </c>
      <c r="AI65">
        <v>0</v>
      </c>
      <c r="AJ65">
        <v>0</v>
      </c>
      <c r="AK65">
        <v>0</v>
      </c>
      <c r="AL65" s="24">
        <v>93975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s="24">
        <v>93975</v>
      </c>
      <c r="AV65">
        <v>0</v>
      </c>
      <c r="AW65">
        <v>0</v>
      </c>
      <c r="AX65">
        <v>311000</v>
      </c>
      <c r="AY65" t="s">
        <v>161</v>
      </c>
      <c r="AZ65">
        <v>69.5</v>
      </c>
      <c r="BA65">
        <v>69.5</v>
      </c>
      <c r="BB65">
        <v>0</v>
      </c>
      <c r="BC65" t="s">
        <v>176</v>
      </c>
      <c r="BD65">
        <v>1509</v>
      </c>
      <c r="BE65" t="s">
        <v>169</v>
      </c>
      <c r="BF65">
        <v>5094112445</v>
      </c>
      <c r="BG65" t="s">
        <v>334</v>
      </c>
    </row>
    <row r="66" spans="1:59">
      <c r="A66">
        <v>1115</v>
      </c>
      <c r="B66">
        <v>1115</v>
      </c>
      <c r="C66">
        <v>10</v>
      </c>
      <c r="D66">
        <v>2</v>
      </c>
      <c r="E66" t="s">
        <v>152</v>
      </c>
      <c r="F66" t="s">
        <v>153</v>
      </c>
      <c r="G66" t="s">
        <v>154</v>
      </c>
      <c r="H66">
        <v>1526005974</v>
      </c>
      <c r="I66">
        <v>1000006236</v>
      </c>
      <c r="L66" t="s">
        <v>334</v>
      </c>
      <c r="M66">
        <v>5100001227</v>
      </c>
      <c r="N66" t="s">
        <v>155</v>
      </c>
      <c r="O66" t="s">
        <v>156</v>
      </c>
      <c r="P66">
        <v>4110011319</v>
      </c>
      <c r="Q66" t="s">
        <v>175</v>
      </c>
      <c r="R66">
        <v>5000</v>
      </c>
      <c r="S66" t="s">
        <v>166</v>
      </c>
      <c r="V66" t="s">
        <v>167</v>
      </c>
      <c r="W66">
        <v>1502020074</v>
      </c>
      <c r="X66" t="s">
        <v>28</v>
      </c>
      <c r="Y66" t="str">
        <f>VLOOKUP(W66,Sheet4!$A$5:$B$71,2,0)</f>
        <v>MAX UG NEW</v>
      </c>
      <c r="Z66">
        <v>87082900</v>
      </c>
      <c r="AA66">
        <v>10</v>
      </c>
      <c r="AB66" t="s">
        <v>159</v>
      </c>
      <c r="AC66" s="24">
        <v>9397.5</v>
      </c>
      <c r="AD66" t="s">
        <v>160</v>
      </c>
      <c r="AE66" s="24">
        <v>93975</v>
      </c>
      <c r="AF66">
        <v>0</v>
      </c>
      <c r="AG66" s="24">
        <v>93975</v>
      </c>
      <c r="AH66">
        <v>0</v>
      </c>
      <c r="AI66">
        <v>0</v>
      </c>
      <c r="AJ66">
        <v>0</v>
      </c>
      <c r="AK66">
        <v>0</v>
      </c>
      <c r="AL66" s="24">
        <v>93975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s="24">
        <v>93975</v>
      </c>
      <c r="AV66">
        <v>0</v>
      </c>
      <c r="AW66">
        <v>0</v>
      </c>
      <c r="AX66">
        <v>311000</v>
      </c>
      <c r="AY66" t="s">
        <v>161</v>
      </c>
      <c r="AZ66">
        <v>69.5</v>
      </c>
      <c r="BA66">
        <v>69.5</v>
      </c>
      <c r="BB66">
        <v>0</v>
      </c>
      <c r="BC66" t="s">
        <v>176</v>
      </c>
      <c r="BD66">
        <v>1509</v>
      </c>
      <c r="BE66" t="s">
        <v>169</v>
      </c>
      <c r="BF66">
        <v>5094130051</v>
      </c>
      <c r="BG66" t="s">
        <v>335</v>
      </c>
    </row>
    <row r="67" spans="1:59">
      <c r="A67">
        <v>1115</v>
      </c>
      <c r="B67">
        <v>1115</v>
      </c>
      <c r="C67">
        <v>10</v>
      </c>
      <c r="D67">
        <v>2</v>
      </c>
      <c r="E67" t="s">
        <v>152</v>
      </c>
      <c r="F67" t="s">
        <v>153</v>
      </c>
      <c r="G67" t="s">
        <v>154</v>
      </c>
      <c r="H67">
        <v>1526005973</v>
      </c>
      <c r="I67">
        <v>1000006235</v>
      </c>
      <c r="L67" t="s">
        <v>334</v>
      </c>
      <c r="M67">
        <v>5100001227</v>
      </c>
      <c r="N67" t="s">
        <v>155</v>
      </c>
      <c r="O67" t="s">
        <v>156</v>
      </c>
      <c r="P67">
        <v>4110011319</v>
      </c>
      <c r="Q67" t="s">
        <v>175</v>
      </c>
      <c r="R67">
        <v>5000</v>
      </c>
      <c r="S67" t="s">
        <v>166</v>
      </c>
      <c r="V67" t="s">
        <v>167</v>
      </c>
      <c r="W67">
        <v>1502020074</v>
      </c>
      <c r="X67" t="s">
        <v>28</v>
      </c>
      <c r="Y67" t="str">
        <f>VLOOKUP(W67,Sheet4!$A$5:$B$71,2,0)</f>
        <v>MAX UG NEW</v>
      </c>
      <c r="Z67">
        <v>87082900</v>
      </c>
      <c r="AA67">
        <v>10</v>
      </c>
      <c r="AB67" t="s">
        <v>159</v>
      </c>
      <c r="AC67" s="24">
        <v>9397.5</v>
      </c>
      <c r="AD67" t="s">
        <v>160</v>
      </c>
      <c r="AE67" s="24">
        <v>93975</v>
      </c>
      <c r="AF67">
        <v>0</v>
      </c>
      <c r="AG67" s="24">
        <v>93975</v>
      </c>
      <c r="AH67">
        <v>0</v>
      </c>
      <c r="AI67">
        <v>0</v>
      </c>
      <c r="AJ67">
        <v>0</v>
      </c>
      <c r="AK67">
        <v>0</v>
      </c>
      <c r="AL67" s="24">
        <v>93975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s="24">
        <v>93975</v>
      </c>
      <c r="AV67">
        <v>0</v>
      </c>
      <c r="AW67">
        <v>0</v>
      </c>
      <c r="AX67">
        <v>311000</v>
      </c>
      <c r="AY67" t="s">
        <v>161</v>
      </c>
      <c r="AZ67">
        <v>69.5</v>
      </c>
      <c r="BA67">
        <v>69.5</v>
      </c>
      <c r="BB67">
        <v>0</v>
      </c>
      <c r="BC67" t="s">
        <v>176</v>
      </c>
      <c r="BD67">
        <v>1509</v>
      </c>
      <c r="BE67" t="s">
        <v>169</v>
      </c>
      <c r="BF67">
        <v>5094109968</v>
      </c>
      <c r="BG67" t="s">
        <v>334</v>
      </c>
    </row>
    <row r="68" spans="1:59">
      <c r="A68">
        <v>1115</v>
      </c>
      <c r="B68">
        <v>1115</v>
      </c>
      <c r="C68">
        <v>10</v>
      </c>
      <c r="D68">
        <v>2</v>
      </c>
      <c r="E68" t="s">
        <v>152</v>
      </c>
      <c r="F68" t="s">
        <v>153</v>
      </c>
      <c r="G68" t="s">
        <v>154</v>
      </c>
      <c r="H68">
        <v>1526005972</v>
      </c>
      <c r="I68">
        <v>1000006234</v>
      </c>
      <c r="L68" t="s">
        <v>334</v>
      </c>
      <c r="M68">
        <v>5100001227</v>
      </c>
      <c r="N68" t="s">
        <v>155</v>
      </c>
      <c r="O68" t="s">
        <v>156</v>
      </c>
      <c r="P68">
        <v>4110011319</v>
      </c>
      <c r="Q68" t="s">
        <v>175</v>
      </c>
      <c r="R68">
        <v>5000</v>
      </c>
      <c r="S68" t="s">
        <v>166</v>
      </c>
      <c r="V68" t="s">
        <v>167</v>
      </c>
      <c r="W68">
        <v>1502020074</v>
      </c>
      <c r="X68" t="s">
        <v>28</v>
      </c>
      <c r="Y68" t="str">
        <f>VLOOKUP(W68,Sheet4!$A$5:$B$71,2,0)</f>
        <v>MAX UG NEW</v>
      </c>
      <c r="Z68">
        <v>87082900</v>
      </c>
      <c r="AA68">
        <v>10</v>
      </c>
      <c r="AB68" t="s">
        <v>159</v>
      </c>
      <c r="AC68" s="24">
        <v>9397.5</v>
      </c>
      <c r="AD68" t="s">
        <v>160</v>
      </c>
      <c r="AE68" s="24">
        <v>93975</v>
      </c>
      <c r="AF68">
        <v>0</v>
      </c>
      <c r="AG68" s="24">
        <v>93975</v>
      </c>
      <c r="AH68">
        <v>0</v>
      </c>
      <c r="AI68">
        <v>0</v>
      </c>
      <c r="AJ68">
        <v>0</v>
      </c>
      <c r="AK68">
        <v>0</v>
      </c>
      <c r="AL68" s="24">
        <v>93975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s="24">
        <v>93975</v>
      </c>
      <c r="AV68">
        <v>0</v>
      </c>
      <c r="AW68">
        <v>0</v>
      </c>
      <c r="AX68">
        <v>311000</v>
      </c>
      <c r="AY68" t="s">
        <v>161</v>
      </c>
      <c r="AZ68">
        <v>69.5</v>
      </c>
      <c r="BA68">
        <v>69.5</v>
      </c>
      <c r="BB68">
        <v>0</v>
      </c>
      <c r="BC68" t="s">
        <v>176</v>
      </c>
      <c r="BD68">
        <v>1509</v>
      </c>
      <c r="BE68" t="s">
        <v>169</v>
      </c>
      <c r="BF68">
        <v>5094108359</v>
      </c>
      <c r="BG68" t="s">
        <v>334</v>
      </c>
    </row>
    <row r="69" spans="1:59">
      <c r="A69">
        <v>1115</v>
      </c>
      <c r="B69">
        <v>1115</v>
      </c>
      <c r="C69">
        <v>10</v>
      </c>
      <c r="D69">
        <v>2</v>
      </c>
      <c r="E69" t="s">
        <v>152</v>
      </c>
      <c r="F69" t="s">
        <v>153</v>
      </c>
      <c r="G69" t="s">
        <v>154</v>
      </c>
      <c r="H69">
        <v>1526005971</v>
      </c>
      <c r="I69">
        <v>1000006233</v>
      </c>
      <c r="L69" t="s">
        <v>334</v>
      </c>
      <c r="M69">
        <v>5100001227</v>
      </c>
      <c r="N69" t="s">
        <v>155</v>
      </c>
      <c r="O69" t="s">
        <v>156</v>
      </c>
      <c r="P69">
        <v>4110011319</v>
      </c>
      <c r="Q69" t="s">
        <v>175</v>
      </c>
      <c r="R69">
        <v>5000</v>
      </c>
      <c r="S69" t="s">
        <v>166</v>
      </c>
      <c r="V69" t="s">
        <v>167</v>
      </c>
      <c r="W69">
        <v>1502020074</v>
      </c>
      <c r="X69" t="s">
        <v>28</v>
      </c>
      <c r="Y69" t="str">
        <f>VLOOKUP(W69,Sheet4!$A$5:$B$71,2,0)</f>
        <v>MAX UG NEW</v>
      </c>
      <c r="Z69">
        <v>87082900</v>
      </c>
      <c r="AA69">
        <v>10</v>
      </c>
      <c r="AB69" t="s">
        <v>159</v>
      </c>
      <c r="AC69" s="24">
        <v>9397.5</v>
      </c>
      <c r="AD69" t="s">
        <v>160</v>
      </c>
      <c r="AE69" s="24">
        <v>93975</v>
      </c>
      <c r="AF69">
        <v>0</v>
      </c>
      <c r="AG69" s="24">
        <v>93975</v>
      </c>
      <c r="AH69">
        <v>0</v>
      </c>
      <c r="AI69">
        <v>0</v>
      </c>
      <c r="AJ69">
        <v>0</v>
      </c>
      <c r="AK69">
        <v>0</v>
      </c>
      <c r="AL69" s="24">
        <v>93975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s="24">
        <v>93975</v>
      </c>
      <c r="AV69">
        <v>0</v>
      </c>
      <c r="AW69">
        <v>0</v>
      </c>
      <c r="AX69">
        <v>311000</v>
      </c>
      <c r="AY69" t="s">
        <v>161</v>
      </c>
      <c r="AZ69">
        <v>69.5</v>
      </c>
      <c r="BA69">
        <v>69.5</v>
      </c>
      <c r="BB69">
        <v>0</v>
      </c>
      <c r="BC69" t="s">
        <v>176</v>
      </c>
      <c r="BD69">
        <v>1509</v>
      </c>
      <c r="BE69" t="s">
        <v>169</v>
      </c>
      <c r="BF69">
        <v>5094107330</v>
      </c>
      <c r="BG69" t="s">
        <v>334</v>
      </c>
    </row>
    <row r="70" spans="1:59">
      <c r="A70">
        <v>1115</v>
      </c>
      <c r="B70">
        <v>1115</v>
      </c>
      <c r="C70">
        <v>10</v>
      </c>
      <c r="D70">
        <v>2</v>
      </c>
      <c r="E70" t="s">
        <v>152</v>
      </c>
      <c r="F70" t="s">
        <v>153</v>
      </c>
      <c r="G70" t="s">
        <v>154</v>
      </c>
      <c r="H70">
        <v>1526005970</v>
      </c>
      <c r="I70">
        <v>1000006232</v>
      </c>
      <c r="L70" t="s">
        <v>334</v>
      </c>
      <c r="M70">
        <v>5100001227</v>
      </c>
      <c r="N70" t="s">
        <v>155</v>
      </c>
      <c r="O70" t="s">
        <v>156</v>
      </c>
      <c r="P70">
        <v>4110011319</v>
      </c>
      <c r="Q70" t="s">
        <v>175</v>
      </c>
      <c r="R70">
        <v>5000</v>
      </c>
      <c r="S70" t="s">
        <v>166</v>
      </c>
      <c r="V70" t="s">
        <v>167</v>
      </c>
      <c r="W70">
        <v>1502020074</v>
      </c>
      <c r="X70" t="s">
        <v>28</v>
      </c>
      <c r="Y70" t="str">
        <f>VLOOKUP(W70,Sheet4!$A$5:$B$71,2,0)</f>
        <v>MAX UG NEW</v>
      </c>
      <c r="Z70">
        <v>87082900</v>
      </c>
      <c r="AA70">
        <v>10</v>
      </c>
      <c r="AB70" t="s">
        <v>159</v>
      </c>
      <c r="AC70" s="24">
        <v>9397.5</v>
      </c>
      <c r="AD70" t="s">
        <v>160</v>
      </c>
      <c r="AE70" s="24">
        <v>93975</v>
      </c>
      <c r="AF70">
        <v>0</v>
      </c>
      <c r="AG70" s="24">
        <v>93975</v>
      </c>
      <c r="AH70">
        <v>0</v>
      </c>
      <c r="AI70">
        <v>0</v>
      </c>
      <c r="AJ70">
        <v>0</v>
      </c>
      <c r="AK70">
        <v>0</v>
      </c>
      <c r="AL70" s="24">
        <v>93975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s="24">
        <v>93975</v>
      </c>
      <c r="AV70">
        <v>0</v>
      </c>
      <c r="AW70">
        <v>0</v>
      </c>
      <c r="AX70">
        <v>311000</v>
      </c>
      <c r="AY70" t="s">
        <v>161</v>
      </c>
      <c r="AZ70">
        <v>69.5</v>
      </c>
      <c r="BA70">
        <v>69.5</v>
      </c>
      <c r="BB70">
        <v>0</v>
      </c>
      <c r="BC70" t="s">
        <v>176</v>
      </c>
      <c r="BD70">
        <v>1509</v>
      </c>
      <c r="BE70" t="s">
        <v>169</v>
      </c>
      <c r="BF70">
        <v>5094108569</v>
      </c>
      <c r="BG70" t="s">
        <v>334</v>
      </c>
    </row>
    <row r="71" spans="1:59">
      <c r="A71">
        <v>1115</v>
      </c>
      <c r="B71">
        <v>1115</v>
      </c>
      <c r="C71">
        <v>10</v>
      </c>
      <c r="D71">
        <v>2</v>
      </c>
      <c r="E71" t="s">
        <v>152</v>
      </c>
      <c r="F71" t="s">
        <v>153</v>
      </c>
      <c r="G71" t="s">
        <v>154</v>
      </c>
      <c r="H71">
        <v>1526005969</v>
      </c>
      <c r="I71">
        <v>1000006231</v>
      </c>
      <c r="L71" t="s">
        <v>334</v>
      </c>
      <c r="M71">
        <v>5100001227</v>
      </c>
      <c r="N71" t="s">
        <v>155</v>
      </c>
      <c r="O71" t="s">
        <v>156</v>
      </c>
      <c r="P71">
        <v>4110011319</v>
      </c>
      <c r="Q71" t="s">
        <v>175</v>
      </c>
      <c r="R71">
        <v>5000</v>
      </c>
      <c r="S71" t="s">
        <v>166</v>
      </c>
      <c r="V71" t="s">
        <v>167</v>
      </c>
      <c r="W71">
        <v>1502020074</v>
      </c>
      <c r="X71" t="s">
        <v>28</v>
      </c>
      <c r="Y71" t="str">
        <f>VLOOKUP(W71,Sheet4!$A$5:$B$71,2,0)</f>
        <v>MAX UG NEW</v>
      </c>
      <c r="Z71">
        <v>87082900</v>
      </c>
      <c r="AA71">
        <v>10</v>
      </c>
      <c r="AB71" t="s">
        <v>159</v>
      </c>
      <c r="AC71" s="24">
        <v>9397.5</v>
      </c>
      <c r="AD71" t="s">
        <v>160</v>
      </c>
      <c r="AE71" s="24">
        <v>93975</v>
      </c>
      <c r="AF71">
        <v>0</v>
      </c>
      <c r="AG71" s="24">
        <v>93975</v>
      </c>
      <c r="AH71">
        <v>0</v>
      </c>
      <c r="AI71">
        <v>0</v>
      </c>
      <c r="AJ71">
        <v>0</v>
      </c>
      <c r="AK71">
        <v>0</v>
      </c>
      <c r="AL71" s="24">
        <v>93975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s="24">
        <v>93975</v>
      </c>
      <c r="AV71">
        <v>0</v>
      </c>
      <c r="AW71">
        <v>0</v>
      </c>
      <c r="AX71">
        <v>311000</v>
      </c>
      <c r="AY71" t="s">
        <v>161</v>
      </c>
      <c r="AZ71">
        <v>69.5</v>
      </c>
      <c r="BA71">
        <v>69.5</v>
      </c>
      <c r="BB71">
        <v>0</v>
      </c>
      <c r="BC71" t="s">
        <v>176</v>
      </c>
      <c r="BD71">
        <v>1509</v>
      </c>
      <c r="BE71" t="s">
        <v>169</v>
      </c>
      <c r="BF71">
        <v>5094108549</v>
      </c>
      <c r="BG71" t="s">
        <v>334</v>
      </c>
    </row>
    <row r="72" spans="1:59">
      <c r="A72">
        <v>1115</v>
      </c>
      <c r="B72">
        <v>1115</v>
      </c>
      <c r="C72">
        <v>10</v>
      </c>
      <c r="D72">
        <v>2</v>
      </c>
      <c r="E72" t="s">
        <v>152</v>
      </c>
      <c r="F72" t="s">
        <v>153</v>
      </c>
      <c r="G72" t="s">
        <v>154</v>
      </c>
      <c r="H72">
        <v>1526005968</v>
      </c>
      <c r="I72">
        <v>1000006230</v>
      </c>
      <c r="L72" t="s">
        <v>334</v>
      </c>
      <c r="M72">
        <v>5100001227</v>
      </c>
      <c r="N72" t="s">
        <v>155</v>
      </c>
      <c r="O72" t="s">
        <v>156</v>
      </c>
      <c r="P72">
        <v>4110011319</v>
      </c>
      <c r="Q72" t="s">
        <v>175</v>
      </c>
      <c r="R72">
        <v>5000</v>
      </c>
      <c r="S72" t="s">
        <v>166</v>
      </c>
      <c r="V72" t="s">
        <v>167</v>
      </c>
      <c r="W72">
        <v>1502020074</v>
      </c>
      <c r="X72" t="s">
        <v>28</v>
      </c>
      <c r="Y72" t="str">
        <f>VLOOKUP(W72,Sheet4!$A$5:$B$71,2,0)</f>
        <v>MAX UG NEW</v>
      </c>
      <c r="Z72">
        <v>87082900</v>
      </c>
      <c r="AA72">
        <v>10</v>
      </c>
      <c r="AB72" t="s">
        <v>159</v>
      </c>
      <c r="AC72" s="24">
        <v>9397.5</v>
      </c>
      <c r="AD72" t="s">
        <v>160</v>
      </c>
      <c r="AE72" s="24">
        <v>93975</v>
      </c>
      <c r="AF72">
        <v>0</v>
      </c>
      <c r="AG72" s="24">
        <v>93975</v>
      </c>
      <c r="AH72">
        <v>0</v>
      </c>
      <c r="AI72">
        <v>0</v>
      </c>
      <c r="AJ72">
        <v>0</v>
      </c>
      <c r="AK72">
        <v>0</v>
      </c>
      <c r="AL72" s="24">
        <v>93975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s="24">
        <v>93975</v>
      </c>
      <c r="AV72">
        <v>0</v>
      </c>
      <c r="AW72">
        <v>0</v>
      </c>
      <c r="AX72">
        <v>311000</v>
      </c>
      <c r="AY72" t="s">
        <v>161</v>
      </c>
      <c r="AZ72">
        <v>69.5</v>
      </c>
      <c r="BA72">
        <v>69.5</v>
      </c>
      <c r="BB72">
        <v>0</v>
      </c>
      <c r="BC72" t="s">
        <v>176</v>
      </c>
      <c r="BD72">
        <v>1509</v>
      </c>
      <c r="BE72" t="s">
        <v>169</v>
      </c>
      <c r="BF72">
        <v>5094107419</v>
      </c>
      <c r="BG72" t="s">
        <v>334</v>
      </c>
    </row>
    <row r="73" spans="1:59">
      <c r="A73">
        <v>1115</v>
      </c>
      <c r="B73">
        <v>1115</v>
      </c>
      <c r="C73">
        <v>10</v>
      </c>
      <c r="D73">
        <v>2</v>
      </c>
      <c r="E73" t="s">
        <v>152</v>
      </c>
      <c r="F73" t="s">
        <v>153</v>
      </c>
      <c r="G73" t="s">
        <v>154</v>
      </c>
      <c r="H73">
        <v>1526005967</v>
      </c>
      <c r="I73">
        <v>1000006229</v>
      </c>
      <c r="L73" t="s">
        <v>334</v>
      </c>
      <c r="M73">
        <v>5100001227</v>
      </c>
      <c r="N73" t="s">
        <v>155</v>
      </c>
      <c r="O73" t="s">
        <v>156</v>
      </c>
      <c r="P73">
        <v>4110011319</v>
      </c>
      <c r="Q73" t="s">
        <v>175</v>
      </c>
      <c r="R73">
        <v>5000</v>
      </c>
      <c r="S73" t="s">
        <v>166</v>
      </c>
      <c r="V73" t="s">
        <v>167</v>
      </c>
      <c r="W73">
        <v>1502020074</v>
      </c>
      <c r="X73" t="s">
        <v>28</v>
      </c>
      <c r="Y73" t="str">
        <f>VLOOKUP(W73,Sheet4!$A$5:$B$71,2,0)</f>
        <v>MAX UG NEW</v>
      </c>
      <c r="Z73">
        <v>87082900</v>
      </c>
      <c r="AA73">
        <v>10</v>
      </c>
      <c r="AB73" t="s">
        <v>159</v>
      </c>
      <c r="AC73" s="24">
        <v>9397.5</v>
      </c>
      <c r="AD73" t="s">
        <v>160</v>
      </c>
      <c r="AE73" s="24">
        <v>93975</v>
      </c>
      <c r="AF73">
        <v>0</v>
      </c>
      <c r="AG73" s="24">
        <v>93975</v>
      </c>
      <c r="AH73">
        <v>0</v>
      </c>
      <c r="AI73">
        <v>0</v>
      </c>
      <c r="AJ73">
        <v>0</v>
      </c>
      <c r="AK73">
        <v>0</v>
      </c>
      <c r="AL73" s="24">
        <v>93975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s="24">
        <v>93975</v>
      </c>
      <c r="AV73">
        <v>0</v>
      </c>
      <c r="AW73">
        <v>0</v>
      </c>
      <c r="AX73">
        <v>311000</v>
      </c>
      <c r="AY73" t="s">
        <v>161</v>
      </c>
      <c r="AZ73">
        <v>69.5</v>
      </c>
      <c r="BA73">
        <v>69.5</v>
      </c>
      <c r="BB73">
        <v>0</v>
      </c>
      <c r="BC73" t="s">
        <v>176</v>
      </c>
      <c r="BD73">
        <v>1509</v>
      </c>
      <c r="BE73" t="s">
        <v>169</v>
      </c>
      <c r="BF73">
        <v>5094107408</v>
      </c>
      <c r="BG73" t="s">
        <v>334</v>
      </c>
    </row>
    <row r="74" spans="1:59">
      <c r="A74">
        <v>1115</v>
      </c>
      <c r="B74">
        <v>1115</v>
      </c>
      <c r="C74">
        <v>10</v>
      </c>
      <c r="D74">
        <v>2</v>
      </c>
      <c r="E74" t="s">
        <v>152</v>
      </c>
      <c r="F74" t="s">
        <v>153</v>
      </c>
      <c r="G74" t="s">
        <v>154</v>
      </c>
      <c r="H74">
        <v>1526005966</v>
      </c>
      <c r="I74">
        <v>1000006228</v>
      </c>
      <c r="L74" t="s">
        <v>334</v>
      </c>
      <c r="M74">
        <v>5100001227</v>
      </c>
      <c r="N74" t="s">
        <v>155</v>
      </c>
      <c r="O74" t="s">
        <v>156</v>
      </c>
      <c r="P74">
        <v>4110011319</v>
      </c>
      <c r="Q74" t="s">
        <v>175</v>
      </c>
      <c r="R74">
        <v>5000</v>
      </c>
      <c r="S74" t="s">
        <v>166</v>
      </c>
      <c r="V74" t="s">
        <v>167</v>
      </c>
      <c r="W74">
        <v>1502020074</v>
      </c>
      <c r="X74" t="s">
        <v>28</v>
      </c>
      <c r="Y74" t="str">
        <f>VLOOKUP(W74,Sheet4!$A$5:$B$71,2,0)</f>
        <v>MAX UG NEW</v>
      </c>
      <c r="Z74">
        <v>87082900</v>
      </c>
      <c r="AA74">
        <v>10</v>
      </c>
      <c r="AB74" t="s">
        <v>159</v>
      </c>
      <c r="AC74" s="24">
        <v>9397.5</v>
      </c>
      <c r="AD74" t="s">
        <v>160</v>
      </c>
      <c r="AE74" s="24">
        <v>93975</v>
      </c>
      <c r="AF74">
        <v>0</v>
      </c>
      <c r="AG74" s="24">
        <v>93975</v>
      </c>
      <c r="AH74">
        <v>0</v>
      </c>
      <c r="AI74">
        <v>0</v>
      </c>
      <c r="AJ74">
        <v>0</v>
      </c>
      <c r="AK74">
        <v>0</v>
      </c>
      <c r="AL74" s="24">
        <v>93975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s="24">
        <v>93975</v>
      </c>
      <c r="AV74">
        <v>0</v>
      </c>
      <c r="AW74">
        <v>0</v>
      </c>
      <c r="AX74">
        <v>311000</v>
      </c>
      <c r="AY74" t="s">
        <v>161</v>
      </c>
      <c r="AZ74">
        <v>69.5</v>
      </c>
      <c r="BA74">
        <v>69.5</v>
      </c>
      <c r="BB74">
        <v>0</v>
      </c>
      <c r="BC74" t="s">
        <v>176</v>
      </c>
      <c r="BD74">
        <v>1509</v>
      </c>
      <c r="BE74" t="s">
        <v>169</v>
      </c>
      <c r="BF74">
        <v>5094107407</v>
      </c>
      <c r="BG74" t="s">
        <v>334</v>
      </c>
    </row>
    <row r="75" spans="1:59">
      <c r="A75">
        <v>1115</v>
      </c>
      <c r="B75">
        <v>1115</v>
      </c>
      <c r="C75">
        <v>10</v>
      </c>
      <c r="D75">
        <v>2</v>
      </c>
      <c r="E75" t="s">
        <v>152</v>
      </c>
      <c r="F75" t="s">
        <v>153</v>
      </c>
      <c r="G75" t="s">
        <v>154</v>
      </c>
      <c r="H75">
        <v>1526005965</v>
      </c>
      <c r="I75">
        <v>1000006227</v>
      </c>
      <c r="L75" t="s">
        <v>334</v>
      </c>
      <c r="M75">
        <v>5100001227</v>
      </c>
      <c r="N75" t="s">
        <v>155</v>
      </c>
      <c r="O75" t="s">
        <v>156</v>
      </c>
      <c r="P75">
        <v>4110011319</v>
      </c>
      <c r="Q75" t="s">
        <v>175</v>
      </c>
      <c r="R75">
        <v>5000</v>
      </c>
      <c r="S75" t="s">
        <v>166</v>
      </c>
      <c r="V75" t="s">
        <v>167</v>
      </c>
      <c r="W75">
        <v>1502020074</v>
      </c>
      <c r="X75" t="s">
        <v>28</v>
      </c>
      <c r="Y75" t="str">
        <f>VLOOKUP(W75,Sheet4!$A$5:$B$71,2,0)</f>
        <v>MAX UG NEW</v>
      </c>
      <c r="Z75">
        <v>87082900</v>
      </c>
      <c r="AA75">
        <v>10</v>
      </c>
      <c r="AB75" t="s">
        <v>159</v>
      </c>
      <c r="AC75" s="24">
        <v>9397.5</v>
      </c>
      <c r="AD75" t="s">
        <v>160</v>
      </c>
      <c r="AE75" s="24">
        <v>93975</v>
      </c>
      <c r="AF75">
        <v>0</v>
      </c>
      <c r="AG75" s="24">
        <v>93975</v>
      </c>
      <c r="AH75">
        <v>0</v>
      </c>
      <c r="AI75">
        <v>0</v>
      </c>
      <c r="AJ75">
        <v>0</v>
      </c>
      <c r="AK75">
        <v>0</v>
      </c>
      <c r="AL75" s="24">
        <v>93975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s="24">
        <v>93975</v>
      </c>
      <c r="AV75">
        <v>0</v>
      </c>
      <c r="AW75">
        <v>0</v>
      </c>
      <c r="AX75">
        <v>311000</v>
      </c>
      <c r="AY75" t="s">
        <v>161</v>
      </c>
      <c r="AZ75">
        <v>69.5</v>
      </c>
      <c r="BA75">
        <v>69.5</v>
      </c>
      <c r="BB75">
        <v>0</v>
      </c>
      <c r="BC75" t="s">
        <v>176</v>
      </c>
      <c r="BD75">
        <v>1509</v>
      </c>
      <c r="BE75" t="s">
        <v>169</v>
      </c>
      <c r="BF75">
        <v>5094107406</v>
      </c>
      <c r="BG75" t="s">
        <v>334</v>
      </c>
    </row>
    <row r="76" spans="1:59">
      <c r="A76">
        <v>1115</v>
      </c>
      <c r="B76">
        <v>1115</v>
      </c>
      <c r="C76">
        <v>10</v>
      </c>
      <c r="D76">
        <v>2</v>
      </c>
      <c r="E76" t="s">
        <v>152</v>
      </c>
      <c r="F76" t="s">
        <v>153</v>
      </c>
      <c r="G76" t="s">
        <v>154</v>
      </c>
      <c r="H76">
        <v>1526005964</v>
      </c>
      <c r="I76">
        <v>1000006226</v>
      </c>
      <c r="L76" t="s">
        <v>333</v>
      </c>
      <c r="M76">
        <v>5100001928</v>
      </c>
      <c r="N76" t="s">
        <v>155</v>
      </c>
      <c r="O76" t="s">
        <v>156</v>
      </c>
      <c r="P76">
        <v>4110057393</v>
      </c>
      <c r="Q76" t="s">
        <v>192</v>
      </c>
      <c r="R76">
        <v>5000</v>
      </c>
      <c r="S76" t="s">
        <v>166</v>
      </c>
      <c r="V76" t="s">
        <v>167</v>
      </c>
      <c r="W76">
        <v>1502020122</v>
      </c>
      <c r="X76" t="s">
        <v>70</v>
      </c>
      <c r="Y76" t="str">
        <f>VLOOKUP(W76,Sheet4!$A$5:$B$71,2,0)</f>
        <v>MAX UG NEW EV</v>
      </c>
      <c r="Z76">
        <v>87082900</v>
      </c>
      <c r="AA76">
        <v>10</v>
      </c>
      <c r="AB76" t="s">
        <v>159</v>
      </c>
      <c r="AC76" s="24">
        <v>9566.51</v>
      </c>
      <c r="AD76" t="s">
        <v>160</v>
      </c>
      <c r="AE76" s="24">
        <v>95665.1</v>
      </c>
      <c r="AF76">
        <v>0</v>
      </c>
      <c r="AG76" s="24">
        <v>95665.1</v>
      </c>
      <c r="AH76">
        <v>0</v>
      </c>
      <c r="AI76">
        <v>0</v>
      </c>
      <c r="AJ76">
        <v>0</v>
      </c>
      <c r="AK76">
        <v>0</v>
      </c>
      <c r="AL76" s="24">
        <v>95665.1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s="24">
        <v>95665.1</v>
      </c>
      <c r="AV76">
        <v>0</v>
      </c>
      <c r="AW76">
        <v>0</v>
      </c>
      <c r="AX76">
        <v>311000</v>
      </c>
      <c r="AY76" t="s">
        <v>161</v>
      </c>
      <c r="AZ76">
        <v>0</v>
      </c>
      <c r="BA76">
        <v>61</v>
      </c>
      <c r="BB76">
        <v>-61</v>
      </c>
      <c r="BC76" t="s">
        <v>193</v>
      </c>
      <c r="BD76">
        <v>1509</v>
      </c>
      <c r="BE76" t="s">
        <v>169</v>
      </c>
      <c r="BF76">
        <v>5094107262</v>
      </c>
      <c r="BG76" t="s">
        <v>334</v>
      </c>
    </row>
    <row r="77" spans="1:59">
      <c r="A77">
        <v>1115</v>
      </c>
      <c r="B77">
        <v>1115</v>
      </c>
      <c r="C77">
        <v>10</v>
      </c>
      <c r="D77">
        <v>2</v>
      </c>
      <c r="E77" t="s">
        <v>152</v>
      </c>
      <c r="F77" t="s">
        <v>153</v>
      </c>
      <c r="G77" t="s">
        <v>154</v>
      </c>
      <c r="H77">
        <v>1526005963</v>
      </c>
      <c r="I77">
        <v>1000006225</v>
      </c>
      <c r="L77" t="s">
        <v>333</v>
      </c>
      <c r="M77">
        <v>5100001949</v>
      </c>
      <c r="N77" t="s">
        <v>155</v>
      </c>
      <c r="O77" t="s">
        <v>156</v>
      </c>
      <c r="P77">
        <v>4110063766</v>
      </c>
      <c r="Q77" t="s">
        <v>252</v>
      </c>
      <c r="R77">
        <v>5000</v>
      </c>
      <c r="S77" t="s">
        <v>166</v>
      </c>
      <c r="V77" t="s">
        <v>167</v>
      </c>
      <c r="W77">
        <v>1502040322</v>
      </c>
      <c r="X77" t="s">
        <v>250</v>
      </c>
      <c r="Y77" t="str">
        <f>VLOOKUP(W77,Sheet4!$A$5:$B$71,2,0)</f>
        <v>DASH BOARD</v>
      </c>
      <c r="Z77">
        <v>87082900</v>
      </c>
      <c r="AA77">
        <v>150</v>
      </c>
      <c r="AB77" t="s">
        <v>159</v>
      </c>
      <c r="AC77">
        <v>291.27999999999997</v>
      </c>
      <c r="AD77" t="s">
        <v>160</v>
      </c>
      <c r="AE77" s="24">
        <v>43692</v>
      </c>
      <c r="AF77">
        <v>0</v>
      </c>
      <c r="AG77" s="24">
        <v>43692</v>
      </c>
      <c r="AH77">
        <v>0</v>
      </c>
      <c r="AI77">
        <v>0</v>
      </c>
      <c r="AJ77">
        <v>0</v>
      </c>
      <c r="AK77">
        <v>0</v>
      </c>
      <c r="AL77" s="24">
        <v>43692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s="24">
        <v>43692</v>
      </c>
      <c r="AV77">
        <v>0</v>
      </c>
      <c r="AW77">
        <v>0</v>
      </c>
      <c r="AX77">
        <v>311000</v>
      </c>
      <c r="AY77" t="s">
        <v>161</v>
      </c>
      <c r="AZ77">
        <v>2.37</v>
      </c>
      <c r="BA77">
        <v>2.37</v>
      </c>
      <c r="BB77">
        <v>0</v>
      </c>
      <c r="BC77" t="s">
        <v>251</v>
      </c>
      <c r="BD77">
        <v>1511</v>
      </c>
      <c r="BE77" t="s">
        <v>174</v>
      </c>
      <c r="BF77">
        <v>5094107041</v>
      </c>
      <c r="BG77" t="s">
        <v>334</v>
      </c>
    </row>
    <row r="78" spans="1:59">
      <c r="A78">
        <v>1115</v>
      </c>
      <c r="B78">
        <v>1115</v>
      </c>
      <c r="C78">
        <v>10</v>
      </c>
      <c r="D78">
        <v>2</v>
      </c>
      <c r="E78" t="s">
        <v>152</v>
      </c>
      <c r="F78" t="s">
        <v>153</v>
      </c>
      <c r="G78" t="s">
        <v>154</v>
      </c>
      <c r="H78">
        <v>1526005962</v>
      </c>
      <c r="I78">
        <v>1000006224</v>
      </c>
      <c r="L78" t="s">
        <v>333</v>
      </c>
      <c r="M78">
        <v>5100001899</v>
      </c>
      <c r="N78" t="s">
        <v>155</v>
      </c>
      <c r="O78" t="s">
        <v>156</v>
      </c>
      <c r="P78">
        <v>4110041854</v>
      </c>
      <c r="Q78" t="s">
        <v>172</v>
      </c>
      <c r="R78">
        <v>5000</v>
      </c>
      <c r="S78" t="s">
        <v>166</v>
      </c>
      <c r="V78" t="s">
        <v>167</v>
      </c>
      <c r="W78">
        <v>1502040267</v>
      </c>
      <c r="X78" t="s">
        <v>63</v>
      </c>
      <c r="Y78" t="str">
        <f>VLOOKUP(W78,Sheet4!$A$5:$B$71,2,0)</f>
        <v>DASH BOARD</v>
      </c>
      <c r="Z78">
        <v>87082900</v>
      </c>
      <c r="AA78">
        <v>256</v>
      </c>
      <c r="AB78" t="s">
        <v>159</v>
      </c>
      <c r="AC78">
        <v>290.89999999999998</v>
      </c>
      <c r="AD78" t="s">
        <v>160</v>
      </c>
      <c r="AE78" s="24">
        <v>74470.399999999994</v>
      </c>
      <c r="AF78">
        <v>0</v>
      </c>
      <c r="AG78" s="24">
        <v>74470.399999999994</v>
      </c>
      <c r="AH78">
        <v>0</v>
      </c>
      <c r="AI78">
        <v>0</v>
      </c>
      <c r="AJ78">
        <v>0</v>
      </c>
      <c r="AK78">
        <v>0</v>
      </c>
      <c r="AL78" s="24">
        <v>74470.399999999994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s="24">
        <v>74470.399999999994</v>
      </c>
      <c r="AV78">
        <v>0</v>
      </c>
      <c r="AW78">
        <v>0</v>
      </c>
      <c r="AX78">
        <v>311000</v>
      </c>
      <c r="AY78" t="s">
        <v>161</v>
      </c>
      <c r="AZ78">
        <v>4.5</v>
      </c>
      <c r="BA78">
        <v>4.5</v>
      </c>
      <c r="BB78">
        <v>0</v>
      </c>
      <c r="BC78" t="s">
        <v>173</v>
      </c>
      <c r="BD78">
        <v>1511</v>
      </c>
      <c r="BE78" t="s">
        <v>174</v>
      </c>
      <c r="BF78">
        <v>5094107272</v>
      </c>
      <c r="BG78" t="s">
        <v>334</v>
      </c>
    </row>
    <row r="79" spans="1:59">
      <c r="A79">
        <v>1115</v>
      </c>
      <c r="B79">
        <v>1115</v>
      </c>
      <c r="C79">
        <v>10</v>
      </c>
      <c r="D79">
        <v>2</v>
      </c>
      <c r="E79" t="s">
        <v>152</v>
      </c>
      <c r="F79" t="s">
        <v>153</v>
      </c>
      <c r="G79" t="s">
        <v>154</v>
      </c>
      <c r="H79">
        <v>1526005961</v>
      </c>
      <c r="I79">
        <v>1000006223</v>
      </c>
      <c r="L79" t="s">
        <v>333</v>
      </c>
      <c r="M79">
        <v>5100001666</v>
      </c>
      <c r="N79" t="s">
        <v>155</v>
      </c>
      <c r="O79" t="s">
        <v>156</v>
      </c>
      <c r="P79">
        <v>4110027035</v>
      </c>
      <c r="Q79" t="s">
        <v>225</v>
      </c>
      <c r="R79">
        <v>5000</v>
      </c>
      <c r="S79" t="s">
        <v>166</v>
      </c>
      <c r="V79" t="s">
        <v>167</v>
      </c>
      <c r="W79">
        <v>1502020105</v>
      </c>
      <c r="X79" t="s">
        <v>226</v>
      </c>
      <c r="Y79" t="str">
        <f>VLOOKUP(W79,Sheet4!$A$5:$B$71,2,0)</f>
        <v>RE STYLING</v>
      </c>
      <c r="Z79">
        <v>87082900</v>
      </c>
      <c r="AA79">
        <v>15</v>
      </c>
      <c r="AB79" t="s">
        <v>159</v>
      </c>
      <c r="AC79" s="24">
        <v>6570.77</v>
      </c>
      <c r="AD79" t="s">
        <v>160</v>
      </c>
      <c r="AE79" s="24">
        <v>98561.55</v>
      </c>
      <c r="AF79">
        <v>0</v>
      </c>
      <c r="AG79" s="24">
        <v>98561.55</v>
      </c>
      <c r="AH79">
        <v>0</v>
      </c>
      <c r="AI79">
        <v>0</v>
      </c>
      <c r="AJ79">
        <v>0</v>
      </c>
      <c r="AK79">
        <v>0</v>
      </c>
      <c r="AL79" s="24">
        <v>98561.55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s="24">
        <v>98561.55</v>
      </c>
      <c r="AV79">
        <v>0</v>
      </c>
      <c r="AW79">
        <v>0</v>
      </c>
      <c r="AX79">
        <v>311000</v>
      </c>
      <c r="AY79" t="s">
        <v>161</v>
      </c>
      <c r="AZ79">
        <v>49.75</v>
      </c>
      <c r="BA79">
        <v>49.75</v>
      </c>
      <c r="BB79">
        <v>0</v>
      </c>
      <c r="BC79" t="s">
        <v>227</v>
      </c>
      <c r="BD79">
        <v>1509</v>
      </c>
      <c r="BE79" t="s">
        <v>169</v>
      </c>
      <c r="BF79">
        <v>5094115841</v>
      </c>
      <c r="BG79" t="s">
        <v>334</v>
      </c>
    </row>
    <row r="80" spans="1:59">
      <c r="A80">
        <v>1115</v>
      </c>
      <c r="B80">
        <v>1115</v>
      </c>
      <c r="C80">
        <v>10</v>
      </c>
      <c r="D80">
        <v>2</v>
      </c>
      <c r="E80" t="s">
        <v>152</v>
      </c>
      <c r="F80" t="s">
        <v>153</v>
      </c>
      <c r="G80" t="s">
        <v>154</v>
      </c>
      <c r="H80">
        <v>1526005960</v>
      </c>
      <c r="I80">
        <v>1000006222</v>
      </c>
      <c r="L80" t="s">
        <v>333</v>
      </c>
      <c r="M80">
        <v>5100001666</v>
      </c>
      <c r="N80" t="s">
        <v>155</v>
      </c>
      <c r="O80" t="s">
        <v>156</v>
      </c>
      <c r="P80">
        <v>4110027035</v>
      </c>
      <c r="Q80" t="s">
        <v>225</v>
      </c>
      <c r="R80">
        <v>5000</v>
      </c>
      <c r="S80" t="s">
        <v>166</v>
      </c>
      <c r="V80" t="s">
        <v>167</v>
      </c>
      <c r="W80">
        <v>1502020105</v>
      </c>
      <c r="X80" t="s">
        <v>226</v>
      </c>
      <c r="Y80" t="str">
        <f>VLOOKUP(W80,Sheet4!$A$5:$B$71,2,0)</f>
        <v>RE STYLING</v>
      </c>
      <c r="Z80">
        <v>87082900</v>
      </c>
      <c r="AA80">
        <v>15</v>
      </c>
      <c r="AB80" t="s">
        <v>159</v>
      </c>
      <c r="AC80" s="24">
        <v>6570.77</v>
      </c>
      <c r="AD80" t="s">
        <v>160</v>
      </c>
      <c r="AE80" s="24">
        <v>98561.55</v>
      </c>
      <c r="AF80">
        <v>0</v>
      </c>
      <c r="AG80" s="24">
        <v>98561.55</v>
      </c>
      <c r="AH80">
        <v>0</v>
      </c>
      <c r="AI80">
        <v>0</v>
      </c>
      <c r="AJ80">
        <v>0</v>
      </c>
      <c r="AK80">
        <v>0</v>
      </c>
      <c r="AL80" s="24">
        <v>98561.55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s="24">
        <v>98561.55</v>
      </c>
      <c r="AV80">
        <v>0</v>
      </c>
      <c r="AW80">
        <v>0</v>
      </c>
      <c r="AX80">
        <v>311000</v>
      </c>
      <c r="AY80" t="s">
        <v>161</v>
      </c>
      <c r="AZ80">
        <v>49.75</v>
      </c>
      <c r="BA80">
        <v>49.75</v>
      </c>
      <c r="BB80">
        <v>0</v>
      </c>
      <c r="BC80" t="s">
        <v>227</v>
      </c>
      <c r="BD80">
        <v>1509</v>
      </c>
      <c r="BE80" t="s">
        <v>169</v>
      </c>
      <c r="BF80">
        <v>5094115866</v>
      </c>
      <c r="BG80" t="s">
        <v>334</v>
      </c>
    </row>
    <row r="81" spans="1:59">
      <c r="A81">
        <v>1115</v>
      </c>
      <c r="B81">
        <v>1115</v>
      </c>
      <c r="C81">
        <v>10</v>
      </c>
      <c r="D81">
        <v>2</v>
      </c>
      <c r="E81" t="s">
        <v>152</v>
      </c>
      <c r="F81" t="s">
        <v>153</v>
      </c>
      <c r="G81" t="s">
        <v>154</v>
      </c>
      <c r="H81">
        <v>1526005912</v>
      </c>
      <c r="I81">
        <v>1000006175</v>
      </c>
      <c r="L81" t="s">
        <v>333</v>
      </c>
      <c r="M81">
        <v>5100001636</v>
      </c>
      <c r="N81" t="s">
        <v>155</v>
      </c>
      <c r="O81" t="s">
        <v>156</v>
      </c>
      <c r="P81">
        <v>4110026445</v>
      </c>
      <c r="Q81" t="s">
        <v>170</v>
      </c>
      <c r="R81">
        <v>5000</v>
      </c>
      <c r="S81" t="s">
        <v>166</v>
      </c>
      <c r="V81" t="s">
        <v>167</v>
      </c>
      <c r="W81">
        <v>1502020101</v>
      </c>
      <c r="X81" t="s">
        <v>25</v>
      </c>
      <c r="Y81" t="str">
        <f>VLOOKUP(W81,Sheet4!$A$5:$B$71,2,0)</f>
        <v>RE STYLING</v>
      </c>
      <c r="Z81">
        <v>87082900</v>
      </c>
      <c r="AA81">
        <v>15</v>
      </c>
      <c r="AB81" t="s">
        <v>159</v>
      </c>
      <c r="AC81" s="24">
        <v>6240.88</v>
      </c>
      <c r="AD81" t="s">
        <v>160</v>
      </c>
      <c r="AE81" s="24">
        <v>93613.2</v>
      </c>
      <c r="AF81">
        <v>0</v>
      </c>
      <c r="AG81" s="24">
        <v>93613.2</v>
      </c>
      <c r="AH81">
        <v>0</v>
      </c>
      <c r="AI81">
        <v>0</v>
      </c>
      <c r="AJ81">
        <v>0</v>
      </c>
      <c r="AK81">
        <v>0</v>
      </c>
      <c r="AL81" s="24">
        <v>93613.2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s="24">
        <v>93613.2</v>
      </c>
      <c r="AV81">
        <v>0</v>
      </c>
      <c r="AW81">
        <v>0</v>
      </c>
      <c r="AX81">
        <v>311000</v>
      </c>
      <c r="AY81" t="s">
        <v>161</v>
      </c>
      <c r="AZ81">
        <v>58</v>
      </c>
      <c r="BA81">
        <v>58</v>
      </c>
      <c r="BB81">
        <v>0</v>
      </c>
      <c r="BC81" t="s">
        <v>208</v>
      </c>
      <c r="BD81">
        <v>1509</v>
      </c>
      <c r="BE81" t="s">
        <v>169</v>
      </c>
      <c r="BF81">
        <v>5094107002</v>
      </c>
      <c r="BG81" t="s">
        <v>334</v>
      </c>
    </row>
    <row r="82" spans="1:59">
      <c r="A82">
        <v>1115</v>
      </c>
      <c r="B82">
        <v>1115</v>
      </c>
      <c r="C82">
        <v>10</v>
      </c>
      <c r="D82">
        <v>2</v>
      </c>
      <c r="E82" t="s">
        <v>152</v>
      </c>
      <c r="F82" t="s">
        <v>153</v>
      </c>
      <c r="G82" t="s">
        <v>154</v>
      </c>
      <c r="H82">
        <v>1526005862</v>
      </c>
      <c r="I82">
        <v>1000006127</v>
      </c>
      <c r="L82" t="s">
        <v>333</v>
      </c>
      <c r="M82">
        <v>5100001949</v>
      </c>
      <c r="N82" t="s">
        <v>155</v>
      </c>
      <c r="O82" t="s">
        <v>156</v>
      </c>
      <c r="P82">
        <v>4110063766</v>
      </c>
      <c r="Q82" t="s">
        <v>252</v>
      </c>
      <c r="R82">
        <v>5000</v>
      </c>
      <c r="S82" t="s">
        <v>166</v>
      </c>
      <c r="V82" t="s">
        <v>167</v>
      </c>
      <c r="W82">
        <v>1502040322</v>
      </c>
      <c r="X82" t="s">
        <v>250</v>
      </c>
      <c r="Y82" t="str">
        <f>VLOOKUP(W82,Sheet4!$A$5:$B$71,2,0)</f>
        <v>DASH BOARD</v>
      </c>
      <c r="Z82">
        <v>87082900</v>
      </c>
      <c r="AA82">
        <v>120</v>
      </c>
      <c r="AB82" t="s">
        <v>159</v>
      </c>
      <c r="AC82">
        <v>291.27999999999997</v>
      </c>
      <c r="AD82" t="s">
        <v>160</v>
      </c>
      <c r="AE82" s="24">
        <v>34953.599999999999</v>
      </c>
      <c r="AF82">
        <v>0</v>
      </c>
      <c r="AG82" s="24">
        <v>34953.599999999999</v>
      </c>
      <c r="AH82">
        <v>0</v>
      </c>
      <c r="AI82">
        <v>0</v>
      </c>
      <c r="AJ82">
        <v>0</v>
      </c>
      <c r="AK82">
        <v>0</v>
      </c>
      <c r="AL82" s="24">
        <v>34953.599999999999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s="24">
        <v>34953.599999999999</v>
      </c>
      <c r="AV82">
        <v>0</v>
      </c>
      <c r="AW82">
        <v>0</v>
      </c>
      <c r="AX82">
        <v>311000</v>
      </c>
      <c r="AY82" t="s">
        <v>161</v>
      </c>
      <c r="AZ82">
        <v>2.37</v>
      </c>
      <c r="BA82">
        <v>2.37</v>
      </c>
      <c r="BB82">
        <v>0</v>
      </c>
      <c r="BC82" t="s">
        <v>251</v>
      </c>
      <c r="BD82">
        <v>1511</v>
      </c>
      <c r="BE82" t="s">
        <v>174</v>
      </c>
      <c r="BF82">
        <v>5094098587</v>
      </c>
      <c r="BG82" t="s">
        <v>333</v>
      </c>
    </row>
    <row r="83" spans="1:59">
      <c r="A83">
        <v>1115</v>
      </c>
      <c r="B83">
        <v>1115</v>
      </c>
      <c r="C83">
        <v>10</v>
      </c>
      <c r="D83">
        <v>2</v>
      </c>
      <c r="E83" t="s">
        <v>152</v>
      </c>
      <c r="F83" t="s">
        <v>153</v>
      </c>
      <c r="G83" t="s">
        <v>154</v>
      </c>
      <c r="H83">
        <v>1526005861</v>
      </c>
      <c r="I83">
        <v>1000006126</v>
      </c>
      <c r="L83" t="s">
        <v>333</v>
      </c>
      <c r="M83">
        <v>5100001899</v>
      </c>
      <c r="N83" t="s">
        <v>155</v>
      </c>
      <c r="O83" t="s">
        <v>156</v>
      </c>
      <c r="P83">
        <v>4110041854</v>
      </c>
      <c r="Q83" t="s">
        <v>172</v>
      </c>
      <c r="R83">
        <v>5000</v>
      </c>
      <c r="S83" t="s">
        <v>166</v>
      </c>
      <c r="V83" t="s">
        <v>167</v>
      </c>
      <c r="W83">
        <v>1502040267</v>
      </c>
      <c r="X83" t="s">
        <v>63</v>
      </c>
      <c r="Y83" t="str">
        <f>VLOOKUP(W83,Sheet4!$A$5:$B$71,2,0)</f>
        <v>DASH BOARD</v>
      </c>
      <c r="Z83">
        <v>87082900</v>
      </c>
      <c r="AA83">
        <v>288</v>
      </c>
      <c r="AB83" t="s">
        <v>159</v>
      </c>
      <c r="AC83">
        <v>290.89999999999998</v>
      </c>
      <c r="AD83" t="s">
        <v>160</v>
      </c>
      <c r="AE83" s="24">
        <v>83779.199999999997</v>
      </c>
      <c r="AF83">
        <v>0</v>
      </c>
      <c r="AG83" s="24">
        <v>83779.199999999997</v>
      </c>
      <c r="AH83">
        <v>0</v>
      </c>
      <c r="AI83">
        <v>0</v>
      </c>
      <c r="AJ83">
        <v>0</v>
      </c>
      <c r="AK83">
        <v>0</v>
      </c>
      <c r="AL83" s="24">
        <v>83779.199999999997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s="24">
        <v>83779.199999999997</v>
      </c>
      <c r="AV83">
        <v>0</v>
      </c>
      <c r="AW83">
        <v>0</v>
      </c>
      <c r="AX83">
        <v>311000</v>
      </c>
      <c r="AY83" t="s">
        <v>161</v>
      </c>
      <c r="AZ83">
        <v>4.5</v>
      </c>
      <c r="BA83">
        <v>4.5</v>
      </c>
      <c r="BB83">
        <v>0</v>
      </c>
      <c r="BC83" t="s">
        <v>173</v>
      </c>
      <c r="BD83">
        <v>1511</v>
      </c>
      <c r="BE83" t="s">
        <v>174</v>
      </c>
      <c r="BF83">
        <v>5094098603</v>
      </c>
      <c r="BG83" t="s">
        <v>333</v>
      </c>
    </row>
    <row r="84" spans="1:59">
      <c r="A84">
        <v>1115</v>
      </c>
      <c r="B84">
        <v>1115</v>
      </c>
      <c r="C84">
        <v>10</v>
      </c>
      <c r="D84">
        <v>2</v>
      </c>
      <c r="E84" t="s">
        <v>152</v>
      </c>
      <c r="F84" t="s">
        <v>153</v>
      </c>
      <c r="G84" t="s">
        <v>154</v>
      </c>
      <c r="H84">
        <v>1526005859</v>
      </c>
      <c r="I84">
        <v>1000006125</v>
      </c>
      <c r="L84" t="s">
        <v>333</v>
      </c>
      <c r="M84">
        <v>5100001928</v>
      </c>
      <c r="N84" t="s">
        <v>155</v>
      </c>
      <c r="O84" t="s">
        <v>156</v>
      </c>
      <c r="P84">
        <v>4110057393</v>
      </c>
      <c r="Q84" t="s">
        <v>192</v>
      </c>
      <c r="R84">
        <v>5000</v>
      </c>
      <c r="S84" t="s">
        <v>166</v>
      </c>
      <c r="V84" t="s">
        <v>167</v>
      </c>
      <c r="W84">
        <v>1502020122</v>
      </c>
      <c r="X84" t="s">
        <v>70</v>
      </c>
      <c r="Y84" t="str">
        <f>VLOOKUP(W84,Sheet4!$A$5:$B$71,2,0)</f>
        <v>MAX UG NEW EV</v>
      </c>
      <c r="Z84">
        <v>87082900</v>
      </c>
      <c r="AA84">
        <v>10</v>
      </c>
      <c r="AB84" t="s">
        <v>159</v>
      </c>
      <c r="AC84" s="24">
        <v>9566.51</v>
      </c>
      <c r="AD84" t="s">
        <v>160</v>
      </c>
      <c r="AE84" s="24">
        <v>95665.1</v>
      </c>
      <c r="AF84">
        <v>0</v>
      </c>
      <c r="AG84" s="24">
        <v>95665.1</v>
      </c>
      <c r="AH84">
        <v>0</v>
      </c>
      <c r="AI84">
        <v>0</v>
      </c>
      <c r="AJ84">
        <v>0</v>
      </c>
      <c r="AK84">
        <v>0</v>
      </c>
      <c r="AL84" s="24">
        <v>95665.1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s="24">
        <v>95665.1</v>
      </c>
      <c r="AV84">
        <v>0</v>
      </c>
      <c r="AW84">
        <v>0</v>
      </c>
      <c r="AX84">
        <v>311000</v>
      </c>
      <c r="AY84" t="s">
        <v>161</v>
      </c>
      <c r="AZ84">
        <v>0</v>
      </c>
      <c r="BA84">
        <v>61</v>
      </c>
      <c r="BB84">
        <v>-61</v>
      </c>
      <c r="BC84" t="s">
        <v>193</v>
      </c>
      <c r="BD84">
        <v>1509</v>
      </c>
      <c r="BE84" t="s">
        <v>169</v>
      </c>
      <c r="BF84">
        <v>5094096304</v>
      </c>
      <c r="BG84" t="s">
        <v>333</v>
      </c>
    </row>
    <row r="85" spans="1:59">
      <c r="A85">
        <v>1115</v>
      </c>
      <c r="B85">
        <v>1115</v>
      </c>
      <c r="C85">
        <v>10</v>
      </c>
      <c r="D85">
        <v>2</v>
      </c>
      <c r="E85" t="s">
        <v>152</v>
      </c>
      <c r="F85" t="s">
        <v>153</v>
      </c>
      <c r="G85" t="s">
        <v>154</v>
      </c>
      <c r="H85">
        <v>1526005858</v>
      </c>
      <c r="I85">
        <v>1000006124</v>
      </c>
      <c r="L85" t="s">
        <v>333</v>
      </c>
      <c r="M85">
        <v>5100001928</v>
      </c>
      <c r="N85" t="s">
        <v>155</v>
      </c>
      <c r="O85" t="s">
        <v>156</v>
      </c>
      <c r="P85">
        <v>4110057393</v>
      </c>
      <c r="Q85" t="s">
        <v>192</v>
      </c>
      <c r="R85">
        <v>5000</v>
      </c>
      <c r="S85" t="s">
        <v>166</v>
      </c>
      <c r="V85" t="s">
        <v>167</v>
      </c>
      <c r="W85">
        <v>1502020122</v>
      </c>
      <c r="X85" t="s">
        <v>70</v>
      </c>
      <c r="Y85" t="str">
        <f>VLOOKUP(W85,Sheet4!$A$5:$B$71,2,0)</f>
        <v>MAX UG NEW EV</v>
      </c>
      <c r="Z85">
        <v>87082900</v>
      </c>
      <c r="AA85">
        <v>10</v>
      </c>
      <c r="AB85" t="s">
        <v>159</v>
      </c>
      <c r="AC85" s="24">
        <v>9566.51</v>
      </c>
      <c r="AD85" t="s">
        <v>160</v>
      </c>
      <c r="AE85" s="24">
        <v>95665.1</v>
      </c>
      <c r="AF85">
        <v>0</v>
      </c>
      <c r="AG85" s="24">
        <v>95665.1</v>
      </c>
      <c r="AH85">
        <v>0</v>
      </c>
      <c r="AI85">
        <v>0</v>
      </c>
      <c r="AJ85">
        <v>0</v>
      </c>
      <c r="AK85">
        <v>0</v>
      </c>
      <c r="AL85" s="24">
        <v>95665.1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s="24">
        <v>95665.1</v>
      </c>
      <c r="AV85">
        <v>0</v>
      </c>
      <c r="AW85">
        <v>0</v>
      </c>
      <c r="AX85">
        <v>311000</v>
      </c>
      <c r="AY85" t="s">
        <v>161</v>
      </c>
      <c r="AZ85">
        <v>0</v>
      </c>
      <c r="BA85">
        <v>61</v>
      </c>
      <c r="BB85">
        <v>-61</v>
      </c>
      <c r="BC85" t="s">
        <v>193</v>
      </c>
      <c r="BD85">
        <v>1509</v>
      </c>
      <c r="BE85" t="s">
        <v>169</v>
      </c>
      <c r="BF85">
        <v>5094094592</v>
      </c>
      <c r="BG85" t="s">
        <v>333</v>
      </c>
    </row>
    <row r="86" spans="1:59">
      <c r="A86">
        <v>1115</v>
      </c>
      <c r="B86">
        <v>1115</v>
      </c>
      <c r="C86">
        <v>10</v>
      </c>
      <c r="D86">
        <v>2</v>
      </c>
      <c r="E86" t="s">
        <v>152</v>
      </c>
      <c r="F86" t="s">
        <v>153</v>
      </c>
      <c r="G86" t="s">
        <v>154</v>
      </c>
      <c r="H86">
        <v>1526005857</v>
      </c>
      <c r="I86">
        <v>1000006123</v>
      </c>
      <c r="L86" t="s">
        <v>333</v>
      </c>
      <c r="M86">
        <v>5100001100</v>
      </c>
      <c r="N86" t="s">
        <v>155</v>
      </c>
      <c r="O86" t="s">
        <v>156</v>
      </c>
      <c r="P86">
        <v>4110004652</v>
      </c>
      <c r="Q86" t="s">
        <v>177</v>
      </c>
      <c r="R86">
        <v>5000</v>
      </c>
      <c r="S86" t="s">
        <v>166</v>
      </c>
      <c r="V86" t="s">
        <v>167</v>
      </c>
      <c r="W86">
        <v>1502040165</v>
      </c>
      <c r="X86" t="s">
        <v>234</v>
      </c>
      <c r="Y86" t="str">
        <f>VLOOKUP(W86,Sheet4!$A$5:$B$71,2,0)</f>
        <v>REAR COVER</v>
      </c>
      <c r="Z86">
        <v>87082900</v>
      </c>
      <c r="AA86">
        <v>55</v>
      </c>
      <c r="AB86" t="s">
        <v>159</v>
      </c>
      <c r="AC86">
        <v>165.65</v>
      </c>
      <c r="AD86" t="s">
        <v>160</v>
      </c>
      <c r="AE86" s="24">
        <v>9110.75</v>
      </c>
      <c r="AF86">
        <v>0</v>
      </c>
      <c r="AG86" s="24">
        <v>9110.75</v>
      </c>
      <c r="AH86">
        <v>0</v>
      </c>
      <c r="AI86">
        <v>0</v>
      </c>
      <c r="AJ86">
        <v>0</v>
      </c>
      <c r="AK86">
        <v>0</v>
      </c>
      <c r="AL86" s="24">
        <v>9110.75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s="24">
        <v>9110.75</v>
      </c>
      <c r="AV86">
        <v>0</v>
      </c>
      <c r="AW86">
        <v>0</v>
      </c>
      <c r="AX86">
        <v>311000</v>
      </c>
      <c r="AY86" t="s">
        <v>161</v>
      </c>
      <c r="AZ86">
        <v>1.248</v>
      </c>
      <c r="BA86">
        <v>1.248</v>
      </c>
      <c r="BB86">
        <v>0</v>
      </c>
      <c r="BC86" t="s">
        <v>235</v>
      </c>
      <c r="BD86">
        <v>1511</v>
      </c>
      <c r="BE86" t="s">
        <v>174</v>
      </c>
      <c r="BF86">
        <v>5094094590</v>
      </c>
      <c r="BG86" t="s">
        <v>333</v>
      </c>
    </row>
    <row r="87" spans="1:59">
      <c r="A87">
        <v>1115</v>
      </c>
      <c r="B87">
        <v>1115</v>
      </c>
      <c r="C87">
        <v>10</v>
      </c>
      <c r="D87">
        <v>2</v>
      </c>
      <c r="E87" t="s">
        <v>152</v>
      </c>
      <c r="F87" t="s">
        <v>153</v>
      </c>
      <c r="G87" t="s">
        <v>154</v>
      </c>
      <c r="H87">
        <v>1526005856</v>
      </c>
      <c r="I87">
        <v>1000006122</v>
      </c>
      <c r="L87" t="s">
        <v>333</v>
      </c>
      <c r="M87">
        <v>5100001100</v>
      </c>
      <c r="N87" t="s">
        <v>155</v>
      </c>
      <c r="O87" t="s">
        <v>156</v>
      </c>
      <c r="P87">
        <v>4110004652</v>
      </c>
      <c r="Q87" t="s">
        <v>177</v>
      </c>
      <c r="R87">
        <v>5000</v>
      </c>
      <c r="S87" t="s">
        <v>166</v>
      </c>
      <c r="V87" t="s">
        <v>167</v>
      </c>
      <c r="W87">
        <v>1502040164</v>
      </c>
      <c r="X87" t="s">
        <v>236</v>
      </c>
      <c r="Y87" t="str">
        <f>VLOOKUP(W87,Sheet4!$A$5:$B$71,2,0)</f>
        <v>REAR COVER</v>
      </c>
      <c r="Z87">
        <v>87082900</v>
      </c>
      <c r="AA87">
        <v>55</v>
      </c>
      <c r="AB87" t="s">
        <v>159</v>
      </c>
      <c r="AC87">
        <v>160.52000000000001</v>
      </c>
      <c r="AD87" t="s">
        <v>160</v>
      </c>
      <c r="AE87" s="24">
        <v>8828.6</v>
      </c>
      <c r="AF87">
        <v>0</v>
      </c>
      <c r="AG87" s="24">
        <v>8828.6</v>
      </c>
      <c r="AH87">
        <v>0</v>
      </c>
      <c r="AI87">
        <v>0</v>
      </c>
      <c r="AJ87">
        <v>0</v>
      </c>
      <c r="AK87">
        <v>0</v>
      </c>
      <c r="AL87" s="24">
        <v>8828.6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s="24">
        <v>8828.6</v>
      </c>
      <c r="AV87">
        <v>0</v>
      </c>
      <c r="AW87">
        <v>0</v>
      </c>
      <c r="AX87">
        <v>311000</v>
      </c>
      <c r="AY87" t="s">
        <v>161</v>
      </c>
      <c r="AZ87">
        <v>1.1659999999999999</v>
      </c>
      <c r="BA87">
        <v>1.1659999999999999</v>
      </c>
      <c r="BB87">
        <v>0</v>
      </c>
      <c r="BC87" t="s">
        <v>237</v>
      </c>
      <c r="BD87">
        <v>1511</v>
      </c>
      <c r="BE87" t="s">
        <v>174</v>
      </c>
      <c r="BF87">
        <v>5094094589</v>
      </c>
      <c r="BG87" t="s">
        <v>333</v>
      </c>
    </row>
    <row r="88" spans="1:59">
      <c r="A88">
        <v>1115</v>
      </c>
      <c r="B88">
        <v>1115</v>
      </c>
      <c r="C88">
        <v>10</v>
      </c>
      <c r="D88">
        <v>2</v>
      </c>
      <c r="E88" t="s">
        <v>152</v>
      </c>
      <c r="F88" t="s">
        <v>153</v>
      </c>
      <c r="G88" t="s">
        <v>154</v>
      </c>
      <c r="H88">
        <v>1526005855</v>
      </c>
      <c r="I88">
        <v>1000006121</v>
      </c>
      <c r="L88" t="s">
        <v>333</v>
      </c>
      <c r="M88">
        <v>5100001100</v>
      </c>
      <c r="N88" t="s">
        <v>155</v>
      </c>
      <c r="O88" t="s">
        <v>156</v>
      </c>
      <c r="P88">
        <v>4110004652</v>
      </c>
      <c r="Q88" t="s">
        <v>177</v>
      </c>
      <c r="R88">
        <v>5000</v>
      </c>
      <c r="S88" t="s">
        <v>166</v>
      </c>
      <c r="V88" t="s">
        <v>167</v>
      </c>
      <c r="W88">
        <v>1502040164</v>
      </c>
      <c r="X88" t="s">
        <v>236</v>
      </c>
      <c r="Y88" t="str">
        <f>VLOOKUP(W88,Sheet4!$A$5:$B$71,2,0)</f>
        <v>REAR COVER</v>
      </c>
      <c r="Z88">
        <v>87082900</v>
      </c>
      <c r="AA88">
        <v>80</v>
      </c>
      <c r="AB88" t="s">
        <v>159</v>
      </c>
      <c r="AC88">
        <v>160.52000000000001</v>
      </c>
      <c r="AD88" t="s">
        <v>160</v>
      </c>
      <c r="AE88" s="24">
        <v>12841.6</v>
      </c>
      <c r="AF88">
        <v>0</v>
      </c>
      <c r="AG88" s="24">
        <v>12841.6</v>
      </c>
      <c r="AH88">
        <v>0</v>
      </c>
      <c r="AI88">
        <v>0</v>
      </c>
      <c r="AJ88">
        <v>0</v>
      </c>
      <c r="AK88">
        <v>0</v>
      </c>
      <c r="AL88" s="24">
        <v>12841.6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s="24">
        <v>12841.6</v>
      </c>
      <c r="AV88">
        <v>0</v>
      </c>
      <c r="AW88">
        <v>0</v>
      </c>
      <c r="AX88">
        <v>311000</v>
      </c>
      <c r="AY88" t="s">
        <v>161</v>
      </c>
      <c r="AZ88">
        <v>1.1659999999999999</v>
      </c>
      <c r="BA88">
        <v>1.1659999999999999</v>
      </c>
      <c r="BB88">
        <v>0</v>
      </c>
      <c r="BC88" t="s">
        <v>237</v>
      </c>
      <c r="BD88">
        <v>1511</v>
      </c>
      <c r="BE88" t="s">
        <v>174</v>
      </c>
      <c r="BF88" t="s">
        <v>163</v>
      </c>
      <c r="BG88" t="s">
        <v>164</v>
      </c>
    </row>
    <row r="89" spans="1:59">
      <c r="A89">
        <v>1115</v>
      </c>
      <c r="B89">
        <v>1115</v>
      </c>
      <c r="C89">
        <v>10</v>
      </c>
      <c r="D89">
        <v>2</v>
      </c>
      <c r="E89" t="s">
        <v>152</v>
      </c>
      <c r="F89" t="s">
        <v>153</v>
      </c>
      <c r="G89" t="s">
        <v>154</v>
      </c>
      <c r="H89">
        <v>1526005854</v>
      </c>
      <c r="I89">
        <v>1000006118</v>
      </c>
      <c r="L89" t="s">
        <v>333</v>
      </c>
      <c r="M89">
        <v>5100001636</v>
      </c>
      <c r="N89" t="s">
        <v>155</v>
      </c>
      <c r="O89" t="s">
        <v>156</v>
      </c>
      <c r="P89">
        <v>4110026445</v>
      </c>
      <c r="Q89" t="s">
        <v>170</v>
      </c>
      <c r="R89">
        <v>5000</v>
      </c>
      <c r="S89" t="s">
        <v>166</v>
      </c>
      <c r="V89" t="s">
        <v>167</v>
      </c>
      <c r="W89">
        <v>1502020101</v>
      </c>
      <c r="X89" t="s">
        <v>25</v>
      </c>
      <c r="Y89" t="str">
        <f>VLOOKUP(W89,Sheet4!$A$5:$B$71,2,0)</f>
        <v>RE STYLING</v>
      </c>
      <c r="Z89">
        <v>87082900</v>
      </c>
      <c r="AA89">
        <v>15</v>
      </c>
      <c r="AB89" t="s">
        <v>159</v>
      </c>
      <c r="AC89" s="24">
        <v>6240.88</v>
      </c>
      <c r="AD89" t="s">
        <v>160</v>
      </c>
      <c r="AE89" s="24">
        <v>93613.2</v>
      </c>
      <c r="AF89">
        <v>0</v>
      </c>
      <c r="AG89" s="24">
        <v>93613.2</v>
      </c>
      <c r="AH89">
        <v>0</v>
      </c>
      <c r="AI89">
        <v>0</v>
      </c>
      <c r="AJ89">
        <v>0</v>
      </c>
      <c r="AK89">
        <v>0</v>
      </c>
      <c r="AL89" s="24">
        <v>93613.2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s="24">
        <v>93613.2</v>
      </c>
      <c r="AV89">
        <v>0</v>
      </c>
      <c r="AW89">
        <v>0</v>
      </c>
      <c r="AX89">
        <v>311000</v>
      </c>
      <c r="AY89" t="s">
        <v>161</v>
      </c>
      <c r="AZ89">
        <v>58</v>
      </c>
      <c r="BA89">
        <v>58</v>
      </c>
      <c r="BB89">
        <v>0</v>
      </c>
      <c r="BC89" t="s">
        <v>208</v>
      </c>
      <c r="BD89">
        <v>1509</v>
      </c>
      <c r="BE89" t="s">
        <v>169</v>
      </c>
      <c r="BF89">
        <v>5094107388</v>
      </c>
      <c r="BG89" t="s">
        <v>334</v>
      </c>
    </row>
    <row r="90" spans="1:59">
      <c r="A90">
        <v>1115</v>
      </c>
      <c r="B90">
        <v>1115</v>
      </c>
      <c r="C90">
        <v>10</v>
      </c>
      <c r="D90">
        <v>2</v>
      </c>
      <c r="E90" t="s">
        <v>152</v>
      </c>
      <c r="F90" t="s">
        <v>153</v>
      </c>
      <c r="G90" t="s">
        <v>154</v>
      </c>
      <c r="H90">
        <v>1526005853</v>
      </c>
      <c r="I90">
        <v>1000006117</v>
      </c>
      <c r="L90" t="s">
        <v>333</v>
      </c>
      <c r="M90">
        <v>5100001636</v>
      </c>
      <c r="N90" t="s">
        <v>155</v>
      </c>
      <c r="O90" t="s">
        <v>156</v>
      </c>
      <c r="P90">
        <v>4110026445</v>
      </c>
      <c r="Q90" t="s">
        <v>170</v>
      </c>
      <c r="R90">
        <v>5000</v>
      </c>
      <c r="S90" t="s">
        <v>166</v>
      </c>
      <c r="V90" t="s">
        <v>167</v>
      </c>
      <c r="W90">
        <v>1502020101</v>
      </c>
      <c r="X90" t="s">
        <v>25</v>
      </c>
      <c r="Y90" t="str">
        <f>VLOOKUP(W90,Sheet4!$A$5:$B$71,2,0)</f>
        <v>RE STYLING</v>
      </c>
      <c r="Z90">
        <v>87082900</v>
      </c>
      <c r="AA90">
        <v>15</v>
      </c>
      <c r="AB90" t="s">
        <v>159</v>
      </c>
      <c r="AC90" s="24">
        <v>6240.88</v>
      </c>
      <c r="AD90" t="s">
        <v>160</v>
      </c>
      <c r="AE90" s="24">
        <v>93613.2</v>
      </c>
      <c r="AF90">
        <v>0</v>
      </c>
      <c r="AG90" s="24">
        <v>93613.2</v>
      </c>
      <c r="AH90">
        <v>0</v>
      </c>
      <c r="AI90">
        <v>0</v>
      </c>
      <c r="AJ90">
        <v>0</v>
      </c>
      <c r="AK90">
        <v>0</v>
      </c>
      <c r="AL90" s="24">
        <v>93613.2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s="24">
        <v>93613.2</v>
      </c>
      <c r="AV90">
        <v>0</v>
      </c>
      <c r="AW90">
        <v>0</v>
      </c>
      <c r="AX90">
        <v>311000</v>
      </c>
      <c r="AY90" t="s">
        <v>161</v>
      </c>
      <c r="AZ90">
        <v>58</v>
      </c>
      <c r="BA90">
        <v>58</v>
      </c>
      <c r="BB90">
        <v>0</v>
      </c>
      <c r="BC90" t="s">
        <v>208</v>
      </c>
      <c r="BD90">
        <v>1509</v>
      </c>
      <c r="BE90" t="s">
        <v>169</v>
      </c>
      <c r="BF90">
        <v>5094107316</v>
      </c>
      <c r="BG90" t="s">
        <v>334</v>
      </c>
    </row>
    <row r="91" spans="1:59">
      <c r="A91">
        <v>1115</v>
      </c>
      <c r="B91">
        <v>1115</v>
      </c>
      <c r="C91">
        <v>10</v>
      </c>
      <c r="D91">
        <v>2</v>
      </c>
      <c r="E91" t="s">
        <v>152</v>
      </c>
      <c r="F91" t="s">
        <v>153</v>
      </c>
      <c r="G91" t="s">
        <v>154</v>
      </c>
      <c r="H91">
        <v>1526005852</v>
      </c>
      <c r="I91">
        <v>1000006116</v>
      </c>
      <c r="L91" t="s">
        <v>333</v>
      </c>
      <c r="M91">
        <v>5100001666</v>
      </c>
      <c r="N91" t="s">
        <v>155</v>
      </c>
      <c r="O91" t="s">
        <v>156</v>
      </c>
      <c r="P91">
        <v>4110027035</v>
      </c>
      <c r="Q91" t="s">
        <v>225</v>
      </c>
      <c r="R91">
        <v>5000</v>
      </c>
      <c r="S91" t="s">
        <v>166</v>
      </c>
      <c r="V91" t="s">
        <v>167</v>
      </c>
      <c r="W91">
        <v>1502020105</v>
      </c>
      <c r="X91" t="s">
        <v>226</v>
      </c>
      <c r="Y91" t="str">
        <f>VLOOKUP(W91,Sheet4!$A$5:$B$71,2,0)</f>
        <v>RE STYLING</v>
      </c>
      <c r="Z91">
        <v>87082900</v>
      </c>
      <c r="AA91">
        <v>15</v>
      </c>
      <c r="AB91" t="s">
        <v>159</v>
      </c>
      <c r="AC91" s="24">
        <v>6570.77</v>
      </c>
      <c r="AD91" t="s">
        <v>160</v>
      </c>
      <c r="AE91" s="24">
        <v>98561.55</v>
      </c>
      <c r="AF91">
        <v>0</v>
      </c>
      <c r="AG91" s="24">
        <v>98561.55</v>
      </c>
      <c r="AH91">
        <v>0</v>
      </c>
      <c r="AI91">
        <v>0</v>
      </c>
      <c r="AJ91">
        <v>0</v>
      </c>
      <c r="AK91">
        <v>0</v>
      </c>
      <c r="AL91" s="24">
        <v>98561.55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s="24">
        <v>98561.55</v>
      </c>
      <c r="AV91">
        <v>0</v>
      </c>
      <c r="AW91">
        <v>0</v>
      </c>
      <c r="AX91">
        <v>311000</v>
      </c>
      <c r="AY91" t="s">
        <v>161</v>
      </c>
      <c r="AZ91">
        <v>49.75</v>
      </c>
      <c r="BA91">
        <v>49.75</v>
      </c>
      <c r="BB91">
        <v>0</v>
      </c>
      <c r="BC91" t="s">
        <v>227</v>
      </c>
      <c r="BD91">
        <v>1509</v>
      </c>
      <c r="BE91" t="s">
        <v>169</v>
      </c>
      <c r="BF91">
        <v>5094098565</v>
      </c>
      <c r="BG91" t="s">
        <v>333</v>
      </c>
    </row>
    <row r="92" spans="1:59">
      <c r="A92">
        <v>1115</v>
      </c>
      <c r="B92">
        <v>1115</v>
      </c>
      <c r="C92">
        <v>10</v>
      </c>
      <c r="D92">
        <v>2</v>
      </c>
      <c r="E92" t="s">
        <v>152</v>
      </c>
      <c r="F92" t="s">
        <v>153</v>
      </c>
      <c r="G92" t="s">
        <v>154</v>
      </c>
      <c r="H92">
        <v>1526005851</v>
      </c>
      <c r="I92">
        <v>1000006115</v>
      </c>
      <c r="L92" t="s">
        <v>333</v>
      </c>
      <c r="M92">
        <v>5100001899</v>
      </c>
      <c r="N92" t="s">
        <v>155</v>
      </c>
      <c r="O92" t="s">
        <v>156</v>
      </c>
      <c r="P92">
        <v>4110041854</v>
      </c>
      <c r="Q92" t="s">
        <v>172</v>
      </c>
      <c r="R92">
        <v>5000</v>
      </c>
      <c r="S92" t="s">
        <v>166</v>
      </c>
      <c r="V92" t="s">
        <v>167</v>
      </c>
      <c r="W92">
        <v>1502040267</v>
      </c>
      <c r="X92" t="s">
        <v>63</v>
      </c>
      <c r="Y92" t="str">
        <f>VLOOKUP(W92,Sheet4!$A$5:$B$71,2,0)</f>
        <v>DASH BOARD</v>
      </c>
      <c r="Z92">
        <v>87082900</v>
      </c>
      <c r="AA92">
        <v>416</v>
      </c>
      <c r="AB92" t="s">
        <v>159</v>
      </c>
      <c r="AC92">
        <v>290.89999999999998</v>
      </c>
      <c r="AD92" t="s">
        <v>160</v>
      </c>
      <c r="AE92" s="24">
        <v>121014.39999999999</v>
      </c>
      <c r="AF92">
        <v>0</v>
      </c>
      <c r="AG92" s="24">
        <v>121014.39999999999</v>
      </c>
      <c r="AH92">
        <v>0</v>
      </c>
      <c r="AI92">
        <v>0</v>
      </c>
      <c r="AJ92">
        <v>0</v>
      </c>
      <c r="AK92">
        <v>0</v>
      </c>
      <c r="AL92" s="24">
        <v>121014.39999999999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s="24">
        <v>121014.39999999999</v>
      </c>
      <c r="AV92">
        <v>0</v>
      </c>
      <c r="AW92">
        <v>0</v>
      </c>
      <c r="AX92">
        <v>311000</v>
      </c>
      <c r="AY92" t="s">
        <v>161</v>
      </c>
      <c r="AZ92">
        <v>4.5</v>
      </c>
      <c r="BA92">
        <v>4.5</v>
      </c>
      <c r="BB92">
        <v>0</v>
      </c>
      <c r="BC92" t="s">
        <v>173</v>
      </c>
      <c r="BD92">
        <v>1511</v>
      </c>
      <c r="BE92" t="s">
        <v>174</v>
      </c>
      <c r="BF92">
        <v>5094127541</v>
      </c>
      <c r="BG92" t="s">
        <v>334</v>
      </c>
    </row>
    <row r="93" spans="1:59">
      <c r="A93">
        <v>1115</v>
      </c>
      <c r="B93">
        <v>1115</v>
      </c>
      <c r="C93">
        <v>10</v>
      </c>
      <c r="D93">
        <v>2</v>
      </c>
      <c r="E93" t="s">
        <v>152</v>
      </c>
      <c r="F93" t="s">
        <v>153</v>
      </c>
      <c r="G93" t="s">
        <v>154</v>
      </c>
      <c r="H93">
        <v>1526005850</v>
      </c>
      <c r="I93">
        <v>1000006111</v>
      </c>
      <c r="L93" t="s">
        <v>333</v>
      </c>
      <c r="M93">
        <v>5100001666</v>
      </c>
      <c r="N93" t="s">
        <v>155</v>
      </c>
      <c r="O93" t="s">
        <v>156</v>
      </c>
      <c r="P93">
        <v>4110027035</v>
      </c>
      <c r="Q93" t="s">
        <v>225</v>
      </c>
      <c r="R93">
        <v>5000</v>
      </c>
      <c r="S93" t="s">
        <v>166</v>
      </c>
      <c r="V93" t="s">
        <v>167</v>
      </c>
      <c r="W93">
        <v>1502020105</v>
      </c>
      <c r="X93" t="s">
        <v>226</v>
      </c>
      <c r="Y93" t="str">
        <f>VLOOKUP(W93,Sheet4!$A$5:$B$71,2,0)</f>
        <v>RE STYLING</v>
      </c>
      <c r="Z93">
        <v>87082900</v>
      </c>
      <c r="AA93">
        <v>15</v>
      </c>
      <c r="AB93" t="s">
        <v>159</v>
      </c>
      <c r="AC93" s="24">
        <v>6570.77</v>
      </c>
      <c r="AD93" t="s">
        <v>160</v>
      </c>
      <c r="AE93" s="24">
        <v>98561.55</v>
      </c>
      <c r="AF93">
        <v>0</v>
      </c>
      <c r="AG93" s="24">
        <v>98561.55</v>
      </c>
      <c r="AH93">
        <v>0</v>
      </c>
      <c r="AI93">
        <v>0</v>
      </c>
      <c r="AJ93">
        <v>0</v>
      </c>
      <c r="AK93">
        <v>0</v>
      </c>
      <c r="AL93" s="24">
        <v>98561.55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s="24">
        <v>98561.55</v>
      </c>
      <c r="AV93">
        <v>0</v>
      </c>
      <c r="AW93">
        <v>0</v>
      </c>
      <c r="AX93">
        <v>311000</v>
      </c>
      <c r="AY93" t="s">
        <v>161</v>
      </c>
      <c r="AZ93">
        <v>49.75</v>
      </c>
      <c r="BA93">
        <v>49.75</v>
      </c>
      <c r="BB93">
        <v>0</v>
      </c>
      <c r="BC93" t="s">
        <v>227</v>
      </c>
      <c r="BD93">
        <v>1509</v>
      </c>
      <c r="BE93" t="s">
        <v>169</v>
      </c>
      <c r="BF93">
        <v>5094098393</v>
      </c>
      <c r="BG93" t="s">
        <v>333</v>
      </c>
    </row>
    <row r="94" spans="1:59">
      <c r="A94">
        <v>1115</v>
      </c>
      <c r="B94">
        <v>1115</v>
      </c>
      <c r="C94">
        <v>10</v>
      </c>
      <c r="D94">
        <v>2</v>
      </c>
      <c r="E94" t="s">
        <v>152</v>
      </c>
      <c r="F94" t="s">
        <v>153</v>
      </c>
      <c r="G94" t="s">
        <v>154</v>
      </c>
      <c r="H94">
        <v>1526005849</v>
      </c>
      <c r="I94">
        <v>1000006110</v>
      </c>
      <c r="L94" t="s">
        <v>333</v>
      </c>
      <c r="M94">
        <v>5100001928</v>
      </c>
      <c r="N94" t="s">
        <v>155</v>
      </c>
      <c r="O94" t="s">
        <v>156</v>
      </c>
      <c r="P94">
        <v>4110057393</v>
      </c>
      <c r="Q94" t="s">
        <v>192</v>
      </c>
      <c r="R94">
        <v>5000</v>
      </c>
      <c r="S94" t="s">
        <v>166</v>
      </c>
      <c r="V94" t="s">
        <v>167</v>
      </c>
      <c r="W94">
        <v>1502020122</v>
      </c>
      <c r="X94" t="s">
        <v>70</v>
      </c>
      <c r="Y94" t="str">
        <f>VLOOKUP(W94,Sheet4!$A$5:$B$71,2,0)</f>
        <v>MAX UG NEW EV</v>
      </c>
      <c r="Z94">
        <v>87082900</v>
      </c>
      <c r="AA94">
        <v>10</v>
      </c>
      <c r="AB94" t="s">
        <v>159</v>
      </c>
      <c r="AC94" s="24">
        <v>9566.51</v>
      </c>
      <c r="AD94" t="s">
        <v>160</v>
      </c>
      <c r="AE94" s="24">
        <v>95665.1</v>
      </c>
      <c r="AF94">
        <v>0</v>
      </c>
      <c r="AG94" s="24">
        <v>95665.1</v>
      </c>
      <c r="AH94">
        <v>0</v>
      </c>
      <c r="AI94">
        <v>0</v>
      </c>
      <c r="AJ94">
        <v>0</v>
      </c>
      <c r="AK94">
        <v>0</v>
      </c>
      <c r="AL94" s="24">
        <v>95665.1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s="24">
        <v>95665.1</v>
      </c>
      <c r="AV94">
        <v>0</v>
      </c>
      <c r="AW94">
        <v>0</v>
      </c>
      <c r="AX94">
        <v>311000</v>
      </c>
      <c r="AY94" t="s">
        <v>161</v>
      </c>
      <c r="AZ94">
        <v>0</v>
      </c>
      <c r="BA94">
        <v>61</v>
      </c>
      <c r="BB94">
        <v>-61</v>
      </c>
      <c r="BC94" t="s">
        <v>193</v>
      </c>
      <c r="BD94">
        <v>1509</v>
      </c>
      <c r="BE94" t="s">
        <v>169</v>
      </c>
      <c r="BF94">
        <v>5094094564</v>
      </c>
      <c r="BG94" t="s">
        <v>333</v>
      </c>
    </row>
    <row r="95" spans="1:59">
      <c r="A95">
        <v>1115</v>
      </c>
      <c r="B95">
        <v>1115</v>
      </c>
      <c r="C95">
        <v>10</v>
      </c>
      <c r="D95">
        <v>2</v>
      </c>
      <c r="E95" t="s">
        <v>152</v>
      </c>
      <c r="F95" t="s">
        <v>153</v>
      </c>
      <c r="G95" t="s">
        <v>154</v>
      </c>
      <c r="H95">
        <v>1526005848</v>
      </c>
      <c r="I95">
        <v>1000006109</v>
      </c>
      <c r="L95" t="s">
        <v>333</v>
      </c>
      <c r="M95">
        <v>5100001928</v>
      </c>
      <c r="N95" t="s">
        <v>155</v>
      </c>
      <c r="O95" t="s">
        <v>156</v>
      </c>
      <c r="P95">
        <v>4110057393</v>
      </c>
      <c r="Q95" t="s">
        <v>192</v>
      </c>
      <c r="R95">
        <v>5000</v>
      </c>
      <c r="S95" t="s">
        <v>166</v>
      </c>
      <c r="V95" t="s">
        <v>167</v>
      </c>
      <c r="W95">
        <v>1502020122</v>
      </c>
      <c r="X95" t="s">
        <v>70</v>
      </c>
      <c r="Y95" t="str">
        <f>VLOOKUP(W95,Sheet4!$A$5:$B$71,2,0)</f>
        <v>MAX UG NEW EV</v>
      </c>
      <c r="Z95">
        <v>87082900</v>
      </c>
      <c r="AA95">
        <v>10</v>
      </c>
      <c r="AB95" t="s">
        <v>159</v>
      </c>
      <c r="AC95" s="24">
        <v>9566.51</v>
      </c>
      <c r="AD95" t="s">
        <v>160</v>
      </c>
      <c r="AE95" s="24">
        <v>95665.1</v>
      </c>
      <c r="AF95">
        <v>0</v>
      </c>
      <c r="AG95" s="24">
        <v>95665.1</v>
      </c>
      <c r="AH95">
        <v>0</v>
      </c>
      <c r="AI95">
        <v>0</v>
      </c>
      <c r="AJ95">
        <v>0</v>
      </c>
      <c r="AK95">
        <v>0</v>
      </c>
      <c r="AL95" s="24">
        <v>95665.1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s="24">
        <v>95665.1</v>
      </c>
      <c r="AV95">
        <v>0</v>
      </c>
      <c r="AW95">
        <v>0</v>
      </c>
      <c r="AX95">
        <v>311000</v>
      </c>
      <c r="AY95" t="s">
        <v>161</v>
      </c>
      <c r="AZ95">
        <v>0</v>
      </c>
      <c r="BA95">
        <v>61</v>
      </c>
      <c r="BB95">
        <v>-61</v>
      </c>
      <c r="BC95" t="s">
        <v>193</v>
      </c>
      <c r="BD95">
        <v>1509</v>
      </c>
      <c r="BE95" t="s">
        <v>169</v>
      </c>
      <c r="BF95">
        <v>5094096326</v>
      </c>
      <c r="BG95" t="s">
        <v>333</v>
      </c>
    </row>
    <row r="96" spans="1:59">
      <c r="A96">
        <v>1115</v>
      </c>
      <c r="B96">
        <v>1115</v>
      </c>
      <c r="C96">
        <v>10</v>
      </c>
      <c r="D96">
        <v>2</v>
      </c>
      <c r="E96" t="s">
        <v>152</v>
      </c>
      <c r="F96" t="s">
        <v>153</v>
      </c>
      <c r="G96" t="s">
        <v>154</v>
      </c>
      <c r="H96">
        <v>1526005846</v>
      </c>
      <c r="I96">
        <v>1000006107</v>
      </c>
      <c r="L96" t="s">
        <v>333</v>
      </c>
      <c r="M96">
        <v>5100001666</v>
      </c>
      <c r="N96" t="s">
        <v>155</v>
      </c>
      <c r="O96" t="s">
        <v>156</v>
      </c>
      <c r="P96">
        <v>4110027035</v>
      </c>
      <c r="Q96" t="s">
        <v>225</v>
      </c>
      <c r="R96">
        <v>5000</v>
      </c>
      <c r="S96" t="s">
        <v>166</v>
      </c>
      <c r="V96" t="s">
        <v>167</v>
      </c>
      <c r="W96">
        <v>1502020105</v>
      </c>
      <c r="X96" t="s">
        <v>226</v>
      </c>
      <c r="Y96" t="str">
        <f>VLOOKUP(W96,Sheet4!$A$5:$B$71,2,0)</f>
        <v>RE STYLING</v>
      </c>
      <c r="Z96">
        <v>87082900</v>
      </c>
      <c r="AA96">
        <v>15</v>
      </c>
      <c r="AB96" t="s">
        <v>159</v>
      </c>
      <c r="AC96" s="24">
        <v>6570.77</v>
      </c>
      <c r="AD96" t="s">
        <v>160</v>
      </c>
      <c r="AE96" s="24">
        <v>98561.55</v>
      </c>
      <c r="AF96">
        <v>0</v>
      </c>
      <c r="AG96" s="24">
        <v>98561.55</v>
      </c>
      <c r="AH96">
        <v>0</v>
      </c>
      <c r="AI96">
        <v>0</v>
      </c>
      <c r="AJ96">
        <v>0</v>
      </c>
      <c r="AK96">
        <v>0</v>
      </c>
      <c r="AL96" s="24">
        <v>98561.55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s="24">
        <v>98561.55</v>
      </c>
      <c r="AV96">
        <v>0</v>
      </c>
      <c r="AW96">
        <v>0</v>
      </c>
      <c r="AX96">
        <v>311000</v>
      </c>
      <c r="AY96" t="s">
        <v>161</v>
      </c>
      <c r="AZ96">
        <v>49.75</v>
      </c>
      <c r="BA96">
        <v>49.75</v>
      </c>
      <c r="BB96">
        <v>0</v>
      </c>
      <c r="BC96" t="s">
        <v>227</v>
      </c>
      <c r="BD96">
        <v>1509</v>
      </c>
      <c r="BE96" t="s">
        <v>169</v>
      </c>
      <c r="BF96">
        <v>5094098122</v>
      </c>
      <c r="BG96" t="s">
        <v>333</v>
      </c>
    </row>
    <row r="97" spans="1:59">
      <c r="A97">
        <v>1115</v>
      </c>
      <c r="B97">
        <v>1115</v>
      </c>
      <c r="C97">
        <v>10</v>
      </c>
      <c r="D97">
        <v>2</v>
      </c>
      <c r="E97" t="s">
        <v>152</v>
      </c>
      <c r="F97" t="s">
        <v>153</v>
      </c>
      <c r="G97" t="s">
        <v>154</v>
      </c>
      <c r="H97">
        <v>1526005845</v>
      </c>
      <c r="I97">
        <v>1000006106</v>
      </c>
      <c r="L97" t="s">
        <v>333</v>
      </c>
      <c r="M97">
        <v>5100001666</v>
      </c>
      <c r="N97" t="s">
        <v>155</v>
      </c>
      <c r="O97" t="s">
        <v>156</v>
      </c>
      <c r="P97">
        <v>4110027035</v>
      </c>
      <c r="Q97" t="s">
        <v>225</v>
      </c>
      <c r="R97">
        <v>5000</v>
      </c>
      <c r="S97" t="s">
        <v>166</v>
      </c>
      <c r="V97" t="s">
        <v>167</v>
      </c>
      <c r="W97">
        <v>1502020105</v>
      </c>
      <c r="X97" t="s">
        <v>226</v>
      </c>
      <c r="Y97" t="str">
        <f>VLOOKUP(W97,Sheet4!$A$5:$B$71,2,0)</f>
        <v>RE STYLING</v>
      </c>
      <c r="Z97">
        <v>87082900</v>
      </c>
      <c r="AA97">
        <v>15</v>
      </c>
      <c r="AB97" t="s">
        <v>159</v>
      </c>
      <c r="AC97" s="24">
        <v>6570.77</v>
      </c>
      <c r="AD97" t="s">
        <v>160</v>
      </c>
      <c r="AE97" s="24">
        <v>98561.55</v>
      </c>
      <c r="AF97">
        <v>0</v>
      </c>
      <c r="AG97" s="24">
        <v>98561.55</v>
      </c>
      <c r="AH97">
        <v>0</v>
      </c>
      <c r="AI97">
        <v>0</v>
      </c>
      <c r="AJ97">
        <v>0</v>
      </c>
      <c r="AK97">
        <v>0</v>
      </c>
      <c r="AL97" s="24">
        <v>98561.55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s="24">
        <v>98561.55</v>
      </c>
      <c r="AV97">
        <v>0</v>
      </c>
      <c r="AW97">
        <v>0</v>
      </c>
      <c r="AX97">
        <v>311000</v>
      </c>
      <c r="AY97" t="s">
        <v>161</v>
      </c>
      <c r="AZ97">
        <v>49.75</v>
      </c>
      <c r="BA97">
        <v>49.75</v>
      </c>
      <c r="BB97">
        <v>0</v>
      </c>
      <c r="BC97" t="s">
        <v>227</v>
      </c>
      <c r="BD97">
        <v>1509</v>
      </c>
      <c r="BE97" t="s">
        <v>169</v>
      </c>
      <c r="BF97">
        <v>5094097830</v>
      </c>
      <c r="BG97" t="s">
        <v>333</v>
      </c>
    </row>
    <row r="98" spans="1:59">
      <c r="A98">
        <v>1115</v>
      </c>
      <c r="B98">
        <v>1115</v>
      </c>
      <c r="C98">
        <v>10</v>
      </c>
      <c r="D98">
        <v>2</v>
      </c>
      <c r="E98" t="s">
        <v>152</v>
      </c>
      <c r="F98" t="s">
        <v>153</v>
      </c>
      <c r="G98" t="s">
        <v>154</v>
      </c>
      <c r="H98">
        <v>1526005844</v>
      </c>
      <c r="I98">
        <v>1000006105</v>
      </c>
      <c r="L98" t="s">
        <v>333</v>
      </c>
      <c r="M98">
        <v>5100001666</v>
      </c>
      <c r="N98" t="s">
        <v>155</v>
      </c>
      <c r="O98" t="s">
        <v>156</v>
      </c>
      <c r="P98">
        <v>4110027035</v>
      </c>
      <c r="Q98" t="s">
        <v>225</v>
      </c>
      <c r="R98">
        <v>5000</v>
      </c>
      <c r="S98" t="s">
        <v>166</v>
      </c>
      <c r="V98" t="s">
        <v>167</v>
      </c>
      <c r="W98">
        <v>1502020105</v>
      </c>
      <c r="X98" t="s">
        <v>226</v>
      </c>
      <c r="Y98" t="str">
        <f>VLOOKUP(W98,Sheet4!$A$5:$B$71,2,0)</f>
        <v>RE STYLING</v>
      </c>
      <c r="Z98">
        <v>87082900</v>
      </c>
      <c r="AA98">
        <v>15</v>
      </c>
      <c r="AB98" t="s">
        <v>159</v>
      </c>
      <c r="AC98" s="24">
        <v>6570.77</v>
      </c>
      <c r="AD98" t="s">
        <v>160</v>
      </c>
      <c r="AE98" s="24">
        <v>98561.55</v>
      </c>
      <c r="AF98">
        <v>0</v>
      </c>
      <c r="AG98" s="24">
        <v>98561.55</v>
      </c>
      <c r="AH98">
        <v>0</v>
      </c>
      <c r="AI98">
        <v>0</v>
      </c>
      <c r="AJ98">
        <v>0</v>
      </c>
      <c r="AK98">
        <v>0</v>
      </c>
      <c r="AL98" s="24">
        <v>98561.55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s="24">
        <v>98561.55</v>
      </c>
      <c r="AV98">
        <v>0</v>
      </c>
      <c r="AW98">
        <v>0</v>
      </c>
      <c r="AX98">
        <v>311000</v>
      </c>
      <c r="AY98" t="s">
        <v>161</v>
      </c>
      <c r="AZ98">
        <v>49.75</v>
      </c>
      <c r="BA98">
        <v>49.75</v>
      </c>
      <c r="BB98">
        <v>0</v>
      </c>
      <c r="BC98" t="s">
        <v>227</v>
      </c>
      <c r="BD98">
        <v>1509</v>
      </c>
      <c r="BE98" t="s">
        <v>169</v>
      </c>
      <c r="BF98">
        <v>5094097995</v>
      </c>
      <c r="BG98" t="s">
        <v>333</v>
      </c>
    </row>
    <row r="99" spans="1:59">
      <c r="A99">
        <v>1115</v>
      </c>
      <c r="B99">
        <v>1115</v>
      </c>
      <c r="C99">
        <v>10</v>
      </c>
      <c r="D99">
        <v>2</v>
      </c>
      <c r="E99" t="s">
        <v>152</v>
      </c>
      <c r="F99" t="s">
        <v>153</v>
      </c>
      <c r="G99" t="s">
        <v>154</v>
      </c>
      <c r="H99">
        <v>1526005843</v>
      </c>
      <c r="I99">
        <v>1000006098</v>
      </c>
      <c r="L99" t="s">
        <v>333</v>
      </c>
      <c r="M99">
        <v>5100001928</v>
      </c>
      <c r="N99" t="s">
        <v>155</v>
      </c>
      <c r="O99" t="s">
        <v>156</v>
      </c>
      <c r="P99">
        <v>4110057393</v>
      </c>
      <c r="Q99" t="s">
        <v>192</v>
      </c>
      <c r="R99">
        <v>5000</v>
      </c>
      <c r="S99" t="s">
        <v>166</v>
      </c>
      <c r="V99" t="s">
        <v>167</v>
      </c>
      <c r="W99">
        <v>1502020122</v>
      </c>
      <c r="X99" t="s">
        <v>70</v>
      </c>
      <c r="Y99" t="str">
        <f>VLOOKUP(W99,Sheet4!$A$5:$B$71,2,0)</f>
        <v>MAX UG NEW EV</v>
      </c>
      <c r="Z99">
        <v>87082900</v>
      </c>
      <c r="AA99">
        <v>10</v>
      </c>
      <c r="AB99" t="s">
        <v>159</v>
      </c>
      <c r="AC99" s="24">
        <v>9566.51</v>
      </c>
      <c r="AD99" t="s">
        <v>160</v>
      </c>
      <c r="AE99" s="24">
        <v>95665.1</v>
      </c>
      <c r="AF99">
        <v>0</v>
      </c>
      <c r="AG99" s="24">
        <v>95665.1</v>
      </c>
      <c r="AH99">
        <v>0</v>
      </c>
      <c r="AI99">
        <v>0</v>
      </c>
      <c r="AJ99">
        <v>0</v>
      </c>
      <c r="AK99">
        <v>0</v>
      </c>
      <c r="AL99" s="24">
        <v>95665.1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s="24">
        <v>95665.1</v>
      </c>
      <c r="AV99">
        <v>0</v>
      </c>
      <c r="AW99">
        <v>0</v>
      </c>
      <c r="AX99">
        <v>311000</v>
      </c>
      <c r="AY99" t="s">
        <v>161</v>
      </c>
      <c r="AZ99">
        <v>0</v>
      </c>
      <c r="BA99">
        <v>61</v>
      </c>
      <c r="BB99">
        <v>-61</v>
      </c>
      <c r="BC99" t="s">
        <v>193</v>
      </c>
      <c r="BD99">
        <v>1509</v>
      </c>
      <c r="BE99" t="s">
        <v>169</v>
      </c>
      <c r="BF99">
        <v>5094092904</v>
      </c>
      <c r="BG99" t="s">
        <v>333</v>
      </c>
    </row>
    <row r="100" spans="1:59">
      <c r="A100">
        <v>1115</v>
      </c>
      <c r="B100">
        <v>1115</v>
      </c>
      <c r="C100">
        <v>10</v>
      </c>
      <c r="D100">
        <v>2</v>
      </c>
      <c r="E100" t="s">
        <v>152</v>
      </c>
      <c r="F100" t="s">
        <v>153</v>
      </c>
      <c r="G100" t="s">
        <v>154</v>
      </c>
      <c r="H100">
        <v>1526005842</v>
      </c>
      <c r="I100">
        <v>1000006097</v>
      </c>
      <c r="L100" t="s">
        <v>333</v>
      </c>
      <c r="M100">
        <v>5100001603</v>
      </c>
      <c r="N100" t="s">
        <v>155</v>
      </c>
      <c r="O100" t="s">
        <v>156</v>
      </c>
      <c r="P100">
        <v>4110025468</v>
      </c>
      <c r="Q100" t="s">
        <v>165</v>
      </c>
      <c r="R100">
        <v>5000</v>
      </c>
      <c r="S100" t="s">
        <v>166</v>
      </c>
      <c r="V100" t="s">
        <v>167</v>
      </c>
      <c r="W100">
        <v>1502020102</v>
      </c>
      <c r="X100" t="s">
        <v>58</v>
      </c>
      <c r="Y100" t="str">
        <f>VLOOKUP(W100,Sheet4!$A$5:$B$71,2,0)</f>
        <v>MAXIMA HD</v>
      </c>
      <c r="Z100">
        <v>87082900</v>
      </c>
      <c r="AA100">
        <v>8</v>
      </c>
      <c r="AB100" t="s">
        <v>159</v>
      </c>
      <c r="AC100" s="24">
        <v>8593.51</v>
      </c>
      <c r="AD100" t="s">
        <v>160</v>
      </c>
      <c r="AE100" s="24">
        <v>68748.08</v>
      </c>
      <c r="AF100">
        <v>0</v>
      </c>
      <c r="AG100" s="24">
        <v>68748.08</v>
      </c>
      <c r="AH100">
        <v>0</v>
      </c>
      <c r="AI100">
        <v>0</v>
      </c>
      <c r="AJ100">
        <v>0</v>
      </c>
      <c r="AK100">
        <v>0</v>
      </c>
      <c r="AL100" s="24">
        <v>68748.08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s="24">
        <v>68748.08</v>
      </c>
      <c r="AV100">
        <v>0</v>
      </c>
      <c r="AW100">
        <v>0</v>
      </c>
      <c r="AX100">
        <v>311000</v>
      </c>
      <c r="AY100" t="s">
        <v>161</v>
      </c>
      <c r="AZ100">
        <v>93.34</v>
      </c>
      <c r="BA100">
        <v>75.430000000000007</v>
      </c>
      <c r="BB100">
        <v>17.91</v>
      </c>
      <c r="BC100" t="s">
        <v>168</v>
      </c>
      <c r="BD100">
        <v>1509</v>
      </c>
      <c r="BE100" t="s">
        <v>169</v>
      </c>
      <c r="BF100">
        <v>5094101747</v>
      </c>
      <c r="BG100" t="s">
        <v>333</v>
      </c>
    </row>
    <row r="101" spans="1:59">
      <c r="A101">
        <v>1115</v>
      </c>
      <c r="B101">
        <v>1115</v>
      </c>
      <c r="C101">
        <v>10</v>
      </c>
      <c r="D101">
        <v>2</v>
      </c>
      <c r="E101" t="s">
        <v>152</v>
      </c>
      <c r="F101" t="s">
        <v>153</v>
      </c>
      <c r="G101" t="s">
        <v>154</v>
      </c>
      <c r="H101">
        <v>1526005841</v>
      </c>
      <c r="I101">
        <v>1000006095</v>
      </c>
      <c r="L101" t="s">
        <v>333</v>
      </c>
      <c r="M101">
        <v>5100001603</v>
      </c>
      <c r="N101" t="s">
        <v>155</v>
      </c>
      <c r="O101" t="s">
        <v>156</v>
      </c>
      <c r="P101">
        <v>4110025468</v>
      </c>
      <c r="Q101" t="s">
        <v>165</v>
      </c>
      <c r="R101">
        <v>5000</v>
      </c>
      <c r="S101" t="s">
        <v>166</v>
      </c>
      <c r="V101" t="s">
        <v>167</v>
      </c>
      <c r="W101">
        <v>1502020102</v>
      </c>
      <c r="X101" t="s">
        <v>58</v>
      </c>
      <c r="Y101" t="str">
        <f>VLOOKUP(W101,Sheet4!$A$5:$B$71,2,0)</f>
        <v>MAXIMA HD</v>
      </c>
      <c r="Z101">
        <v>87082900</v>
      </c>
      <c r="AA101">
        <v>6</v>
      </c>
      <c r="AB101" t="s">
        <v>159</v>
      </c>
      <c r="AC101" s="24">
        <v>8593.51</v>
      </c>
      <c r="AD101" t="s">
        <v>160</v>
      </c>
      <c r="AE101" s="24">
        <v>51561.06</v>
      </c>
      <c r="AF101">
        <v>0</v>
      </c>
      <c r="AG101" s="24">
        <v>51561.06</v>
      </c>
      <c r="AH101">
        <v>0</v>
      </c>
      <c r="AI101">
        <v>0</v>
      </c>
      <c r="AJ101">
        <v>0</v>
      </c>
      <c r="AK101">
        <v>0</v>
      </c>
      <c r="AL101" s="24">
        <v>51561.06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s="24">
        <v>51561.06</v>
      </c>
      <c r="AV101">
        <v>0</v>
      </c>
      <c r="AW101">
        <v>0</v>
      </c>
      <c r="AX101">
        <v>311000</v>
      </c>
      <c r="AY101" t="s">
        <v>161</v>
      </c>
      <c r="AZ101">
        <v>93.34</v>
      </c>
      <c r="BA101">
        <v>75.430000000000007</v>
      </c>
      <c r="BB101">
        <v>17.91</v>
      </c>
      <c r="BC101" t="s">
        <v>168</v>
      </c>
      <c r="BD101">
        <v>1509</v>
      </c>
      <c r="BE101" t="s">
        <v>169</v>
      </c>
      <c r="BF101">
        <v>5094090102</v>
      </c>
      <c r="BG101" t="s">
        <v>333</v>
      </c>
    </row>
    <row r="102" spans="1:59">
      <c r="A102">
        <v>1115</v>
      </c>
      <c r="B102">
        <v>1115</v>
      </c>
      <c r="C102">
        <v>10</v>
      </c>
      <c r="D102">
        <v>2</v>
      </c>
      <c r="E102" t="s">
        <v>152</v>
      </c>
      <c r="F102" t="s">
        <v>153</v>
      </c>
      <c r="G102" t="s">
        <v>154</v>
      </c>
      <c r="H102">
        <v>1526005840</v>
      </c>
      <c r="I102">
        <v>1000006094</v>
      </c>
      <c r="L102" t="s">
        <v>333</v>
      </c>
      <c r="M102">
        <v>5100001934</v>
      </c>
      <c r="N102" t="s">
        <v>155</v>
      </c>
      <c r="O102" t="s">
        <v>156</v>
      </c>
      <c r="P102">
        <v>4110058649</v>
      </c>
      <c r="Q102" t="s">
        <v>196</v>
      </c>
      <c r="R102">
        <v>5000</v>
      </c>
      <c r="S102" t="s">
        <v>166</v>
      </c>
      <c r="V102" t="s">
        <v>167</v>
      </c>
      <c r="W102">
        <v>1502040217</v>
      </c>
      <c r="X102" t="s">
        <v>197</v>
      </c>
      <c r="Y102" t="str">
        <f>VLOOKUP(W102,Sheet4!$A$5:$B$71,2,0)</f>
        <v>FRONT MUDGARD GOGO</v>
      </c>
      <c r="Z102">
        <v>87082900</v>
      </c>
      <c r="AA102">
        <v>100</v>
      </c>
      <c r="AB102" t="s">
        <v>159</v>
      </c>
      <c r="AC102">
        <v>380.93</v>
      </c>
      <c r="AD102" t="s">
        <v>160</v>
      </c>
      <c r="AE102" s="24">
        <v>38093</v>
      </c>
      <c r="AF102">
        <v>0</v>
      </c>
      <c r="AG102" s="24">
        <v>38093</v>
      </c>
      <c r="AH102">
        <v>0</v>
      </c>
      <c r="AI102">
        <v>0</v>
      </c>
      <c r="AJ102">
        <v>0</v>
      </c>
      <c r="AK102">
        <v>0</v>
      </c>
      <c r="AL102" s="24">
        <v>38093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s="24">
        <v>38093</v>
      </c>
      <c r="AV102">
        <v>0</v>
      </c>
      <c r="AW102">
        <v>0</v>
      </c>
      <c r="AX102">
        <v>311000</v>
      </c>
      <c r="AY102" t="s">
        <v>161</v>
      </c>
      <c r="AZ102">
        <v>2.13</v>
      </c>
      <c r="BA102">
        <v>2.13</v>
      </c>
      <c r="BB102">
        <v>0</v>
      </c>
      <c r="BC102" t="s">
        <v>198</v>
      </c>
      <c r="BD102">
        <v>1511</v>
      </c>
      <c r="BE102" t="s">
        <v>174</v>
      </c>
      <c r="BF102">
        <v>5094090093</v>
      </c>
      <c r="BG102" t="s">
        <v>333</v>
      </c>
    </row>
    <row r="103" spans="1:59">
      <c r="A103">
        <v>1115</v>
      </c>
      <c r="B103">
        <v>1115</v>
      </c>
      <c r="C103">
        <v>10</v>
      </c>
      <c r="D103">
        <v>2</v>
      </c>
      <c r="E103" t="s">
        <v>152</v>
      </c>
      <c r="F103" t="s">
        <v>153</v>
      </c>
      <c r="G103" t="s">
        <v>154</v>
      </c>
      <c r="H103">
        <v>1526005838</v>
      </c>
      <c r="I103">
        <v>1000006092</v>
      </c>
      <c r="L103" t="s">
        <v>333</v>
      </c>
      <c r="M103">
        <v>5100001603</v>
      </c>
      <c r="N103" t="s">
        <v>155</v>
      </c>
      <c r="O103" t="s">
        <v>156</v>
      </c>
      <c r="P103">
        <v>4110025468</v>
      </c>
      <c r="Q103" t="s">
        <v>165</v>
      </c>
      <c r="R103">
        <v>5000</v>
      </c>
      <c r="S103" t="s">
        <v>166</v>
      </c>
      <c r="V103" t="s">
        <v>167</v>
      </c>
      <c r="W103">
        <v>1502020102</v>
      </c>
      <c r="X103" t="s">
        <v>58</v>
      </c>
      <c r="Y103" t="str">
        <f>VLOOKUP(W103,Sheet4!$A$5:$B$71,2,0)</f>
        <v>MAXIMA HD</v>
      </c>
      <c r="Z103">
        <v>87082900</v>
      </c>
      <c r="AA103">
        <v>8</v>
      </c>
      <c r="AB103" t="s">
        <v>159</v>
      </c>
      <c r="AC103" s="24">
        <v>8593.51</v>
      </c>
      <c r="AD103" t="s">
        <v>160</v>
      </c>
      <c r="AE103" s="24">
        <v>68748.08</v>
      </c>
      <c r="AF103">
        <v>0</v>
      </c>
      <c r="AG103" s="24">
        <v>68748.08</v>
      </c>
      <c r="AH103">
        <v>0</v>
      </c>
      <c r="AI103">
        <v>0</v>
      </c>
      <c r="AJ103">
        <v>0</v>
      </c>
      <c r="AK103">
        <v>0</v>
      </c>
      <c r="AL103" s="24">
        <v>68748.08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s="24">
        <v>68748.08</v>
      </c>
      <c r="AV103">
        <v>0</v>
      </c>
      <c r="AW103">
        <v>0</v>
      </c>
      <c r="AX103">
        <v>311000</v>
      </c>
      <c r="AY103" t="s">
        <v>161</v>
      </c>
      <c r="AZ103">
        <v>93.34</v>
      </c>
      <c r="BA103">
        <v>75.430000000000007</v>
      </c>
      <c r="BB103">
        <v>17.91</v>
      </c>
      <c r="BC103" t="s">
        <v>168</v>
      </c>
      <c r="BD103">
        <v>1509</v>
      </c>
      <c r="BE103" t="s">
        <v>169</v>
      </c>
      <c r="BF103">
        <v>5094101831</v>
      </c>
      <c r="BG103" t="s">
        <v>333</v>
      </c>
    </row>
    <row r="104" spans="1:59">
      <c r="A104">
        <v>1115</v>
      </c>
      <c r="B104">
        <v>1115</v>
      </c>
      <c r="C104">
        <v>10</v>
      </c>
      <c r="D104">
        <v>2</v>
      </c>
      <c r="E104" t="s">
        <v>152</v>
      </c>
      <c r="F104" t="s">
        <v>153</v>
      </c>
      <c r="G104" t="s">
        <v>154</v>
      </c>
      <c r="H104">
        <v>1526005837</v>
      </c>
      <c r="I104">
        <v>1000006091</v>
      </c>
      <c r="L104" t="s">
        <v>333</v>
      </c>
      <c r="M104">
        <v>5100001603</v>
      </c>
      <c r="N104" t="s">
        <v>155</v>
      </c>
      <c r="O104" t="s">
        <v>156</v>
      </c>
      <c r="P104">
        <v>4110025468</v>
      </c>
      <c r="Q104" t="s">
        <v>165</v>
      </c>
      <c r="R104">
        <v>5000</v>
      </c>
      <c r="S104" t="s">
        <v>166</v>
      </c>
      <c r="V104" t="s">
        <v>167</v>
      </c>
      <c r="W104">
        <v>1502020102</v>
      </c>
      <c r="X104" t="s">
        <v>58</v>
      </c>
      <c r="Y104" t="str">
        <f>VLOOKUP(W104,Sheet4!$A$5:$B$71,2,0)</f>
        <v>MAXIMA HD</v>
      </c>
      <c r="Z104">
        <v>87082900</v>
      </c>
      <c r="AA104">
        <v>8</v>
      </c>
      <c r="AB104" t="s">
        <v>159</v>
      </c>
      <c r="AC104" s="24">
        <v>8593.51</v>
      </c>
      <c r="AD104" t="s">
        <v>160</v>
      </c>
      <c r="AE104" s="24">
        <v>68748.08</v>
      </c>
      <c r="AF104">
        <v>0</v>
      </c>
      <c r="AG104" s="24">
        <v>68748.08</v>
      </c>
      <c r="AH104">
        <v>0</v>
      </c>
      <c r="AI104">
        <v>0</v>
      </c>
      <c r="AJ104">
        <v>0</v>
      </c>
      <c r="AK104">
        <v>0</v>
      </c>
      <c r="AL104" s="24">
        <v>68748.08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s="24">
        <v>68748.08</v>
      </c>
      <c r="AV104">
        <v>0</v>
      </c>
      <c r="AW104">
        <v>0</v>
      </c>
      <c r="AX104">
        <v>311000</v>
      </c>
      <c r="AY104" t="s">
        <v>161</v>
      </c>
      <c r="AZ104">
        <v>93.34</v>
      </c>
      <c r="BA104">
        <v>75.430000000000007</v>
      </c>
      <c r="BB104">
        <v>17.91</v>
      </c>
      <c r="BC104" t="s">
        <v>168</v>
      </c>
      <c r="BD104">
        <v>1509</v>
      </c>
      <c r="BE104" t="s">
        <v>169</v>
      </c>
      <c r="BF104">
        <v>5094094349</v>
      </c>
      <c r="BG104" t="s">
        <v>333</v>
      </c>
    </row>
    <row r="105" spans="1:59">
      <c r="A105">
        <v>1115</v>
      </c>
      <c r="B105">
        <v>1115</v>
      </c>
      <c r="C105">
        <v>10</v>
      </c>
      <c r="D105">
        <v>2</v>
      </c>
      <c r="E105" t="s">
        <v>152</v>
      </c>
      <c r="F105" t="s">
        <v>153</v>
      </c>
      <c r="G105" t="s">
        <v>154</v>
      </c>
      <c r="H105">
        <v>1526005836</v>
      </c>
      <c r="I105">
        <v>1000006090</v>
      </c>
      <c r="L105" t="s">
        <v>333</v>
      </c>
      <c r="M105">
        <v>5100001928</v>
      </c>
      <c r="N105" t="s">
        <v>155</v>
      </c>
      <c r="O105" t="s">
        <v>156</v>
      </c>
      <c r="P105">
        <v>4110057393</v>
      </c>
      <c r="Q105" t="s">
        <v>192</v>
      </c>
      <c r="R105">
        <v>5000</v>
      </c>
      <c r="S105" t="s">
        <v>166</v>
      </c>
      <c r="V105" t="s">
        <v>167</v>
      </c>
      <c r="W105">
        <v>1502020122</v>
      </c>
      <c r="X105" t="s">
        <v>70</v>
      </c>
      <c r="Y105" t="str">
        <f>VLOOKUP(W105,Sheet4!$A$5:$B$71,2,0)</f>
        <v>MAX UG NEW EV</v>
      </c>
      <c r="Z105">
        <v>87082900</v>
      </c>
      <c r="AA105">
        <v>10</v>
      </c>
      <c r="AB105" t="s">
        <v>159</v>
      </c>
      <c r="AC105" s="24">
        <v>9566.51</v>
      </c>
      <c r="AD105" t="s">
        <v>160</v>
      </c>
      <c r="AE105" s="24">
        <v>95665.1</v>
      </c>
      <c r="AF105">
        <v>0</v>
      </c>
      <c r="AG105" s="24">
        <v>95665.1</v>
      </c>
      <c r="AH105">
        <v>0</v>
      </c>
      <c r="AI105">
        <v>0</v>
      </c>
      <c r="AJ105">
        <v>0</v>
      </c>
      <c r="AK105">
        <v>0</v>
      </c>
      <c r="AL105" s="24">
        <v>95665.1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s="24">
        <v>95665.1</v>
      </c>
      <c r="AV105">
        <v>0</v>
      </c>
      <c r="AW105">
        <v>0</v>
      </c>
      <c r="AX105">
        <v>311000</v>
      </c>
      <c r="AY105" t="s">
        <v>161</v>
      </c>
      <c r="AZ105">
        <v>0</v>
      </c>
      <c r="BA105">
        <v>61</v>
      </c>
      <c r="BB105">
        <v>-61</v>
      </c>
      <c r="BC105" t="s">
        <v>193</v>
      </c>
      <c r="BD105">
        <v>1509</v>
      </c>
      <c r="BE105" t="s">
        <v>169</v>
      </c>
      <c r="BF105">
        <v>5094096863</v>
      </c>
      <c r="BG105" t="s">
        <v>333</v>
      </c>
    </row>
    <row r="106" spans="1:59">
      <c r="A106">
        <v>1115</v>
      </c>
      <c r="B106">
        <v>1115</v>
      </c>
      <c r="C106">
        <v>10</v>
      </c>
      <c r="D106">
        <v>2</v>
      </c>
      <c r="E106" t="s">
        <v>152</v>
      </c>
      <c r="F106" t="s">
        <v>153</v>
      </c>
      <c r="G106" t="s">
        <v>154</v>
      </c>
      <c r="H106">
        <v>1526005835</v>
      </c>
      <c r="I106">
        <v>1000006089</v>
      </c>
      <c r="L106" t="s">
        <v>333</v>
      </c>
      <c r="M106">
        <v>5100001928</v>
      </c>
      <c r="N106" t="s">
        <v>155</v>
      </c>
      <c r="O106" t="s">
        <v>156</v>
      </c>
      <c r="P106">
        <v>4110057393</v>
      </c>
      <c r="Q106" t="s">
        <v>192</v>
      </c>
      <c r="R106">
        <v>5000</v>
      </c>
      <c r="S106" t="s">
        <v>166</v>
      </c>
      <c r="V106" t="s">
        <v>167</v>
      </c>
      <c r="W106">
        <v>1502020122</v>
      </c>
      <c r="X106" t="s">
        <v>70</v>
      </c>
      <c r="Y106" t="str">
        <f>VLOOKUP(W106,Sheet4!$A$5:$B$71,2,0)</f>
        <v>MAX UG NEW EV</v>
      </c>
      <c r="Z106">
        <v>87082900</v>
      </c>
      <c r="AA106">
        <v>10</v>
      </c>
      <c r="AB106" t="s">
        <v>159</v>
      </c>
      <c r="AC106" s="24">
        <v>9566.51</v>
      </c>
      <c r="AD106" t="s">
        <v>160</v>
      </c>
      <c r="AE106" s="24">
        <v>95665.1</v>
      </c>
      <c r="AF106">
        <v>0</v>
      </c>
      <c r="AG106" s="24">
        <v>95665.1</v>
      </c>
      <c r="AH106">
        <v>0</v>
      </c>
      <c r="AI106">
        <v>0</v>
      </c>
      <c r="AJ106">
        <v>0</v>
      </c>
      <c r="AK106">
        <v>0</v>
      </c>
      <c r="AL106" s="24">
        <v>95665.1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s="24">
        <v>95665.1</v>
      </c>
      <c r="AV106">
        <v>0</v>
      </c>
      <c r="AW106">
        <v>0</v>
      </c>
      <c r="AX106">
        <v>311000</v>
      </c>
      <c r="AY106" t="s">
        <v>161</v>
      </c>
      <c r="AZ106">
        <v>0</v>
      </c>
      <c r="BA106">
        <v>61</v>
      </c>
      <c r="BB106">
        <v>-61</v>
      </c>
      <c r="BC106" t="s">
        <v>193</v>
      </c>
      <c r="BD106">
        <v>1509</v>
      </c>
      <c r="BE106" t="s">
        <v>169</v>
      </c>
      <c r="BF106">
        <v>5094096840</v>
      </c>
      <c r="BG106" t="s">
        <v>333</v>
      </c>
    </row>
    <row r="107" spans="1:59">
      <c r="A107">
        <v>1115</v>
      </c>
      <c r="B107">
        <v>1115</v>
      </c>
      <c r="C107">
        <v>10</v>
      </c>
      <c r="D107">
        <v>2</v>
      </c>
      <c r="E107" t="s">
        <v>152</v>
      </c>
      <c r="F107" t="s">
        <v>153</v>
      </c>
      <c r="G107" t="s">
        <v>154</v>
      </c>
      <c r="H107">
        <v>1526005834</v>
      </c>
      <c r="I107">
        <v>1000006088</v>
      </c>
      <c r="L107" t="s">
        <v>333</v>
      </c>
      <c r="M107">
        <v>5100001928</v>
      </c>
      <c r="N107" t="s">
        <v>155</v>
      </c>
      <c r="O107" t="s">
        <v>156</v>
      </c>
      <c r="P107">
        <v>4110057393</v>
      </c>
      <c r="Q107" t="s">
        <v>192</v>
      </c>
      <c r="R107">
        <v>5000</v>
      </c>
      <c r="S107" t="s">
        <v>166</v>
      </c>
      <c r="V107" t="s">
        <v>167</v>
      </c>
      <c r="W107">
        <v>1502020122</v>
      </c>
      <c r="X107" t="s">
        <v>70</v>
      </c>
      <c r="Y107" t="str">
        <f>VLOOKUP(W107,Sheet4!$A$5:$B$71,2,0)</f>
        <v>MAX UG NEW EV</v>
      </c>
      <c r="Z107">
        <v>87082900</v>
      </c>
      <c r="AA107">
        <v>10</v>
      </c>
      <c r="AB107" t="s">
        <v>159</v>
      </c>
      <c r="AC107" s="24">
        <v>9566.51</v>
      </c>
      <c r="AD107" t="s">
        <v>160</v>
      </c>
      <c r="AE107" s="24">
        <v>95665.1</v>
      </c>
      <c r="AF107">
        <v>0</v>
      </c>
      <c r="AG107" s="24">
        <v>95665.1</v>
      </c>
      <c r="AH107">
        <v>0</v>
      </c>
      <c r="AI107">
        <v>0</v>
      </c>
      <c r="AJ107">
        <v>0</v>
      </c>
      <c r="AK107">
        <v>0</v>
      </c>
      <c r="AL107" s="24">
        <v>95665.1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s="24">
        <v>95665.1</v>
      </c>
      <c r="AV107">
        <v>0</v>
      </c>
      <c r="AW107">
        <v>0</v>
      </c>
      <c r="AX107">
        <v>311000</v>
      </c>
      <c r="AY107" t="s">
        <v>161</v>
      </c>
      <c r="AZ107">
        <v>0</v>
      </c>
      <c r="BA107">
        <v>61</v>
      </c>
      <c r="BB107">
        <v>-61</v>
      </c>
      <c r="BC107" t="s">
        <v>193</v>
      </c>
      <c r="BD107">
        <v>1509</v>
      </c>
      <c r="BE107" t="s">
        <v>169</v>
      </c>
      <c r="BF107">
        <v>5094092905</v>
      </c>
      <c r="BG107" t="s">
        <v>333</v>
      </c>
    </row>
    <row r="108" spans="1:59">
      <c r="A108">
        <v>1115</v>
      </c>
      <c r="B108">
        <v>1115</v>
      </c>
      <c r="C108">
        <v>10</v>
      </c>
      <c r="D108">
        <v>2</v>
      </c>
      <c r="E108" t="s">
        <v>152</v>
      </c>
      <c r="F108" t="s">
        <v>153</v>
      </c>
      <c r="G108" t="s">
        <v>154</v>
      </c>
      <c r="H108">
        <v>1526005833</v>
      </c>
      <c r="I108">
        <v>1000006087</v>
      </c>
      <c r="L108" t="s">
        <v>333</v>
      </c>
      <c r="M108">
        <v>5100001928</v>
      </c>
      <c r="N108" t="s">
        <v>155</v>
      </c>
      <c r="O108" t="s">
        <v>156</v>
      </c>
      <c r="P108">
        <v>4110057393</v>
      </c>
      <c r="Q108" t="s">
        <v>192</v>
      </c>
      <c r="R108">
        <v>5000</v>
      </c>
      <c r="S108" t="s">
        <v>166</v>
      </c>
      <c r="V108" t="s">
        <v>167</v>
      </c>
      <c r="W108">
        <v>1502020122</v>
      </c>
      <c r="X108" t="s">
        <v>70</v>
      </c>
      <c r="Y108" t="str">
        <f>VLOOKUP(W108,Sheet4!$A$5:$B$71,2,0)</f>
        <v>MAX UG NEW EV</v>
      </c>
      <c r="Z108">
        <v>87082900</v>
      </c>
      <c r="AA108">
        <v>10</v>
      </c>
      <c r="AB108" t="s">
        <v>159</v>
      </c>
      <c r="AC108" s="24">
        <v>9566.51</v>
      </c>
      <c r="AD108" t="s">
        <v>160</v>
      </c>
      <c r="AE108" s="24">
        <v>95665.1</v>
      </c>
      <c r="AF108">
        <v>0</v>
      </c>
      <c r="AG108" s="24">
        <v>95665.1</v>
      </c>
      <c r="AH108">
        <v>0</v>
      </c>
      <c r="AI108">
        <v>0</v>
      </c>
      <c r="AJ108">
        <v>0</v>
      </c>
      <c r="AK108">
        <v>0</v>
      </c>
      <c r="AL108" s="24">
        <v>95665.1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 s="24">
        <v>95665.1</v>
      </c>
      <c r="AV108">
        <v>0</v>
      </c>
      <c r="AW108">
        <v>0</v>
      </c>
      <c r="AX108">
        <v>311000</v>
      </c>
      <c r="AY108" t="s">
        <v>161</v>
      </c>
      <c r="AZ108">
        <v>0</v>
      </c>
      <c r="BA108">
        <v>61</v>
      </c>
      <c r="BB108">
        <v>-61</v>
      </c>
      <c r="BC108" t="s">
        <v>193</v>
      </c>
      <c r="BD108">
        <v>1509</v>
      </c>
      <c r="BE108" t="s">
        <v>169</v>
      </c>
      <c r="BF108">
        <v>5094092932</v>
      </c>
      <c r="BG108" t="s">
        <v>333</v>
      </c>
    </row>
    <row r="109" spans="1:59">
      <c r="A109">
        <v>1115</v>
      </c>
      <c r="B109">
        <v>1115</v>
      </c>
      <c r="C109">
        <v>10</v>
      </c>
      <c r="D109">
        <v>2</v>
      </c>
      <c r="E109" t="s">
        <v>152</v>
      </c>
      <c r="F109" t="s">
        <v>153</v>
      </c>
      <c r="G109" t="s">
        <v>154</v>
      </c>
      <c r="H109">
        <v>1526005832</v>
      </c>
      <c r="I109">
        <v>1000006086</v>
      </c>
      <c r="L109" t="s">
        <v>333</v>
      </c>
      <c r="M109">
        <v>5100001928</v>
      </c>
      <c r="N109" t="s">
        <v>155</v>
      </c>
      <c r="O109" t="s">
        <v>156</v>
      </c>
      <c r="P109">
        <v>4110057393</v>
      </c>
      <c r="Q109" t="s">
        <v>192</v>
      </c>
      <c r="R109">
        <v>5000</v>
      </c>
      <c r="S109" t="s">
        <v>166</v>
      </c>
      <c r="V109" t="s">
        <v>167</v>
      </c>
      <c r="W109">
        <v>1502020122</v>
      </c>
      <c r="X109" t="s">
        <v>70</v>
      </c>
      <c r="Y109" t="str">
        <f>VLOOKUP(W109,Sheet4!$A$5:$B$71,2,0)</f>
        <v>MAX UG NEW EV</v>
      </c>
      <c r="Z109">
        <v>87082900</v>
      </c>
      <c r="AA109">
        <v>10</v>
      </c>
      <c r="AB109" t="s">
        <v>159</v>
      </c>
      <c r="AC109" s="24">
        <v>9566.51</v>
      </c>
      <c r="AD109" t="s">
        <v>160</v>
      </c>
      <c r="AE109" s="24">
        <v>95665.1</v>
      </c>
      <c r="AF109">
        <v>0</v>
      </c>
      <c r="AG109" s="24">
        <v>95665.1</v>
      </c>
      <c r="AH109">
        <v>0</v>
      </c>
      <c r="AI109">
        <v>0</v>
      </c>
      <c r="AJ109">
        <v>0</v>
      </c>
      <c r="AK109">
        <v>0</v>
      </c>
      <c r="AL109" s="24">
        <v>95665.1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 s="24">
        <v>95665.1</v>
      </c>
      <c r="AV109">
        <v>0</v>
      </c>
      <c r="AW109">
        <v>0</v>
      </c>
      <c r="AX109">
        <v>311000</v>
      </c>
      <c r="AY109" t="s">
        <v>161</v>
      </c>
      <c r="AZ109">
        <v>0</v>
      </c>
      <c r="BA109">
        <v>61</v>
      </c>
      <c r="BB109">
        <v>-61</v>
      </c>
      <c r="BC109" t="s">
        <v>193</v>
      </c>
      <c r="BD109">
        <v>1509</v>
      </c>
      <c r="BE109" t="s">
        <v>169</v>
      </c>
      <c r="BF109">
        <v>5094092961</v>
      </c>
      <c r="BG109" t="s">
        <v>333</v>
      </c>
    </row>
    <row r="110" spans="1:59">
      <c r="A110">
        <v>1115</v>
      </c>
      <c r="B110">
        <v>1115</v>
      </c>
      <c r="C110">
        <v>10</v>
      </c>
      <c r="D110">
        <v>2</v>
      </c>
      <c r="E110" t="s">
        <v>152</v>
      </c>
      <c r="F110" t="s">
        <v>153</v>
      </c>
      <c r="G110" t="s">
        <v>154</v>
      </c>
      <c r="H110">
        <v>1526005831</v>
      </c>
      <c r="I110">
        <v>1000006085</v>
      </c>
      <c r="L110" t="s">
        <v>333</v>
      </c>
      <c r="M110">
        <v>5100001928</v>
      </c>
      <c r="N110" t="s">
        <v>155</v>
      </c>
      <c r="O110" t="s">
        <v>156</v>
      </c>
      <c r="P110">
        <v>4110057393</v>
      </c>
      <c r="Q110" t="s">
        <v>192</v>
      </c>
      <c r="R110">
        <v>5000</v>
      </c>
      <c r="S110" t="s">
        <v>166</v>
      </c>
      <c r="V110" t="s">
        <v>167</v>
      </c>
      <c r="W110">
        <v>1502020122</v>
      </c>
      <c r="X110" t="s">
        <v>70</v>
      </c>
      <c r="Y110" t="str">
        <f>VLOOKUP(W110,Sheet4!$A$5:$B$71,2,0)</f>
        <v>MAX UG NEW EV</v>
      </c>
      <c r="Z110">
        <v>87082900</v>
      </c>
      <c r="AA110">
        <v>10</v>
      </c>
      <c r="AB110" t="s">
        <v>159</v>
      </c>
      <c r="AC110" s="24">
        <v>9566.51</v>
      </c>
      <c r="AD110" t="s">
        <v>160</v>
      </c>
      <c r="AE110" s="24">
        <v>95665.1</v>
      </c>
      <c r="AF110">
        <v>0</v>
      </c>
      <c r="AG110" s="24">
        <v>95665.1</v>
      </c>
      <c r="AH110">
        <v>0</v>
      </c>
      <c r="AI110">
        <v>0</v>
      </c>
      <c r="AJ110">
        <v>0</v>
      </c>
      <c r="AK110">
        <v>0</v>
      </c>
      <c r="AL110" s="24">
        <v>95665.1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 s="24">
        <v>95665.1</v>
      </c>
      <c r="AV110">
        <v>0</v>
      </c>
      <c r="AW110">
        <v>0</v>
      </c>
      <c r="AX110">
        <v>311000</v>
      </c>
      <c r="AY110" t="s">
        <v>161</v>
      </c>
      <c r="AZ110">
        <v>0</v>
      </c>
      <c r="BA110">
        <v>61</v>
      </c>
      <c r="BB110">
        <v>-61</v>
      </c>
      <c r="BC110" t="s">
        <v>193</v>
      </c>
      <c r="BD110">
        <v>1509</v>
      </c>
      <c r="BE110" t="s">
        <v>169</v>
      </c>
      <c r="BF110">
        <v>5094090114</v>
      </c>
      <c r="BG110" t="s">
        <v>333</v>
      </c>
    </row>
    <row r="111" spans="1:59">
      <c r="A111">
        <v>1115</v>
      </c>
      <c r="B111">
        <v>1115</v>
      </c>
      <c r="C111">
        <v>10</v>
      </c>
      <c r="D111">
        <v>2</v>
      </c>
      <c r="E111" t="s">
        <v>152</v>
      </c>
      <c r="F111" t="s">
        <v>153</v>
      </c>
      <c r="G111" t="s">
        <v>154</v>
      </c>
      <c r="H111">
        <v>1526005828</v>
      </c>
      <c r="I111">
        <v>1000006084</v>
      </c>
      <c r="L111" t="s">
        <v>333</v>
      </c>
      <c r="M111">
        <v>5100001636</v>
      </c>
      <c r="N111" t="s">
        <v>155</v>
      </c>
      <c r="O111" t="s">
        <v>156</v>
      </c>
      <c r="P111">
        <v>4110026445</v>
      </c>
      <c r="Q111" t="s">
        <v>170</v>
      </c>
      <c r="R111">
        <v>5000</v>
      </c>
      <c r="S111" t="s">
        <v>166</v>
      </c>
      <c r="V111" t="s">
        <v>167</v>
      </c>
      <c r="W111">
        <v>1502020104</v>
      </c>
      <c r="X111" t="s">
        <v>26</v>
      </c>
      <c r="Y111" t="str">
        <f>VLOOKUP(W111,Sheet4!$A$5:$B$71,2,0)</f>
        <v>RE STYLING</v>
      </c>
      <c r="Z111">
        <v>87082900</v>
      </c>
      <c r="AA111">
        <v>15</v>
      </c>
      <c r="AB111" t="s">
        <v>159</v>
      </c>
      <c r="AC111" s="24">
        <v>6585.55</v>
      </c>
      <c r="AD111" t="s">
        <v>160</v>
      </c>
      <c r="AE111" s="24">
        <v>98783.25</v>
      </c>
      <c r="AF111">
        <v>0</v>
      </c>
      <c r="AG111" s="24">
        <v>98783.25</v>
      </c>
      <c r="AH111">
        <v>0</v>
      </c>
      <c r="AI111">
        <v>0</v>
      </c>
      <c r="AJ111">
        <v>0</v>
      </c>
      <c r="AK111">
        <v>0</v>
      </c>
      <c r="AL111" s="24">
        <v>98783.25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s="24">
        <v>98783.25</v>
      </c>
      <c r="AV111">
        <v>0</v>
      </c>
      <c r="AW111">
        <v>0</v>
      </c>
      <c r="AX111">
        <v>311000</v>
      </c>
      <c r="AY111" t="s">
        <v>161</v>
      </c>
      <c r="AZ111">
        <v>49.75</v>
      </c>
      <c r="BA111">
        <v>49.75</v>
      </c>
      <c r="BB111">
        <v>0</v>
      </c>
      <c r="BC111" t="s">
        <v>171</v>
      </c>
      <c r="BD111">
        <v>1509</v>
      </c>
      <c r="BE111" t="s">
        <v>169</v>
      </c>
      <c r="BF111">
        <v>5094098493</v>
      </c>
      <c r="BG111" t="s">
        <v>333</v>
      </c>
    </row>
    <row r="112" spans="1:59">
      <c r="A112">
        <v>1115</v>
      </c>
      <c r="B112">
        <v>1115</v>
      </c>
      <c r="C112">
        <v>10</v>
      </c>
      <c r="D112">
        <v>2</v>
      </c>
      <c r="E112" t="s">
        <v>152</v>
      </c>
      <c r="F112" t="s">
        <v>153</v>
      </c>
      <c r="G112" t="s">
        <v>154</v>
      </c>
      <c r="H112">
        <v>1526005827</v>
      </c>
      <c r="I112">
        <v>1000006083</v>
      </c>
      <c r="L112" t="s">
        <v>333</v>
      </c>
      <c r="M112">
        <v>5100001636</v>
      </c>
      <c r="N112" t="s">
        <v>155</v>
      </c>
      <c r="O112" t="s">
        <v>156</v>
      </c>
      <c r="P112">
        <v>4110026445</v>
      </c>
      <c r="Q112" t="s">
        <v>170</v>
      </c>
      <c r="R112">
        <v>5000</v>
      </c>
      <c r="S112" t="s">
        <v>166</v>
      </c>
      <c r="V112" t="s">
        <v>167</v>
      </c>
      <c r="W112">
        <v>1502020104</v>
      </c>
      <c r="X112" t="s">
        <v>26</v>
      </c>
      <c r="Y112" t="str">
        <f>VLOOKUP(W112,Sheet4!$A$5:$B$71,2,0)</f>
        <v>RE STYLING</v>
      </c>
      <c r="Z112">
        <v>87082900</v>
      </c>
      <c r="AA112">
        <v>15</v>
      </c>
      <c r="AB112" t="s">
        <v>159</v>
      </c>
      <c r="AC112" s="24">
        <v>6585.55</v>
      </c>
      <c r="AD112" t="s">
        <v>160</v>
      </c>
      <c r="AE112" s="24">
        <v>98783.25</v>
      </c>
      <c r="AF112">
        <v>0</v>
      </c>
      <c r="AG112" s="24">
        <v>98783.25</v>
      </c>
      <c r="AH112">
        <v>0</v>
      </c>
      <c r="AI112">
        <v>0</v>
      </c>
      <c r="AJ112">
        <v>0</v>
      </c>
      <c r="AK112">
        <v>0</v>
      </c>
      <c r="AL112" s="24">
        <v>98783.25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s="24">
        <v>98783.25</v>
      </c>
      <c r="AV112">
        <v>0</v>
      </c>
      <c r="AW112">
        <v>0</v>
      </c>
      <c r="AX112">
        <v>311000</v>
      </c>
      <c r="AY112" t="s">
        <v>161</v>
      </c>
      <c r="AZ112">
        <v>49.75</v>
      </c>
      <c r="BA112">
        <v>49.75</v>
      </c>
      <c r="BB112">
        <v>0</v>
      </c>
      <c r="BC112" t="s">
        <v>171</v>
      </c>
      <c r="BD112">
        <v>1509</v>
      </c>
      <c r="BE112" t="s">
        <v>169</v>
      </c>
      <c r="BF112">
        <v>5094098491</v>
      </c>
      <c r="BG112" t="s">
        <v>333</v>
      </c>
    </row>
    <row r="113" spans="1:59">
      <c r="A113">
        <v>1115</v>
      </c>
      <c r="B113">
        <v>1115</v>
      </c>
      <c r="C113">
        <v>10</v>
      </c>
      <c r="D113">
        <v>2</v>
      </c>
      <c r="E113" t="s">
        <v>152</v>
      </c>
      <c r="F113" t="s">
        <v>153</v>
      </c>
      <c r="G113" t="s">
        <v>154</v>
      </c>
      <c r="H113">
        <v>1526005825</v>
      </c>
      <c r="I113">
        <v>1000006081</v>
      </c>
      <c r="L113" t="s">
        <v>333</v>
      </c>
      <c r="M113">
        <v>5100001913</v>
      </c>
      <c r="N113" t="s">
        <v>155</v>
      </c>
      <c r="O113" t="s">
        <v>156</v>
      </c>
      <c r="P113">
        <v>4110050475</v>
      </c>
      <c r="Q113" t="s">
        <v>178</v>
      </c>
      <c r="R113">
        <v>5000</v>
      </c>
      <c r="S113" t="s">
        <v>166</v>
      </c>
      <c r="V113" t="s">
        <v>167</v>
      </c>
      <c r="W113">
        <v>1502040289</v>
      </c>
      <c r="X113" t="s">
        <v>49</v>
      </c>
      <c r="Y113" t="str">
        <f>VLOOKUP(W113,Sheet4!$A$5:$B$71,2,0)</f>
        <v>SUPPORT TOP</v>
      </c>
      <c r="Z113">
        <v>87082900</v>
      </c>
      <c r="AA113">
        <v>480</v>
      </c>
      <c r="AB113" t="s">
        <v>159</v>
      </c>
      <c r="AC113">
        <v>174.61</v>
      </c>
      <c r="AD113" t="s">
        <v>160</v>
      </c>
      <c r="AE113" s="24">
        <v>83812.800000000003</v>
      </c>
      <c r="AF113">
        <v>0</v>
      </c>
      <c r="AG113" s="24">
        <v>83812.800000000003</v>
      </c>
      <c r="AH113">
        <v>0</v>
      </c>
      <c r="AI113">
        <v>0</v>
      </c>
      <c r="AJ113">
        <v>0</v>
      </c>
      <c r="AK113">
        <v>0</v>
      </c>
      <c r="AL113" s="24">
        <v>83812.800000000003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 s="24">
        <v>83812.800000000003</v>
      </c>
      <c r="AV113">
        <v>0</v>
      </c>
      <c r="AW113">
        <v>0</v>
      </c>
      <c r="AX113">
        <v>311000</v>
      </c>
      <c r="AY113" t="s">
        <v>161</v>
      </c>
      <c r="AZ113">
        <v>0</v>
      </c>
      <c r="BA113">
        <v>0</v>
      </c>
      <c r="BB113">
        <v>0</v>
      </c>
      <c r="BC113" t="s">
        <v>179</v>
      </c>
      <c r="BD113">
        <v>1511</v>
      </c>
      <c r="BE113" t="s">
        <v>174</v>
      </c>
      <c r="BF113">
        <v>5094092377</v>
      </c>
      <c r="BG113" t="s">
        <v>333</v>
      </c>
    </row>
    <row r="114" spans="1:59">
      <c r="A114">
        <v>1115</v>
      </c>
      <c r="B114">
        <v>1115</v>
      </c>
      <c r="C114">
        <v>10</v>
      </c>
      <c r="D114">
        <v>2</v>
      </c>
      <c r="E114" t="s">
        <v>152</v>
      </c>
      <c r="F114" t="s">
        <v>153</v>
      </c>
      <c r="G114" t="s">
        <v>154</v>
      </c>
      <c r="H114">
        <v>1526005824</v>
      </c>
      <c r="I114">
        <v>1000006080</v>
      </c>
      <c r="L114" t="s">
        <v>333</v>
      </c>
      <c r="M114">
        <v>5100001588</v>
      </c>
      <c r="N114" t="s">
        <v>155</v>
      </c>
      <c r="O114" t="s">
        <v>156</v>
      </c>
      <c r="P114">
        <v>4110025058</v>
      </c>
      <c r="Q114" t="s">
        <v>180</v>
      </c>
      <c r="R114">
        <v>5000</v>
      </c>
      <c r="S114" t="s">
        <v>166</v>
      </c>
      <c r="V114" t="s">
        <v>167</v>
      </c>
      <c r="W114">
        <v>1502040235</v>
      </c>
      <c r="X114" t="s">
        <v>47</v>
      </c>
      <c r="Y114" t="str">
        <f>VLOOKUP(W114,Sheet4!$A$5:$B$71,2,0)</f>
        <v>STARTING HANDLE</v>
      </c>
      <c r="Z114">
        <v>87082900</v>
      </c>
      <c r="AA114">
        <v>540</v>
      </c>
      <c r="AB114" t="s">
        <v>159</v>
      </c>
      <c r="AC114">
        <v>217.33</v>
      </c>
      <c r="AD114" t="s">
        <v>160</v>
      </c>
      <c r="AE114" s="24">
        <v>117358.2</v>
      </c>
      <c r="AF114">
        <v>0</v>
      </c>
      <c r="AG114" s="24">
        <v>117358.2</v>
      </c>
      <c r="AH114">
        <v>0</v>
      </c>
      <c r="AI114">
        <v>0</v>
      </c>
      <c r="AJ114">
        <v>0</v>
      </c>
      <c r="AK114">
        <v>0</v>
      </c>
      <c r="AL114" s="24">
        <v>117358.2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 s="24">
        <v>117358.2</v>
      </c>
      <c r="AV114">
        <v>0</v>
      </c>
      <c r="AW114">
        <v>0</v>
      </c>
      <c r="AX114">
        <v>311000</v>
      </c>
      <c r="AY114" t="s">
        <v>161</v>
      </c>
      <c r="AZ114">
        <v>1.19</v>
      </c>
      <c r="BA114">
        <v>1.19</v>
      </c>
      <c r="BB114">
        <v>0</v>
      </c>
      <c r="BC114" t="s">
        <v>181</v>
      </c>
      <c r="BD114">
        <v>1511</v>
      </c>
      <c r="BE114" t="s">
        <v>174</v>
      </c>
      <c r="BF114">
        <v>5094097841</v>
      </c>
      <c r="BG114" t="s">
        <v>333</v>
      </c>
    </row>
    <row r="115" spans="1:59">
      <c r="A115">
        <v>1115</v>
      </c>
      <c r="B115">
        <v>1115</v>
      </c>
      <c r="C115">
        <v>10</v>
      </c>
      <c r="D115">
        <v>2</v>
      </c>
      <c r="E115" t="s">
        <v>152</v>
      </c>
      <c r="F115" t="s">
        <v>153</v>
      </c>
      <c r="G115" t="s">
        <v>154</v>
      </c>
      <c r="H115">
        <v>1526005823</v>
      </c>
      <c r="I115">
        <v>1000006079</v>
      </c>
      <c r="L115" t="s">
        <v>333</v>
      </c>
      <c r="M115">
        <v>5100001099</v>
      </c>
      <c r="N115" t="s">
        <v>155</v>
      </c>
      <c r="O115" t="s">
        <v>156</v>
      </c>
      <c r="P115">
        <v>4110004650</v>
      </c>
      <c r="Q115" t="s">
        <v>177</v>
      </c>
      <c r="R115">
        <v>5000</v>
      </c>
      <c r="S115" t="s">
        <v>166</v>
      </c>
      <c r="V115" t="s">
        <v>167</v>
      </c>
      <c r="W115">
        <v>1502040133</v>
      </c>
      <c r="X115" t="s">
        <v>228</v>
      </c>
      <c r="Y115" t="str">
        <f>VLOOKUP(W115,Sheet4!$A$5:$B$71,2,0)</f>
        <v>REAR COVER</v>
      </c>
      <c r="Z115">
        <v>87082900</v>
      </c>
      <c r="AA115">
        <v>55</v>
      </c>
      <c r="AB115" t="s">
        <v>159</v>
      </c>
      <c r="AC115">
        <v>164.49</v>
      </c>
      <c r="AD115" t="s">
        <v>160</v>
      </c>
      <c r="AE115" s="24">
        <v>9046.9500000000007</v>
      </c>
      <c r="AF115">
        <v>0</v>
      </c>
      <c r="AG115" s="24">
        <v>9046.9500000000007</v>
      </c>
      <c r="AH115">
        <v>0</v>
      </c>
      <c r="AI115">
        <v>0</v>
      </c>
      <c r="AJ115">
        <v>0</v>
      </c>
      <c r="AK115">
        <v>0</v>
      </c>
      <c r="AL115" s="24">
        <v>9046.9500000000007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 s="24">
        <v>9046.9500000000007</v>
      </c>
      <c r="AV115">
        <v>0</v>
      </c>
      <c r="AW115">
        <v>0</v>
      </c>
      <c r="AX115">
        <v>311000</v>
      </c>
      <c r="AY115" t="s">
        <v>161</v>
      </c>
      <c r="AZ115">
        <v>1.248</v>
      </c>
      <c r="BA115">
        <v>1.248</v>
      </c>
      <c r="BB115">
        <v>0</v>
      </c>
      <c r="BC115" t="s">
        <v>229</v>
      </c>
      <c r="BD115">
        <v>1511</v>
      </c>
      <c r="BE115" t="s">
        <v>174</v>
      </c>
      <c r="BF115">
        <v>5094089361</v>
      </c>
      <c r="BG115" t="s">
        <v>333</v>
      </c>
    </row>
    <row r="116" spans="1:59">
      <c r="A116">
        <v>1115</v>
      </c>
      <c r="B116">
        <v>1115</v>
      </c>
      <c r="C116">
        <v>10</v>
      </c>
      <c r="D116">
        <v>2</v>
      </c>
      <c r="E116" t="s">
        <v>152</v>
      </c>
      <c r="F116" t="s">
        <v>153</v>
      </c>
      <c r="G116" t="s">
        <v>154</v>
      </c>
      <c r="H116">
        <v>1526005822</v>
      </c>
      <c r="I116">
        <v>1000006078</v>
      </c>
      <c r="L116" t="s">
        <v>333</v>
      </c>
      <c r="M116">
        <v>5100001099</v>
      </c>
      <c r="N116" t="s">
        <v>155</v>
      </c>
      <c r="O116" t="s">
        <v>156</v>
      </c>
      <c r="P116">
        <v>4110004650</v>
      </c>
      <c r="Q116" t="s">
        <v>177</v>
      </c>
      <c r="R116">
        <v>5000</v>
      </c>
      <c r="S116" t="s">
        <v>166</v>
      </c>
      <c r="V116" t="s">
        <v>167</v>
      </c>
      <c r="W116">
        <v>1502040132</v>
      </c>
      <c r="X116" t="s">
        <v>230</v>
      </c>
      <c r="Y116" t="str">
        <f>VLOOKUP(W116,Sheet4!$A$5:$B$71,2,0)</f>
        <v>REAR COVER</v>
      </c>
      <c r="Z116">
        <v>87082900</v>
      </c>
      <c r="AA116">
        <v>55</v>
      </c>
      <c r="AB116" t="s">
        <v>159</v>
      </c>
      <c r="AC116">
        <v>159.41</v>
      </c>
      <c r="AD116" t="s">
        <v>160</v>
      </c>
      <c r="AE116" s="24">
        <v>8767.5499999999993</v>
      </c>
      <c r="AF116">
        <v>0</v>
      </c>
      <c r="AG116" s="24">
        <v>8767.5499999999993</v>
      </c>
      <c r="AH116">
        <v>0</v>
      </c>
      <c r="AI116">
        <v>0</v>
      </c>
      <c r="AJ116">
        <v>0</v>
      </c>
      <c r="AK116">
        <v>0</v>
      </c>
      <c r="AL116" s="24">
        <v>8767.5499999999993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s="24">
        <v>8767.5499999999993</v>
      </c>
      <c r="AV116">
        <v>0</v>
      </c>
      <c r="AW116">
        <v>0</v>
      </c>
      <c r="AX116">
        <v>311000</v>
      </c>
      <c r="AY116" t="s">
        <v>161</v>
      </c>
      <c r="AZ116">
        <v>1.1659999999999999</v>
      </c>
      <c r="BA116">
        <v>1.1659999999999999</v>
      </c>
      <c r="BB116">
        <v>0</v>
      </c>
      <c r="BC116" t="s">
        <v>231</v>
      </c>
      <c r="BD116">
        <v>1511</v>
      </c>
      <c r="BE116" t="s">
        <v>174</v>
      </c>
      <c r="BF116">
        <v>5094089360</v>
      </c>
      <c r="BG116" t="s">
        <v>333</v>
      </c>
    </row>
    <row r="117" spans="1:59">
      <c r="A117">
        <v>1115</v>
      </c>
      <c r="B117">
        <v>1115</v>
      </c>
      <c r="C117">
        <v>10</v>
      </c>
      <c r="D117">
        <v>2</v>
      </c>
      <c r="E117" t="s">
        <v>152</v>
      </c>
      <c r="F117" t="s">
        <v>153</v>
      </c>
      <c r="G117" t="s">
        <v>154</v>
      </c>
      <c r="H117">
        <v>1526005821</v>
      </c>
      <c r="I117">
        <v>1000006077</v>
      </c>
      <c r="L117" t="s">
        <v>333</v>
      </c>
      <c r="M117">
        <v>5100001928</v>
      </c>
      <c r="N117" t="s">
        <v>155</v>
      </c>
      <c r="O117" t="s">
        <v>156</v>
      </c>
      <c r="P117">
        <v>4110057393</v>
      </c>
      <c r="Q117" t="s">
        <v>192</v>
      </c>
      <c r="R117">
        <v>5000</v>
      </c>
      <c r="S117" t="s">
        <v>166</v>
      </c>
      <c r="V117" t="s">
        <v>167</v>
      </c>
      <c r="W117">
        <v>1502020122</v>
      </c>
      <c r="X117" t="s">
        <v>70</v>
      </c>
      <c r="Y117" t="str">
        <f>VLOOKUP(W117,Sheet4!$A$5:$B$71,2,0)</f>
        <v>MAX UG NEW EV</v>
      </c>
      <c r="Z117">
        <v>87082900</v>
      </c>
      <c r="AA117">
        <v>10</v>
      </c>
      <c r="AB117" t="s">
        <v>159</v>
      </c>
      <c r="AC117" s="24">
        <v>9566.51</v>
      </c>
      <c r="AD117" t="s">
        <v>160</v>
      </c>
      <c r="AE117" s="24">
        <v>95665.1</v>
      </c>
      <c r="AF117">
        <v>0</v>
      </c>
      <c r="AG117" s="24">
        <v>95665.1</v>
      </c>
      <c r="AH117">
        <v>0</v>
      </c>
      <c r="AI117">
        <v>0</v>
      </c>
      <c r="AJ117">
        <v>0</v>
      </c>
      <c r="AK117">
        <v>0</v>
      </c>
      <c r="AL117" s="24">
        <v>95665.1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 s="24">
        <v>95665.1</v>
      </c>
      <c r="AV117">
        <v>0</v>
      </c>
      <c r="AW117">
        <v>0</v>
      </c>
      <c r="AX117">
        <v>311000</v>
      </c>
      <c r="AY117" t="s">
        <v>161</v>
      </c>
      <c r="AZ117">
        <v>0</v>
      </c>
      <c r="BA117">
        <v>61</v>
      </c>
      <c r="BB117">
        <v>-61</v>
      </c>
      <c r="BC117" t="s">
        <v>193</v>
      </c>
      <c r="BD117">
        <v>1509</v>
      </c>
      <c r="BE117" t="s">
        <v>169</v>
      </c>
      <c r="BF117">
        <v>5094090064</v>
      </c>
      <c r="BG117" t="s">
        <v>333</v>
      </c>
    </row>
    <row r="118" spans="1:59">
      <c r="A118">
        <v>1115</v>
      </c>
      <c r="B118">
        <v>1115</v>
      </c>
      <c r="C118">
        <v>10</v>
      </c>
      <c r="D118">
        <v>2</v>
      </c>
      <c r="E118" t="s">
        <v>152</v>
      </c>
      <c r="F118" t="s">
        <v>153</v>
      </c>
      <c r="G118" t="s">
        <v>154</v>
      </c>
      <c r="H118">
        <v>1526005820</v>
      </c>
      <c r="I118">
        <v>1000006076</v>
      </c>
      <c r="L118" t="s">
        <v>333</v>
      </c>
      <c r="M118">
        <v>5100001928</v>
      </c>
      <c r="N118" t="s">
        <v>155</v>
      </c>
      <c r="O118" t="s">
        <v>156</v>
      </c>
      <c r="P118">
        <v>4110057393</v>
      </c>
      <c r="Q118" t="s">
        <v>192</v>
      </c>
      <c r="R118">
        <v>5000</v>
      </c>
      <c r="S118" t="s">
        <v>166</v>
      </c>
      <c r="V118" t="s">
        <v>167</v>
      </c>
      <c r="W118">
        <v>1502020122</v>
      </c>
      <c r="X118" t="s">
        <v>70</v>
      </c>
      <c r="Y118" t="str">
        <f>VLOOKUP(W118,Sheet4!$A$5:$B$71,2,0)</f>
        <v>MAX UG NEW EV</v>
      </c>
      <c r="Z118">
        <v>87082900</v>
      </c>
      <c r="AA118">
        <v>10</v>
      </c>
      <c r="AB118" t="s">
        <v>159</v>
      </c>
      <c r="AC118" s="24">
        <v>9566.51</v>
      </c>
      <c r="AD118" t="s">
        <v>160</v>
      </c>
      <c r="AE118" s="24">
        <v>95665.1</v>
      </c>
      <c r="AF118">
        <v>0</v>
      </c>
      <c r="AG118" s="24">
        <v>95665.1</v>
      </c>
      <c r="AH118">
        <v>0</v>
      </c>
      <c r="AI118">
        <v>0</v>
      </c>
      <c r="AJ118">
        <v>0</v>
      </c>
      <c r="AK118">
        <v>0</v>
      </c>
      <c r="AL118" s="24">
        <v>95665.1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s="24">
        <v>95665.1</v>
      </c>
      <c r="AV118">
        <v>0</v>
      </c>
      <c r="AW118">
        <v>0</v>
      </c>
      <c r="AX118">
        <v>311000</v>
      </c>
      <c r="AY118" t="s">
        <v>161</v>
      </c>
      <c r="AZ118">
        <v>0</v>
      </c>
      <c r="BA118">
        <v>61</v>
      </c>
      <c r="BB118">
        <v>-61</v>
      </c>
      <c r="BC118" t="s">
        <v>193</v>
      </c>
      <c r="BD118">
        <v>1509</v>
      </c>
      <c r="BE118" t="s">
        <v>169</v>
      </c>
      <c r="BF118">
        <v>5094090904</v>
      </c>
      <c r="BG118" t="s">
        <v>333</v>
      </c>
    </row>
    <row r="119" spans="1:59">
      <c r="A119">
        <v>1115</v>
      </c>
      <c r="B119">
        <v>1115</v>
      </c>
      <c r="C119">
        <v>10</v>
      </c>
      <c r="D119">
        <v>2</v>
      </c>
      <c r="E119" t="s">
        <v>152</v>
      </c>
      <c r="F119" t="s">
        <v>153</v>
      </c>
      <c r="G119" t="s">
        <v>154</v>
      </c>
      <c r="H119">
        <v>1526005818</v>
      </c>
      <c r="I119">
        <v>1000006075</v>
      </c>
      <c r="L119" t="s">
        <v>333</v>
      </c>
      <c r="M119">
        <v>5100001899</v>
      </c>
      <c r="N119" t="s">
        <v>155</v>
      </c>
      <c r="O119" t="s">
        <v>156</v>
      </c>
      <c r="P119">
        <v>4110041854</v>
      </c>
      <c r="Q119" t="s">
        <v>172</v>
      </c>
      <c r="R119">
        <v>5000</v>
      </c>
      <c r="S119" t="s">
        <v>166</v>
      </c>
      <c r="V119" t="s">
        <v>167</v>
      </c>
      <c r="W119">
        <v>1502040267</v>
      </c>
      <c r="X119" t="s">
        <v>63</v>
      </c>
      <c r="Y119" t="str">
        <f>VLOOKUP(W119,Sheet4!$A$5:$B$71,2,0)</f>
        <v>DASH BOARD</v>
      </c>
      <c r="Z119">
        <v>87082900</v>
      </c>
      <c r="AA119">
        <v>416</v>
      </c>
      <c r="AB119" t="s">
        <v>159</v>
      </c>
      <c r="AC119">
        <v>290.89999999999998</v>
      </c>
      <c r="AD119" t="s">
        <v>160</v>
      </c>
      <c r="AE119" s="24">
        <v>121014.39999999999</v>
      </c>
      <c r="AF119">
        <v>0</v>
      </c>
      <c r="AG119" s="24">
        <v>121014.39999999999</v>
      </c>
      <c r="AH119">
        <v>0</v>
      </c>
      <c r="AI119">
        <v>0</v>
      </c>
      <c r="AJ119">
        <v>0</v>
      </c>
      <c r="AK119">
        <v>0</v>
      </c>
      <c r="AL119" s="24">
        <v>121014.39999999999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 s="24">
        <v>121014.39999999999</v>
      </c>
      <c r="AV119">
        <v>0</v>
      </c>
      <c r="AW119">
        <v>0</v>
      </c>
      <c r="AX119">
        <v>311000</v>
      </c>
      <c r="AY119" t="s">
        <v>161</v>
      </c>
      <c r="AZ119">
        <v>4.5</v>
      </c>
      <c r="BA119">
        <v>4.5</v>
      </c>
      <c r="BB119">
        <v>0</v>
      </c>
      <c r="BC119" t="s">
        <v>173</v>
      </c>
      <c r="BD119">
        <v>1511</v>
      </c>
      <c r="BE119" t="s">
        <v>174</v>
      </c>
      <c r="BF119" t="s">
        <v>163</v>
      </c>
      <c r="BG119" t="s">
        <v>164</v>
      </c>
    </row>
    <row r="120" spans="1:59">
      <c r="A120">
        <v>1115</v>
      </c>
      <c r="B120">
        <v>1115</v>
      </c>
      <c r="C120">
        <v>10</v>
      </c>
      <c r="D120">
        <v>2</v>
      </c>
      <c r="E120" t="s">
        <v>152</v>
      </c>
      <c r="F120" t="s">
        <v>153</v>
      </c>
      <c r="G120" t="s">
        <v>154</v>
      </c>
      <c r="H120">
        <v>1526005817</v>
      </c>
      <c r="I120">
        <v>1000006074</v>
      </c>
      <c r="L120" t="s">
        <v>333</v>
      </c>
      <c r="M120">
        <v>5100001899</v>
      </c>
      <c r="N120" t="s">
        <v>155</v>
      </c>
      <c r="O120" t="s">
        <v>156</v>
      </c>
      <c r="P120">
        <v>4110041854</v>
      </c>
      <c r="Q120" t="s">
        <v>172</v>
      </c>
      <c r="R120">
        <v>5000</v>
      </c>
      <c r="S120" t="s">
        <v>166</v>
      </c>
      <c r="V120" t="s">
        <v>167</v>
      </c>
      <c r="W120">
        <v>1502040267</v>
      </c>
      <c r="X120" t="s">
        <v>63</v>
      </c>
      <c r="Y120" t="str">
        <f>VLOOKUP(W120,Sheet4!$A$5:$B$71,2,0)</f>
        <v>DASH BOARD</v>
      </c>
      <c r="Z120">
        <v>87082900</v>
      </c>
      <c r="AA120">
        <v>416</v>
      </c>
      <c r="AB120" t="s">
        <v>159</v>
      </c>
      <c r="AC120">
        <v>290.89999999999998</v>
      </c>
      <c r="AD120" t="s">
        <v>160</v>
      </c>
      <c r="AE120" s="24">
        <v>121014.39999999999</v>
      </c>
      <c r="AF120">
        <v>0</v>
      </c>
      <c r="AG120" s="24">
        <v>121014.39999999999</v>
      </c>
      <c r="AH120">
        <v>0</v>
      </c>
      <c r="AI120">
        <v>0</v>
      </c>
      <c r="AJ120">
        <v>0</v>
      </c>
      <c r="AK120">
        <v>0</v>
      </c>
      <c r="AL120" s="24">
        <v>121014.39999999999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 s="24">
        <v>121014.39999999999</v>
      </c>
      <c r="AV120">
        <v>0</v>
      </c>
      <c r="AW120">
        <v>0</v>
      </c>
      <c r="AX120">
        <v>311000</v>
      </c>
      <c r="AY120" t="s">
        <v>161</v>
      </c>
      <c r="AZ120">
        <v>4.5</v>
      </c>
      <c r="BA120">
        <v>4.5</v>
      </c>
      <c r="BB120">
        <v>0</v>
      </c>
      <c r="BC120" t="s">
        <v>173</v>
      </c>
      <c r="BD120">
        <v>1511</v>
      </c>
      <c r="BE120" t="s">
        <v>174</v>
      </c>
      <c r="BF120">
        <v>5094097397</v>
      </c>
      <c r="BG120" t="s">
        <v>333</v>
      </c>
    </row>
    <row r="121" spans="1:59">
      <c r="A121">
        <v>1115</v>
      </c>
      <c r="B121">
        <v>1115</v>
      </c>
      <c r="C121">
        <v>10</v>
      </c>
      <c r="D121">
        <v>2</v>
      </c>
      <c r="E121" t="s">
        <v>152</v>
      </c>
      <c r="F121" t="s">
        <v>153</v>
      </c>
      <c r="G121" t="s">
        <v>154</v>
      </c>
      <c r="H121">
        <v>1526005864</v>
      </c>
      <c r="I121">
        <v>1000006128</v>
      </c>
      <c r="L121" t="s">
        <v>333</v>
      </c>
      <c r="M121">
        <v>5100001903</v>
      </c>
      <c r="N121" t="s">
        <v>155</v>
      </c>
      <c r="O121" t="s">
        <v>156</v>
      </c>
      <c r="P121">
        <v>4110043907</v>
      </c>
      <c r="Q121" t="s">
        <v>313</v>
      </c>
      <c r="R121">
        <v>5000</v>
      </c>
      <c r="S121" t="s">
        <v>166</v>
      </c>
      <c r="V121" t="s">
        <v>167</v>
      </c>
      <c r="W121">
        <v>1502040216</v>
      </c>
      <c r="X121" t="s">
        <v>314</v>
      </c>
      <c r="Y121" t="str">
        <f>VLOOKUP(W121,Sheet4!$A$5:$B$71,2,0)</f>
        <v>FRONT MUDGAURD</v>
      </c>
      <c r="Z121">
        <v>87082900</v>
      </c>
      <c r="AA121">
        <v>300</v>
      </c>
      <c r="AB121" t="s">
        <v>159</v>
      </c>
      <c r="AC121">
        <v>174.11</v>
      </c>
      <c r="AD121" t="s">
        <v>160</v>
      </c>
      <c r="AE121" s="24">
        <v>52233</v>
      </c>
      <c r="AF121">
        <v>0</v>
      </c>
      <c r="AG121" s="24">
        <v>52233</v>
      </c>
      <c r="AH121">
        <v>0</v>
      </c>
      <c r="AI121">
        <v>0</v>
      </c>
      <c r="AJ121">
        <v>0</v>
      </c>
      <c r="AK121">
        <v>0</v>
      </c>
      <c r="AL121" s="24">
        <v>52233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s="24">
        <v>52233</v>
      </c>
      <c r="AV121">
        <v>0</v>
      </c>
      <c r="AW121">
        <v>0</v>
      </c>
      <c r="AX121">
        <v>311000</v>
      </c>
      <c r="AY121" t="s">
        <v>161</v>
      </c>
      <c r="AZ121">
        <v>2.573</v>
      </c>
      <c r="BA121">
        <v>1.4910000000000001</v>
      </c>
      <c r="BB121">
        <v>1.0820000000000001</v>
      </c>
      <c r="BC121" t="s">
        <v>189</v>
      </c>
      <c r="BD121">
        <v>1511</v>
      </c>
      <c r="BE121" t="s">
        <v>174</v>
      </c>
      <c r="BF121">
        <v>5094101162</v>
      </c>
      <c r="BG121" t="s">
        <v>333</v>
      </c>
    </row>
    <row r="122" spans="1:59">
      <c r="A122">
        <v>1115</v>
      </c>
      <c r="B122">
        <v>1115</v>
      </c>
      <c r="C122">
        <v>10</v>
      </c>
      <c r="D122">
        <v>2</v>
      </c>
      <c r="E122" t="s">
        <v>152</v>
      </c>
      <c r="F122" t="s">
        <v>153</v>
      </c>
      <c r="G122" t="s">
        <v>154</v>
      </c>
      <c r="H122">
        <v>1526005911</v>
      </c>
      <c r="I122">
        <v>1000006174</v>
      </c>
      <c r="L122" t="s">
        <v>333</v>
      </c>
      <c r="M122">
        <v>5100001636</v>
      </c>
      <c r="N122" t="s">
        <v>155</v>
      </c>
      <c r="O122" t="s">
        <v>156</v>
      </c>
      <c r="P122">
        <v>4110026445</v>
      </c>
      <c r="Q122" t="s">
        <v>170</v>
      </c>
      <c r="R122">
        <v>5000</v>
      </c>
      <c r="S122" t="s">
        <v>166</v>
      </c>
      <c r="V122" t="s">
        <v>167</v>
      </c>
      <c r="W122">
        <v>1502020101</v>
      </c>
      <c r="X122" t="s">
        <v>25</v>
      </c>
      <c r="Y122" t="str">
        <f>VLOOKUP(W122,Sheet4!$A$5:$B$71,2,0)</f>
        <v>RE STYLING</v>
      </c>
      <c r="Z122">
        <v>87082900</v>
      </c>
      <c r="AA122">
        <v>15</v>
      </c>
      <c r="AB122" t="s">
        <v>159</v>
      </c>
      <c r="AC122" s="24">
        <v>6240.88</v>
      </c>
      <c r="AD122" t="s">
        <v>160</v>
      </c>
      <c r="AE122" s="24">
        <v>93613.2</v>
      </c>
      <c r="AF122">
        <v>0</v>
      </c>
      <c r="AG122" s="24">
        <v>93613.2</v>
      </c>
      <c r="AH122">
        <v>0</v>
      </c>
      <c r="AI122">
        <v>0</v>
      </c>
      <c r="AJ122">
        <v>0</v>
      </c>
      <c r="AK122">
        <v>0</v>
      </c>
      <c r="AL122" s="24">
        <v>93613.2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s="24">
        <v>93613.2</v>
      </c>
      <c r="AV122">
        <v>0</v>
      </c>
      <c r="AW122">
        <v>0</v>
      </c>
      <c r="AX122">
        <v>311000</v>
      </c>
      <c r="AY122" t="s">
        <v>161</v>
      </c>
      <c r="AZ122">
        <v>58</v>
      </c>
      <c r="BA122">
        <v>58</v>
      </c>
      <c r="BB122">
        <v>0</v>
      </c>
      <c r="BC122" t="s">
        <v>208</v>
      </c>
      <c r="BD122">
        <v>1509</v>
      </c>
      <c r="BE122" t="s">
        <v>169</v>
      </c>
      <c r="BF122">
        <v>5094107312</v>
      </c>
      <c r="BG122" t="s">
        <v>334</v>
      </c>
    </row>
    <row r="123" spans="1:59">
      <c r="A123">
        <v>1115</v>
      </c>
      <c r="B123">
        <v>1115</v>
      </c>
      <c r="C123">
        <v>10</v>
      </c>
      <c r="D123">
        <v>2</v>
      </c>
      <c r="E123" t="s">
        <v>152</v>
      </c>
      <c r="F123" t="s">
        <v>153</v>
      </c>
      <c r="G123" t="s">
        <v>154</v>
      </c>
      <c r="H123">
        <v>1526005910</v>
      </c>
      <c r="I123">
        <v>1000006173</v>
      </c>
      <c r="L123" t="s">
        <v>333</v>
      </c>
      <c r="M123">
        <v>5100001928</v>
      </c>
      <c r="N123" t="s">
        <v>155</v>
      </c>
      <c r="O123" t="s">
        <v>156</v>
      </c>
      <c r="P123">
        <v>4110057393</v>
      </c>
      <c r="Q123" t="s">
        <v>192</v>
      </c>
      <c r="R123">
        <v>5000</v>
      </c>
      <c r="S123" t="s">
        <v>166</v>
      </c>
      <c r="V123" t="s">
        <v>167</v>
      </c>
      <c r="W123">
        <v>1502020122</v>
      </c>
      <c r="X123" t="s">
        <v>70</v>
      </c>
      <c r="Y123" t="str">
        <f>VLOOKUP(W123,Sheet4!$A$5:$B$71,2,0)</f>
        <v>MAX UG NEW EV</v>
      </c>
      <c r="Z123">
        <v>87082900</v>
      </c>
      <c r="AA123">
        <v>10</v>
      </c>
      <c r="AB123" t="s">
        <v>159</v>
      </c>
      <c r="AC123" s="24">
        <v>9566.51</v>
      </c>
      <c r="AD123" t="s">
        <v>160</v>
      </c>
      <c r="AE123" s="24">
        <v>95665.1</v>
      </c>
      <c r="AF123">
        <v>0</v>
      </c>
      <c r="AG123" s="24">
        <v>95665.1</v>
      </c>
      <c r="AH123">
        <v>0</v>
      </c>
      <c r="AI123">
        <v>0</v>
      </c>
      <c r="AJ123">
        <v>0</v>
      </c>
      <c r="AK123">
        <v>0</v>
      </c>
      <c r="AL123" s="24">
        <v>95665.1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s="24">
        <v>95665.1</v>
      </c>
      <c r="AV123">
        <v>0</v>
      </c>
      <c r="AW123">
        <v>0</v>
      </c>
      <c r="AX123">
        <v>311000</v>
      </c>
      <c r="AY123" t="s">
        <v>161</v>
      </c>
      <c r="AZ123">
        <v>0</v>
      </c>
      <c r="BA123">
        <v>61</v>
      </c>
      <c r="BB123">
        <v>-61</v>
      </c>
      <c r="BC123" t="s">
        <v>193</v>
      </c>
      <c r="BD123">
        <v>1509</v>
      </c>
      <c r="BE123" t="s">
        <v>169</v>
      </c>
      <c r="BF123">
        <v>5094104403</v>
      </c>
      <c r="BG123" t="s">
        <v>333</v>
      </c>
    </row>
    <row r="124" spans="1:59">
      <c r="A124">
        <v>1115</v>
      </c>
      <c r="B124">
        <v>1115</v>
      </c>
      <c r="C124">
        <v>10</v>
      </c>
      <c r="D124">
        <v>2</v>
      </c>
      <c r="E124" t="s">
        <v>152</v>
      </c>
      <c r="F124" t="s">
        <v>153</v>
      </c>
      <c r="G124" t="s">
        <v>154</v>
      </c>
      <c r="H124">
        <v>1526005909</v>
      </c>
      <c r="I124">
        <v>1000006172</v>
      </c>
      <c r="L124" t="s">
        <v>333</v>
      </c>
      <c r="M124">
        <v>5100001928</v>
      </c>
      <c r="N124" t="s">
        <v>155</v>
      </c>
      <c r="O124" t="s">
        <v>156</v>
      </c>
      <c r="P124">
        <v>4110057393</v>
      </c>
      <c r="Q124" t="s">
        <v>192</v>
      </c>
      <c r="R124">
        <v>5000</v>
      </c>
      <c r="S124" t="s">
        <v>166</v>
      </c>
      <c r="V124" t="s">
        <v>167</v>
      </c>
      <c r="W124">
        <v>1502020122</v>
      </c>
      <c r="X124" t="s">
        <v>70</v>
      </c>
      <c r="Y124" t="str">
        <f>VLOOKUP(W124,Sheet4!$A$5:$B$71,2,0)</f>
        <v>MAX UG NEW EV</v>
      </c>
      <c r="Z124">
        <v>87082900</v>
      </c>
      <c r="AA124">
        <v>10</v>
      </c>
      <c r="AB124" t="s">
        <v>159</v>
      </c>
      <c r="AC124" s="24">
        <v>9566.51</v>
      </c>
      <c r="AD124" t="s">
        <v>160</v>
      </c>
      <c r="AE124" s="24">
        <v>95665.1</v>
      </c>
      <c r="AF124">
        <v>0</v>
      </c>
      <c r="AG124" s="24">
        <v>95665.1</v>
      </c>
      <c r="AH124">
        <v>0</v>
      </c>
      <c r="AI124">
        <v>0</v>
      </c>
      <c r="AJ124">
        <v>0</v>
      </c>
      <c r="AK124">
        <v>0</v>
      </c>
      <c r="AL124" s="24">
        <v>95665.1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s="24">
        <v>95665.1</v>
      </c>
      <c r="AV124">
        <v>0</v>
      </c>
      <c r="AW124">
        <v>0</v>
      </c>
      <c r="AX124">
        <v>311000</v>
      </c>
      <c r="AY124" t="s">
        <v>161</v>
      </c>
      <c r="AZ124">
        <v>0</v>
      </c>
      <c r="BA124">
        <v>61</v>
      </c>
      <c r="BB124">
        <v>-61</v>
      </c>
      <c r="BC124" t="s">
        <v>193</v>
      </c>
      <c r="BD124">
        <v>1509</v>
      </c>
      <c r="BE124" t="s">
        <v>169</v>
      </c>
      <c r="BF124">
        <v>5094101114</v>
      </c>
      <c r="BG124" t="s">
        <v>333</v>
      </c>
    </row>
    <row r="125" spans="1:59">
      <c r="A125">
        <v>1115</v>
      </c>
      <c r="B125">
        <v>1115</v>
      </c>
      <c r="C125">
        <v>10</v>
      </c>
      <c r="D125">
        <v>2</v>
      </c>
      <c r="E125" t="s">
        <v>152</v>
      </c>
      <c r="F125" t="s">
        <v>153</v>
      </c>
      <c r="G125" t="s">
        <v>154</v>
      </c>
      <c r="H125">
        <v>1526005907</v>
      </c>
      <c r="I125">
        <v>1000006170</v>
      </c>
      <c r="L125" t="s">
        <v>333</v>
      </c>
      <c r="M125">
        <v>5100001928</v>
      </c>
      <c r="N125" t="s">
        <v>155</v>
      </c>
      <c r="O125" t="s">
        <v>156</v>
      </c>
      <c r="P125">
        <v>4110057393</v>
      </c>
      <c r="Q125" t="s">
        <v>192</v>
      </c>
      <c r="R125">
        <v>5000</v>
      </c>
      <c r="S125" t="s">
        <v>166</v>
      </c>
      <c r="V125" t="s">
        <v>167</v>
      </c>
      <c r="W125">
        <v>1502020122</v>
      </c>
      <c r="X125" t="s">
        <v>70</v>
      </c>
      <c r="Y125" t="str">
        <f>VLOOKUP(W125,Sheet4!$A$5:$B$71,2,0)</f>
        <v>MAX UG NEW EV</v>
      </c>
      <c r="Z125">
        <v>87082900</v>
      </c>
      <c r="AA125">
        <v>10</v>
      </c>
      <c r="AB125" t="s">
        <v>159</v>
      </c>
      <c r="AC125" s="24">
        <v>9566.51</v>
      </c>
      <c r="AD125" t="s">
        <v>160</v>
      </c>
      <c r="AE125" s="24">
        <v>95665.1</v>
      </c>
      <c r="AF125">
        <v>0</v>
      </c>
      <c r="AG125" s="24">
        <v>95665.1</v>
      </c>
      <c r="AH125">
        <v>0</v>
      </c>
      <c r="AI125">
        <v>0</v>
      </c>
      <c r="AJ125">
        <v>0</v>
      </c>
      <c r="AK125">
        <v>0</v>
      </c>
      <c r="AL125" s="24">
        <v>95665.1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s="24">
        <v>95665.1</v>
      </c>
      <c r="AV125">
        <v>0</v>
      </c>
      <c r="AW125">
        <v>0</v>
      </c>
      <c r="AX125">
        <v>311000</v>
      </c>
      <c r="AY125" t="s">
        <v>161</v>
      </c>
      <c r="AZ125">
        <v>0</v>
      </c>
      <c r="BA125">
        <v>61</v>
      </c>
      <c r="BB125">
        <v>-61</v>
      </c>
      <c r="BC125" t="s">
        <v>193</v>
      </c>
      <c r="BD125">
        <v>1509</v>
      </c>
      <c r="BE125" t="s">
        <v>169</v>
      </c>
      <c r="BF125">
        <v>5094103567</v>
      </c>
      <c r="BG125" t="s">
        <v>333</v>
      </c>
    </row>
    <row r="126" spans="1:59">
      <c r="A126">
        <v>1115</v>
      </c>
      <c r="B126">
        <v>1115</v>
      </c>
      <c r="C126">
        <v>10</v>
      </c>
      <c r="D126">
        <v>2</v>
      </c>
      <c r="E126" t="s">
        <v>152</v>
      </c>
      <c r="F126" t="s">
        <v>153</v>
      </c>
      <c r="G126" t="s">
        <v>154</v>
      </c>
      <c r="H126">
        <v>1526005906</v>
      </c>
      <c r="I126">
        <v>1000006169</v>
      </c>
      <c r="L126" t="s">
        <v>333</v>
      </c>
      <c r="M126">
        <v>5100001603</v>
      </c>
      <c r="N126" t="s">
        <v>155</v>
      </c>
      <c r="O126" t="s">
        <v>156</v>
      </c>
      <c r="P126">
        <v>4110025468</v>
      </c>
      <c r="Q126" t="s">
        <v>165</v>
      </c>
      <c r="R126">
        <v>5000</v>
      </c>
      <c r="S126" t="s">
        <v>166</v>
      </c>
      <c r="V126" t="s">
        <v>167</v>
      </c>
      <c r="W126">
        <v>1502020102</v>
      </c>
      <c r="X126" t="s">
        <v>58</v>
      </c>
      <c r="Y126" t="str">
        <f>VLOOKUP(W126,Sheet4!$A$5:$B$71,2,0)</f>
        <v>MAXIMA HD</v>
      </c>
      <c r="Z126">
        <v>87082900</v>
      </c>
      <c r="AA126">
        <v>8</v>
      </c>
      <c r="AB126" t="s">
        <v>159</v>
      </c>
      <c r="AC126" s="24">
        <v>8593.51</v>
      </c>
      <c r="AD126" t="s">
        <v>160</v>
      </c>
      <c r="AE126" s="24">
        <v>68748.08</v>
      </c>
      <c r="AF126">
        <v>0</v>
      </c>
      <c r="AG126" s="24">
        <v>68748.08</v>
      </c>
      <c r="AH126">
        <v>0</v>
      </c>
      <c r="AI126">
        <v>0</v>
      </c>
      <c r="AJ126">
        <v>0</v>
      </c>
      <c r="AK126">
        <v>0</v>
      </c>
      <c r="AL126" s="24">
        <v>68748.08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s="24">
        <v>68748.08</v>
      </c>
      <c r="AV126">
        <v>0</v>
      </c>
      <c r="AW126">
        <v>0</v>
      </c>
      <c r="AX126">
        <v>311000</v>
      </c>
      <c r="AY126" t="s">
        <v>161</v>
      </c>
      <c r="AZ126">
        <v>93.34</v>
      </c>
      <c r="BA126">
        <v>75.430000000000007</v>
      </c>
      <c r="BB126">
        <v>17.91</v>
      </c>
      <c r="BC126" t="s">
        <v>168</v>
      </c>
      <c r="BD126">
        <v>1509</v>
      </c>
      <c r="BE126" t="s">
        <v>169</v>
      </c>
      <c r="BF126">
        <v>5094102205</v>
      </c>
      <c r="BG126" t="s">
        <v>333</v>
      </c>
    </row>
    <row r="127" spans="1:59">
      <c r="A127">
        <v>1115</v>
      </c>
      <c r="B127">
        <v>1115</v>
      </c>
      <c r="C127">
        <v>10</v>
      </c>
      <c r="D127">
        <v>2</v>
      </c>
      <c r="E127" t="s">
        <v>152</v>
      </c>
      <c r="F127" t="s">
        <v>153</v>
      </c>
      <c r="G127" t="s">
        <v>154</v>
      </c>
      <c r="H127">
        <v>1526005905</v>
      </c>
      <c r="I127">
        <v>1000006168</v>
      </c>
      <c r="L127" t="s">
        <v>333</v>
      </c>
      <c r="M127">
        <v>5100001603</v>
      </c>
      <c r="N127" t="s">
        <v>155</v>
      </c>
      <c r="O127" t="s">
        <v>156</v>
      </c>
      <c r="P127">
        <v>4110025468</v>
      </c>
      <c r="Q127" t="s">
        <v>165</v>
      </c>
      <c r="R127">
        <v>5000</v>
      </c>
      <c r="S127" t="s">
        <v>166</v>
      </c>
      <c r="V127" t="s">
        <v>167</v>
      </c>
      <c r="W127">
        <v>1502020102</v>
      </c>
      <c r="X127" t="s">
        <v>58</v>
      </c>
      <c r="Y127" t="str">
        <f>VLOOKUP(W127,Sheet4!$A$5:$B$71,2,0)</f>
        <v>MAXIMA HD</v>
      </c>
      <c r="Z127">
        <v>87082900</v>
      </c>
      <c r="AA127">
        <v>8</v>
      </c>
      <c r="AB127" t="s">
        <v>159</v>
      </c>
      <c r="AC127" s="24">
        <v>8593.51</v>
      </c>
      <c r="AD127" t="s">
        <v>160</v>
      </c>
      <c r="AE127" s="24">
        <v>68748.08</v>
      </c>
      <c r="AF127">
        <v>0</v>
      </c>
      <c r="AG127" s="24">
        <v>68748.08</v>
      </c>
      <c r="AH127">
        <v>0</v>
      </c>
      <c r="AI127">
        <v>0</v>
      </c>
      <c r="AJ127">
        <v>0</v>
      </c>
      <c r="AK127">
        <v>0</v>
      </c>
      <c r="AL127" s="24">
        <v>68748.08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s="24">
        <v>68748.08</v>
      </c>
      <c r="AV127">
        <v>0</v>
      </c>
      <c r="AW127">
        <v>0</v>
      </c>
      <c r="AX127">
        <v>311000</v>
      </c>
      <c r="AY127" t="s">
        <v>161</v>
      </c>
      <c r="AZ127">
        <v>93.34</v>
      </c>
      <c r="BA127">
        <v>75.430000000000007</v>
      </c>
      <c r="BB127">
        <v>17.91</v>
      </c>
      <c r="BC127" t="s">
        <v>168</v>
      </c>
      <c r="BD127">
        <v>1509</v>
      </c>
      <c r="BE127" t="s">
        <v>169</v>
      </c>
      <c r="BF127">
        <v>5094107108</v>
      </c>
      <c r="BG127" t="s">
        <v>334</v>
      </c>
    </row>
    <row r="128" spans="1:59">
      <c r="A128">
        <v>1115</v>
      </c>
      <c r="B128">
        <v>1115</v>
      </c>
      <c r="C128">
        <v>10</v>
      </c>
      <c r="D128">
        <v>2</v>
      </c>
      <c r="E128" t="s">
        <v>152</v>
      </c>
      <c r="F128" t="s">
        <v>153</v>
      </c>
      <c r="G128" t="s">
        <v>154</v>
      </c>
      <c r="H128">
        <v>1526005904</v>
      </c>
      <c r="I128">
        <v>1000006167</v>
      </c>
      <c r="L128" t="s">
        <v>333</v>
      </c>
      <c r="M128">
        <v>5100001603</v>
      </c>
      <c r="N128" t="s">
        <v>155</v>
      </c>
      <c r="O128" t="s">
        <v>156</v>
      </c>
      <c r="P128">
        <v>4110025468</v>
      </c>
      <c r="Q128" t="s">
        <v>165</v>
      </c>
      <c r="R128">
        <v>5000</v>
      </c>
      <c r="S128" t="s">
        <v>166</v>
      </c>
      <c r="V128" t="s">
        <v>167</v>
      </c>
      <c r="W128">
        <v>1502020102</v>
      </c>
      <c r="X128" t="s">
        <v>58</v>
      </c>
      <c r="Y128" t="str">
        <f>VLOOKUP(W128,Sheet4!$A$5:$B$71,2,0)</f>
        <v>MAXIMA HD</v>
      </c>
      <c r="Z128">
        <v>87082900</v>
      </c>
      <c r="AA128">
        <v>8</v>
      </c>
      <c r="AB128" t="s">
        <v>159</v>
      </c>
      <c r="AC128" s="24">
        <v>8593.51</v>
      </c>
      <c r="AD128" t="s">
        <v>160</v>
      </c>
      <c r="AE128" s="24">
        <v>68748.08</v>
      </c>
      <c r="AF128">
        <v>0</v>
      </c>
      <c r="AG128" s="24">
        <v>68748.08</v>
      </c>
      <c r="AH128">
        <v>0</v>
      </c>
      <c r="AI128">
        <v>0</v>
      </c>
      <c r="AJ128">
        <v>0</v>
      </c>
      <c r="AK128">
        <v>0</v>
      </c>
      <c r="AL128" s="24">
        <v>68748.08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s="24">
        <v>68748.08</v>
      </c>
      <c r="AV128">
        <v>0</v>
      </c>
      <c r="AW128">
        <v>0</v>
      </c>
      <c r="AX128">
        <v>311000</v>
      </c>
      <c r="AY128" t="s">
        <v>161</v>
      </c>
      <c r="AZ128">
        <v>93.34</v>
      </c>
      <c r="BA128">
        <v>75.430000000000007</v>
      </c>
      <c r="BB128">
        <v>17.91</v>
      </c>
      <c r="BC128" t="s">
        <v>168</v>
      </c>
      <c r="BD128">
        <v>1509</v>
      </c>
      <c r="BE128" t="s">
        <v>169</v>
      </c>
      <c r="BF128">
        <v>5094104399</v>
      </c>
      <c r="BG128" t="s">
        <v>333</v>
      </c>
    </row>
    <row r="129" spans="1:59">
      <c r="A129">
        <v>1115</v>
      </c>
      <c r="B129">
        <v>1115</v>
      </c>
      <c r="C129">
        <v>10</v>
      </c>
      <c r="D129">
        <v>2</v>
      </c>
      <c r="E129" t="s">
        <v>152</v>
      </c>
      <c r="F129" t="s">
        <v>153</v>
      </c>
      <c r="G129" t="s">
        <v>154</v>
      </c>
      <c r="H129">
        <v>1526005903</v>
      </c>
      <c r="I129">
        <v>1000006166</v>
      </c>
      <c r="L129" t="s">
        <v>333</v>
      </c>
      <c r="M129">
        <v>5100001101</v>
      </c>
      <c r="N129" t="s">
        <v>155</v>
      </c>
      <c r="O129" t="s">
        <v>156</v>
      </c>
      <c r="P129">
        <v>4110004653</v>
      </c>
      <c r="Q129" t="s">
        <v>177</v>
      </c>
      <c r="R129">
        <v>5000</v>
      </c>
      <c r="S129" t="s">
        <v>166</v>
      </c>
      <c r="V129" t="s">
        <v>167</v>
      </c>
      <c r="W129">
        <v>1502040194</v>
      </c>
      <c r="X129" t="s">
        <v>44</v>
      </c>
      <c r="Y129" t="str">
        <f>VLOOKUP(W129,Sheet4!$A$5:$B$71,2,0)</f>
        <v>CRADEL</v>
      </c>
      <c r="Z129">
        <v>87082900</v>
      </c>
      <c r="AA129">
        <v>48</v>
      </c>
      <c r="AB129" t="s">
        <v>159</v>
      </c>
      <c r="AC129">
        <v>956.92</v>
      </c>
      <c r="AD129" t="s">
        <v>160</v>
      </c>
      <c r="AE129" s="24">
        <v>45932.160000000003</v>
      </c>
      <c r="AF129">
        <v>0</v>
      </c>
      <c r="AG129" s="24">
        <v>45932.160000000003</v>
      </c>
      <c r="AH129">
        <v>0</v>
      </c>
      <c r="AI129">
        <v>0</v>
      </c>
      <c r="AJ129">
        <v>0</v>
      </c>
      <c r="AK129">
        <v>0</v>
      </c>
      <c r="AL129" s="24">
        <v>45932.160000000003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s="24">
        <v>45932.160000000003</v>
      </c>
      <c r="AV129">
        <v>0</v>
      </c>
      <c r="AW129">
        <v>0</v>
      </c>
      <c r="AX129">
        <v>311000</v>
      </c>
      <c r="AY129" t="s">
        <v>161</v>
      </c>
      <c r="AZ129">
        <v>6.3769999999999998</v>
      </c>
      <c r="BA129">
        <v>6.3769999999999998</v>
      </c>
      <c r="BB129">
        <v>0</v>
      </c>
      <c r="BC129" t="s">
        <v>184</v>
      </c>
      <c r="BD129">
        <v>1511</v>
      </c>
      <c r="BE129" t="s">
        <v>174</v>
      </c>
      <c r="BF129">
        <v>5094096702</v>
      </c>
      <c r="BG129" t="s">
        <v>333</v>
      </c>
    </row>
    <row r="130" spans="1:59">
      <c r="A130">
        <v>1115</v>
      </c>
      <c r="B130">
        <v>1115</v>
      </c>
      <c r="C130">
        <v>10</v>
      </c>
      <c r="D130">
        <v>2</v>
      </c>
      <c r="E130" t="s">
        <v>152</v>
      </c>
      <c r="F130" t="s">
        <v>153</v>
      </c>
      <c r="G130" t="s">
        <v>154</v>
      </c>
      <c r="H130">
        <v>1526005902</v>
      </c>
      <c r="I130">
        <v>1000006165</v>
      </c>
      <c r="L130" t="s">
        <v>333</v>
      </c>
      <c r="M130">
        <v>5100001101</v>
      </c>
      <c r="N130" t="s">
        <v>155</v>
      </c>
      <c r="O130" t="s">
        <v>156</v>
      </c>
      <c r="P130">
        <v>4110004653</v>
      </c>
      <c r="Q130" t="s">
        <v>177</v>
      </c>
      <c r="R130">
        <v>5000</v>
      </c>
      <c r="S130" t="s">
        <v>166</v>
      </c>
      <c r="V130" t="s">
        <v>167</v>
      </c>
      <c r="W130">
        <v>1502040194</v>
      </c>
      <c r="X130" t="s">
        <v>44</v>
      </c>
      <c r="Y130" t="str">
        <f>VLOOKUP(W130,Sheet4!$A$5:$B$71,2,0)</f>
        <v>CRADEL</v>
      </c>
      <c r="Z130">
        <v>87082900</v>
      </c>
      <c r="AA130">
        <v>48</v>
      </c>
      <c r="AB130" t="s">
        <v>159</v>
      </c>
      <c r="AC130">
        <v>956.92</v>
      </c>
      <c r="AD130" t="s">
        <v>160</v>
      </c>
      <c r="AE130" s="24">
        <v>45932.160000000003</v>
      </c>
      <c r="AF130">
        <v>0</v>
      </c>
      <c r="AG130" s="24">
        <v>45932.160000000003</v>
      </c>
      <c r="AH130">
        <v>0</v>
      </c>
      <c r="AI130">
        <v>0</v>
      </c>
      <c r="AJ130">
        <v>0</v>
      </c>
      <c r="AK130">
        <v>0</v>
      </c>
      <c r="AL130" s="24">
        <v>45932.160000000003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s="24">
        <v>45932.160000000003</v>
      </c>
      <c r="AV130">
        <v>0</v>
      </c>
      <c r="AW130">
        <v>0</v>
      </c>
      <c r="AX130">
        <v>311000</v>
      </c>
      <c r="AY130" t="s">
        <v>161</v>
      </c>
      <c r="AZ130">
        <v>6.3769999999999998</v>
      </c>
      <c r="BA130">
        <v>6.3769999999999998</v>
      </c>
      <c r="BB130">
        <v>0</v>
      </c>
      <c r="BC130" t="s">
        <v>184</v>
      </c>
      <c r="BD130">
        <v>1511</v>
      </c>
      <c r="BE130" t="s">
        <v>174</v>
      </c>
      <c r="BF130">
        <v>5094096771</v>
      </c>
      <c r="BG130" t="s">
        <v>333</v>
      </c>
    </row>
    <row r="131" spans="1:59">
      <c r="A131">
        <v>1115</v>
      </c>
      <c r="B131">
        <v>1115</v>
      </c>
      <c r="C131">
        <v>10</v>
      </c>
      <c r="D131">
        <v>2</v>
      </c>
      <c r="E131" t="s">
        <v>152</v>
      </c>
      <c r="F131" t="s">
        <v>153</v>
      </c>
      <c r="G131" t="s">
        <v>154</v>
      </c>
      <c r="H131">
        <v>1526005901</v>
      </c>
      <c r="I131">
        <v>1000006164</v>
      </c>
      <c r="L131" t="s">
        <v>333</v>
      </c>
      <c r="M131">
        <v>5100001636</v>
      </c>
      <c r="N131" t="s">
        <v>155</v>
      </c>
      <c r="O131" t="s">
        <v>156</v>
      </c>
      <c r="P131">
        <v>4110026445</v>
      </c>
      <c r="Q131" t="s">
        <v>170</v>
      </c>
      <c r="R131">
        <v>5000</v>
      </c>
      <c r="S131" t="s">
        <v>166</v>
      </c>
      <c r="V131" t="s">
        <v>167</v>
      </c>
      <c r="W131">
        <v>1502020104</v>
      </c>
      <c r="X131" t="s">
        <v>26</v>
      </c>
      <c r="Y131" t="str">
        <f>VLOOKUP(W131,Sheet4!$A$5:$B$71,2,0)</f>
        <v>RE STYLING</v>
      </c>
      <c r="Z131">
        <v>87082900</v>
      </c>
      <c r="AA131">
        <v>15</v>
      </c>
      <c r="AB131" t="s">
        <v>159</v>
      </c>
      <c r="AC131" s="24">
        <v>6585.55</v>
      </c>
      <c r="AD131" t="s">
        <v>160</v>
      </c>
      <c r="AE131" s="24">
        <v>98783.25</v>
      </c>
      <c r="AF131">
        <v>0</v>
      </c>
      <c r="AG131" s="24">
        <v>98783.25</v>
      </c>
      <c r="AH131">
        <v>0</v>
      </c>
      <c r="AI131">
        <v>0</v>
      </c>
      <c r="AJ131">
        <v>0</v>
      </c>
      <c r="AK131">
        <v>0</v>
      </c>
      <c r="AL131" s="24">
        <v>98783.25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s="24">
        <v>98783.25</v>
      </c>
      <c r="AV131">
        <v>0</v>
      </c>
      <c r="AW131">
        <v>0</v>
      </c>
      <c r="AX131">
        <v>311000</v>
      </c>
      <c r="AY131" t="s">
        <v>161</v>
      </c>
      <c r="AZ131">
        <v>49.75</v>
      </c>
      <c r="BA131">
        <v>49.75</v>
      </c>
      <c r="BB131">
        <v>0</v>
      </c>
      <c r="BC131" t="s">
        <v>171</v>
      </c>
      <c r="BD131">
        <v>1509</v>
      </c>
      <c r="BE131" t="s">
        <v>169</v>
      </c>
      <c r="BF131">
        <v>5094107369</v>
      </c>
      <c r="BG131" t="s">
        <v>334</v>
      </c>
    </row>
    <row r="132" spans="1:59">
      <c r="A132">
        <v>1115</v>
      </c>
      <c r="B132">
        <v>1115</v>
      </c>
      <c r="C132">
        <v>10</v>
      </c>
      <c r="D132">
        <v>2</v>
      </c>
      <c r="E132" t="s">
        <v>152</v>
      </c>
      <c r="F132" t="s">
        <v>153</v>
      </c>
      <c r="G132" t="s">
        <v>154</v>
      </c>
      <c r="H132">
        <v>1526005900</v>
      </c>
      <c r="I132">
        <v>1000006163</v>
      </c>
      <c r="L132" t="s">
        <v>333</v>
      </c>
      <c r="M132">
        <v>5100001636</v>
      </c>
      <c r="N132" t="s">
        <v>155</v>
      </c>
      <c r="O132" t="s">
        <v>156</v>
      </c>
      <c r="P132">
        <v>4110026445</v>
      </c>
      <c r="Q132" t="s">
        <v>170</v>
      </c>
      <c r="R132">
        <v>5000</v>
      </c>
      <c r="S132" t="s">
        <v>166</v>
      </c>
      <c r="V132" t="s">
        <v>167</v>
      </c>
      <c r="W132">
        <v>1502020104</v>
      </c>
      <c r="X132" t="s">
        <v>26</v>
      </c>
      <c r="Y132" t="str">
        <f>VLOOKUP(W132,Sheet4!$A$5:$B$71,2,0)</f>
        <v>RE STYLING</v>
      </c>
      <c r="Z132">
        <v>87082900</v>
      </c>
      <c r="AA132">
        <v>15</v>
      </c>
      <c r="AB132" t="s">
        <v>159</v>
      </c>
      <c r="AC132" s="24">
        <v>6585.55</v>
      </c>
      <c r="AD132" t="s">
        <v>160</v>
      </c>
      <c r="AE132" s="24">
        <v>98783.25</v>
      </c>
      <c r="AF132">
        <v>0</v>
      </c>
      <c r="AG132" s="24">
        <v>98783.25</v>
      </c>
      <c r="AH132">
        <v>0</v>
      </c>
      <c r="AI132">
        <v>0</v>
      </c>
      <c r="AJ132">
        <v>0</v>
      </c>
      <c r="AK132">
        <v>0</v>
      </c>
      <c r="AL132" s="24">
        <v>98783.25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s="24">
        <v>98783.25</v>
      </c>
      <c r="AV132">
        <v>0</v>
      </c>
      <c r="AW132">
        <v>0</v>
      </c>
      <c r="AX132">
        <v>311000</v>
      </c>
      <c r="AY132" t="s">
        <v>161</v>
      </c>
      <c r="AZ132">
        <v>49.75</v>
      </c>
      <c r="BA132">
        <v>49.75</v>
      </c>
      <c r="BB132">
        <v>0</v>
      </c>
      <c r="BC132" t="s">
        <v>171</v>
      </c>
      <c r="BD132">
        <v>1509</v>
      </c>
      <c r="BE132" t="s">
        <v>169</v>
      </c>
      <c r="BF132">
        <v>5094107389</v>
      </c>
      <c r="BG132" t="s">
        <v>334</v>
      </c>
    </row>
    <row r="133" spans="1:59">
      <c r="A133">
        <v>1115</v>
      </c>
      <c r="B133">
        <v>1115</v>
      </c>
      <c r="C133">
        <v>10</v>
      </c>
      <c r="D133">
        <v>2</v>
      </c>
      <c r="E133" t="s">
        <v>152</v>
      </c>
      <c r="F133" t="s">
        <v>153</v>
      </c>
      <c r="G133" t="s">
        <v>154</v>
      </c>
      <c r="H133">
        <v>1526005899</v>
      </c>
      <c r="I133">
        <v>1000006162</v>
      </c>
      <c r="L133" t="s">
        <v>333</v>
      </c>
      <c r="M133">
        <v>5100001445</v>
      </c>
      <c r="N133" t="s">
        <v>155</v>
      </c>
      <c r="O133" t="s">
        <v>156</v>
      </c>
      <c r="P133">
        <v>4110021696</v>
      </c>
      <c r="Q133" t="s">
        <v>239</v>
      </c>
      <c r="R133">
        <v>5000</v>
      </c>
      <c r="S133" t="s">
        <v>166</v>
      </c>
      <c r="V133" t="s">
        <v>167</v>
      </c>
      <c r="W133">
        <v>1502040233</v>
      </c>
      <c r="X133" t="s">
        <v>37</v>
      </c>
      <c r="Y133" t="str">
        <f>VLOOKUP(W133,Sheet4!$A$5:$B$71,2,0)</f>
        <v>FRONT MUDGAURD</v>
      </c>
      <c r="Z133">
        <v>87082900</v>
      </c>
      <c r="AA133">
        <v>400</v>
      </c>
      <c r="AB133" t="s">
        <v>159</v>
      </c>
      <c r="AC133">
        <v>317.45999999999998</v>
      </c>
      <c r="AD133" t="s">
        <v>160</v>
      </c>
      <c r="AE133" s="24">
        <v>126984</v>
      </c>
      <c r="AF133">
        <v>0</v>
      </c>
      <c r="AG133" s="24">
        <v>126984</v>
      </c>
      <c r="AH133">
        <v>0</v>
      </c>
      <c r="AI133">
        <v>0</v>
      </c>
      <c r="AJ133">
        <v>0</v>
      </c>
      <c r="AK133">
        <v>0</v>
      </c>
      <c r="AL133" s="24">
        <v>126984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s="24">
        <v>126984</v>
      </c>
      <c r="AV133">
        <v>0</v>
      </c>
      <c r="AW133">
        <v>0</v>
      </c>
      <c r="AX133">
        <v>311000</v>
      </c>
      <c r="AY133" t="s">
        <v>161</v>
      </c>
      <c r="AZ133">
        <v>3.4</v>
      </c>
      <c r="BA133">
        <v>2</v>
      </c>
      <c r="BB133">
        <v>1.4</v>
      </c>
      <c r="BC133" t="s">
        <v>238</v>
      </c>
      <c r="BD133">
        <v>1511</v>
      </c>
      <c r="BE133" t="s">
        <v>174</v>
      </c>
      <c r="BF133">
        <v>5094101141</v>
      </c>
      <c r="BG133" t="s">
        <v>333</v>
      </c>
    </row>
    <row r="134" spans="1:59">
      <c r="A134">
        <v>1115</v>
      </c>
      <c r="B134">
        <v>1115</v>
      </c>
      <c r="C134">
        <v>10</v>
      </c>
      <c r="D134">
        <v>2</v>
      </c>
      <c r="E134" t="s">
        <v>152</v>
      </c>
      <c r="F134" t="s">
        <v>153</v>
      </c>
      <c r="G134" t="s">
        <v>154</v>
      </c>
      <c r="H134">
        <v>1526005898</v>
      </c>
      <c r="I134">
        <v>1000006161</v>
      </c>
      <c r="L134" t="s">
        <v>333</v>
      </c>
      <c r="M134">
        <v>5100001603</v>
      </c>
      <c r="N134" t="s">
        <v>155</v>
      </c>
      <c r="O134" t="s">
        <v>156</v>
      </c>
      <c r="P134">
        <v>4110025468</v>
      </c>
      <c r="Q134" t="s">
        <v>165</v>
      </c>
      <c r="R134">
        <v>5000</v>
      </c>
      <c r="S134" t="s">
        <v>166</v>
      </c>
      <c r="V134" t="s">
        <v>167</v>
      </c>
      <c r="W134">
        <v>1502020102</v>
      </c>
      <c r="X134" t="s">
        <v>58</v>
      </c>
      <c r="Y134" t="str">
        <f>VLOOKUP(W134,Sheet4!$A$5:$B$71,2,0)</f>
        <v>MAXIMA HD</v>
      </c>
      <c r="Z134">
        <v>87082900</v>
      </c>
      <c r="AA134">
        <v>8</v>
      </c>
      <c r="AB134" t="s">
        <v>159</v>
      </c>
      <c r="AC134" s="24">
        <v>8593.51</v>
      </c>
      <c r="AD134" t="s">
        <v>160</v>
      </c>
      <c r="AE134" s="24">
        <v>68748.08</v>
      </c>
      <c r="AF134">
        <v>0</v>
      </c>
      <c r="AG134" s="24">
        <v>68748.08</v>
      </c>
      <c r="AH134">
        <v>0</v>
      </c>
      <c r="AI134">
        <v>0</v>
      </c>
      <c r="AJ134">
        <v>0</v>
      </c>
      <c r="AK134">
        <v>0</v>
      </c>
      <c r="AL134" s="24">
        <v>68748.08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s="24">
        <v>68748.08</v>
      </c>
      <c r="AV134">
        <v>0</v>
      </c>
      <c r="AW134">
        <v>0</v>
      </c>
      <c r="AX134">
        <v>311000</v>
      </c>
      <c r="AY134" t="s">
        <v>161</v>
      </c>
      <c r="AZ134">
        <v>93.34</v>
      </c>
      <c r="BA134">
        <v>75.430000000000007</v>
      </c>
      <c r="BB134">
        <v>17.91</v>
      </c>
      <c r="BC134" t="s">
        <v>168</v>
      </c>
      <c r="BD134">
        <v>1509</v>
      </c>
      <c r="BE134" t="s">
        <v>169</v>
      </c>
      <c r="BF134">
        <v>5094102201</v>
      </c>
      <c r="BG134" t="s">
        <v>333</v>
      </c>
    </row>
    <row r="135" spans="1:59">
      <c r="A135">
        <v>1115</v>
      </c>
      <c r="B135">
        <v>1115</v>
      </c>
      <c r="C135">
        <v>10</v>
      </c>
      <c r="D135">
        <v>2</v>
      </c>
      <c r="E135" t="s">
        <v>152</v>
      </c>
      <c r="F135" t="s">
        <v>153</v>
      </c>
      <c r="G135" t="s">
        <v>154</v>
      </c>
      <c r="H135">
        <v>1526005893</v>
      </c>
      <c r="I135">
        <v>1000006159</v>
      </c>
      <c r="L135" t="s">
        <v>333</v>
      </c>
      <c r="M135">
        <v>5100001928</v>
      </c>
      <c r="N135" t="s">
        <v>155</v>
      </c>
      <c r="O135" t="s">
        <v>156</v>
      </c>
      <c r="P135">
        <v>4110057393</v>
      </c>
      <c r="Q135" t="s">
        <v>192</v>
      </c>
      <c r="R135">
        <v>5000</v>
      </c>
      <c r="S135" t="s">
        <v>166</v>
      </c>
      <c r="V135" t="s">
        <v>167</v>
      </c>
      <c r="W135">
        <v>1502020122</v>
      </c>
      <c r="X135" t="s">
        <v>70</v>
      </c>
      <c r="Y135" t="str">
        <f>VLOOKUP(W135,Sheet4!$A$5:$B$71,2,0)</f>
        <v>MAX UG NEW EV</v>
      </c>
      <c r="Z135">
        <v>87082900</v>
      </c>
      <c r="AA135">
        <v>10</v>
      </c>
      <c r="AB135" t="s">
        <v>159</v>
      </c>
      <c r="AC135" s="24">
        <v>9566.51</v>
      </c>
      <c r="AD135" t="s">
        <v>160</v>
      </c>
      <c r="AE135" s="24">
        <v>95665.1</v>
      </c>
      <c r="AF135">
        <v>0</v>
      </c>
      <c r="AG135" s="24">
        <v>95665.1</v>
      </c>
      <c r="AH135">
        <v>0</v>
      </c>
      <c r="AI135">
        <v>0</v>
      </c>
      <c r="AJ135">
        <v>0</v>
      </c>
      <c r="AK135">
        <v>0</v>
      </c>
      <c r="AL135" s="24">
        <v>95665.1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 s="24">
        <v>95665.1</v>
      </c>
      <c r="AV135">
        <v>0</v>
      </c>
      <c r="AW135">
        <v>0</v>
      </c>
      <c r="AX135">
        <v>311000</v>
      </c>
      <c r="AY135" t="s">
        <v>161</v>
      </c>
      <c r="AZ135">
        <v>0</v>
      </c>
      <c r="BA135">
        <v>61</v>
      </c>
      <c r="BB135">
        <v>-61</v>
      </c>
      <c r="BC135" t="s">
        <v>193</v>
      </c>
      <c r="BD135">
        <v>1509</v>
      </c>
      <c r="BE135" t="s">
        <v>169</v>
      </c>
      <c r="BF135">
        <v>5094103267</v>
      </c>
      <c r="BG135" t="s">
        <v>333</v>
      </c>
    </row>
    <row r="136" spans="1:59">
      <c r="A136">
        <v>1115</v>
      </c>
      <c r="B136">
        <v>1115</v>
      </c>
      <c r="C136">
        <v>10</v>
      </c>
      <c r="D136">
        <v>2</v>
      </c>
      <c r="E136" t="s">
        <v>152</v>
      </c>
      <c r="F136" t="s">
        <v>153</v>
      </c>
      <c r="G136" t="s">
        <v>154</v>
      </c>
      <c r="H136">
        <v>1526005891</v>
      </c>
      <c r="I136">
        <v>1000006156</v>
      </c>
      <c r="L136" t="s">
        <v>333</v>
      </c>
      <c r="M136">
        <v>5100001934</v>
      </c>
      <c r="N136" t="s">
        <v>155</v>
      </c>
      <c r="O136" t="s">
        <v>156</v>
      </c>
      <c r="P136">
        <v>4110058649</v>
      </c>
      <c r="Q136" t="s">
        <v>196</v>
      </c>
      <c r="R136">
        <v>5000</v>
      </c>
      <c r="S136" t="s">
        <v>166</v>
      </c>
      <c r="V136" t="s">
        <v>167</v>
      </c>
      <c r="W136">
        <v>1502040217</v>
      </c>
      <c r="X136" t="s">
        <v>197</v>
      </c>
      <c r="Y136" t="str">
        <f>VLOOKUP(W136,Sheet4!$A$5:$B$71,2,0)</f>
        <v>FRONT MUDGARD GOGO</v>
      </c>
      <c r="Z136">
        <v>87082900</v>
      </c>
      <c r="AA136">
        <v>125</v>
      </c>
      <c r="AB136" t="s">
        <v>159</v>
      </c>
      <c r="AC136">
        <v>380.93</v>
      </c>
      <c r="AD136" t="s">
        <v>160</v>
      </c>
      <c r="AE136" s="24">
        <v>47616.25</v>
      </c>
      <c r="AF136">
        <v>0</v>
      </c>
      <c r="AG136" s="24">
        <v>47616.25</v>
      </c>
      <c r="AH136">
        <v>0</v>
      </c>
      <c r="AI136">
        <v>0</v>
      </c>
      <c r="AJ136">
        <v>0</v>
      </c>
      <c r="AK136">
        <v>0</v>
      </c>
      <c r="AL136" s="24">
        <v>47616.25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 s="24">
        <v>47616.25</v>
      </c>
      <c r="AV136">
        <v>0</v>
      </c>
      <c r="AW136">
        <v>0</v>
      </c>
      <c r="AX136">
        <v>311000</v>
      </c>
      <c r="AY136" t="s">
        <v>161</v>
      </c>
      <c r="AZ136">
        <v>2.13</v>
      </c>
      <c r="BA136">
        <v>2.13</v>
      </c>
      <c r="BB136">
        <v>0</v>
      </c>
      <c r="BC136" t="s">
        <v>198</v>
      </c>
      <c r="BD136">
        <v>1511</v>
      </c>
      <c r="BE136" t="s">
        <v>174</v>
      </c>
      <c r="BF136">
        <v>5094096309</v>
      </c>
      <c r="BG136" t="s">
        <v>333</v>
      </c>
    </row>
    <row r="137" spans="1:59">
      <c r="A137">
        <v>1115</v>
      </c>
      <c r="B137">
        <v>1115</v>
      </c>
      <c r="C137">
        <v>10</v>
      </c>
      <c r="D137">
        <v>2</v>
      </c>
      <c r="E137" t="s">
        <v>152</v>
      </c>
      <c r="F137" t="s">
        <v>153</v>
      </c>
      <c r="G137" t="s">
        <v>154</v>
      </c>
      <c r="H137">
        <v>1526005890</v>
      </c>
      <c r="I137">
        <v>1000006155</v>
      </c>
      <c r="L137" t="s">
        <v>333</v>
      </c>
      <c r="M137">
        <v>5100001603</v>
      </c>
      <c r="N137" t="s">
        <v>155</v>
      </c>
      <c r="O137" t="s">
        <v>156</v>
      </c>
      <c r="P137">
        <v>4110025468</v>
      </c>
      <c r="Q137" t="s">
        <v>165</v>
      </c>
      <c r="R137">
        <v>5000</v>
      </c>
      <c r="S137" t="s">
        <v>166</v>
      </c>
      <c r="V137" t="s">
        <v>167</v>
      </c>
      <c r="W137">
        <v>1502020102</v>
      </c>
      <c r="X137" t="s">
        <v>58</v>
      </c>
      <c r="Y137" t="str">
        <f>VLOOKUP(W137,Sheet4!$A$5:$B$71,2,0)</f>
        <v>MAXIMA HD</v>
      </c>
      <c r="Z137">
        <v>87082900</v>
      </c>
      <c r="AA137">
        <v>6</v>
      </c>
      <c r="AB137" t="s">
        <v>159</v>
      </c>
      <c r="AC137" s="24">
        <v>8593.51</v>
      </c>
      <c r="AD137" t="s">
        <v>160</v>
      </c>
      <c r="AE137" s="24">
        <v>51561.06</v>
      </c>
      <c r="AF137">
        <v>0</v>
      </c>
      <c r="AG137" s="24">
        <v>51561.06</v>
      </c>
      <c r="AH137">
        <v>0</v>
      </c>
      <c r="AI137">
        <v>0</v>
      </c>
      <c r="AJ137">
        <v>0</v>
      </c>
      <c r="AK137">
        <v>0</v>
      </c>
      <c r="AL137" s="24">
        <v>51561.06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s="24">
        <v>51561.06</v>
      </c>
      <c r="AV137">
        <v>0</v>
      </c>
      <c r="AW137">
        <v>0</v>
      </c>
      <c r="AX137">
        <v>311000</v>
      </c>
      <c r="AY137" t="s">
        <v>161</v>
      </c>
      <c r="AZ137">
        <v>93.34</v>
      </c>
      <c r="BA137">
        <v>75.430000000000007</v>
      </c>
      <c r="BB137">
        <v>17.91</v>
      </c>
      <c r="BC137" t="s">
        <v>168</v>
      </c>
      <c r="BD137">
        <v>1509</v>
      </c>
      <c r="BE137" t="s">
        <v>169</v>
      </c>
      <c r="BF137">
        <v>5094096287</v>
      </c>
      <c r="BG137" t="s">
        <v>333</v>
      </c>
    </row>
    <row r="138" spans="1:59">
      <c r="A138">
        <v>1115</v>
      </c>
      <c r="B138">
        <v>1115</v>
      </c>
      <c r="C138">
        <v>10</v>
      </c>
      <c r="D138">
        <v>2</v>
      </c>
      <c r="E138" t="s">
        <v>152</v>
      </c>
      <c r="F138" t="s">
        <v>153</v>
      </c>
      <c r="G138" t="s">
        <v>154</v>
      </c>
      <c r="H138">
        <v>1526005889</v>
      </c>
      <c r="I138">
        <v>1000006153</v>
      </c>
      <c r="L138" t="s">
        <v>333</v>
      </c>
      <c r="M138">
        <v>5100001928</v>
      </c>
      <c r="N138" t="s">
        <v>155</v>
      </c>
      <c r="O138" t="s">
        <v>156</v>
      </c>
      <c r="P138">
        <v>4110057393</v>
      </c>
      <c r="Q138" t="s">
        <v>192</v>
      </c>
      <c r="R138">
        <v>5000</v>
      </c>
      <c r="S138" t="s">
        <v>166</v>
      </c>
      <c r="V138" t="s">
        <v>167</v>
      </c>
      <c r="W138">
        <v>1502020122</v>
      </c>
      <c r="X138" t="s">
        <v>70</v>
      </c>
      <c r="Y138" t="str">
        <f>VLOOKUP(W138,Sheet4!$A$5:$B$71,2,0)</f>
        <v>MAX UG NEW EV</v>
      </c>
      <c r="Z138">
        <v>87082900</v>
      </c>
      <c r="AA138">
        <v>10</v>
      </c>
      <c r="AB138" t="s">
        <v>159</v>
      </c>
      <c r="AC138" s="24">
        <v>9566.51</v>
      </c>
      <c r="AD138" t="s">
        <v>160</v>
      </c>
      <c r="AE138" s="24">
        <v>95665.1</v>
      </c>
      <c r="AF138">
        <v>0</v>
      </c>
      <c r="AG138" s="24">
        <v>95665.1</v>
      </c>
      <c r="AH138">
        <v>0</v>
      </c>
      <c r="AI138">
        <v>0</v>
      </c>
      <c r="AJ138">
        <v>0</v>
      </c>
      <c r="AK138">
        <v>0</v>
      </c>
      <c r="AL138" s="24">
        <v>95665.1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s="24">
        <v>95665.1</v>
      </c>
      <c r="AV138">
        <v>0</v>
      </c>
      <c r="AW138">
        <v>0</v>
      </c>
      <c r="AX138">
        <v>311000</v>
      </c>
      <c r="AY138" t="s">
        <v>161</v>
      </c>
      <c r="AZ138">
        <v>0</v>
      </c>
      <c r="BA138">
        <v>61</v>
      </c>
      <c r="BB138">
        <v>-61</v>
      </c>
      <c r="BC138" t="s">
        <v>193</v>
      </c>
      <c r="BD138">
        <v>1509</v>
      </c>
      <c r="BE138" t="s">
        <v>169</v>
      </c>
      <c r="BF138">
        <v>5094101774</v>
      </c>
      <c r="BG138" t="s">
        <v>333</v>
      </c>
    </row>
    <row r="139" spans="1:59">
      <c r="A139">
        <v>1115</v>
      </c>
      <c r="B139">
        <v>1115</v>
      </c>
      <c r="C139">
        <v>10</v>
      </c>
      <c r="D139">
        <v>2</v>
      </c>
      <c r="E139" t="s">
        <v>152</v>
      </c>
      <c r="F139" t="s">
        <v>153</v>
      </c>
      <c r="G139" t="s">
        <v>154</v>
      </c>
      <c r="H139">
        <v>1526005888</v>
      </c>
      <c r="I139">
        <v>1000006152</v>
      </c>
      <c r="L139" t="s">
        <v>333</v>
      </c>
      <c r="M139">
        <v>5100001928</v>
      </c>
      <c r="N139" t="s">
        <v>155</v>
      </c>
      <c r="O139" t="s">
        <v>156</v>
      </c>
      <c r="P139">
        <v>4110057393</v>
      </c>
      <c r="Q139" t="s">
        <v>192</v>
      </c>
      <c r="R139">
        <v>5000</v>
      </c>
      <c r="S139" t="s">
        <v>166</v>
      </c>
      <c r="V139" t="s">
        <v>167</v>
      </c>
      <c r="W139">
        <v>1502020122</v>
      </c>
      <c r="X139" t="s">
        <v>70</v>
      </c>
      <c r="Y139" t="str">
        <f>VLOOKUP(W139,Sheet4!$A$5:$B$71,2,0)</f>
        <v>MAX UG NEW EV</v>
      </c>
      <c r="Z139">
        <v>87082900</v>
      </c>
      <c r="AA139">
        <v>10</v>
      </c>
      <c r="AB139" t="s">
        <v>159</v>
      </c>
      <c r="AC139" s="24">
        <v>9566.51</v>
      </c>
      <c r="AD139" t="s">
        <v>160</v>
      </c>
      <c r="AE139" s="24">
        <v>95665.1</v>
      </c>
      <c r="AF139">
        <v>0</v>
      </c>
      <c r="AG139" s="24">
        <v>95665.1</v>
      </c>
      <c r="AH139">
        <v>0</v>
      </c>
      <c r="AI139">
        <v>0</v>
      </c>
      <c r="AJ139">
        <v>0</v>
      </c>
      <c r="AK139">
        <v>0</v>
      </c>
      <c r="AL139" s="24">
        <v>95665.1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s="24">
        <v>95665.1</v>
      </c>
      <c r="AV139">
        <v>0</v>
      </c>
      <c r="AW139">
        <v>0</v>
      </c>
      <c r="AX139">
        <v>311000</v>
      </c>
      <c r="AY139" t="s">
        <v>161</v>
      </c>
      <c r="AZ139">
        <v>0</v>
      </c>
      <c r="BA139">
        <v>61</v>
      </c>
      <c r="BB139">
        <v>-61</v>
      </c>
      <c r="BC139" t="s">
        <v>193</v>
      </c>
      <c r="BD139">
        <v>1509</v>
      </c>
      <c r="BE139" t="s">
        <v>169</v>
      </c>
      <c r="BF139">
        <v>5094103524</v>
      </c>
      <c r="BG139" t="s">
        <v>333</v>
      </c>
    </row>
    <row r="140" spans="1:59">
      <c r="A140">
        <v>1115</v>
      </c>
      <c r="B140">
        <v>1115</v>
      </c>
      <c r="C140">
        <v>10</v>
      </c>
      <c r="D140">
        <v>2</v>
      </c>
      <c r="E140" t="s">
        <v>152</v>
      </c>
      <c r="F140" t="s">
        <v>153</v>
      </c>
      <c r="G140" t="s">
        <v>154</v>
      </c>
      <c r="H140">
        <v>1526005887</v>
      </c>
      <c r="I140">
        <v>1000006151</v>
      </c>
      <c r="L140" t="s">
        <v>333</v>
      </c>
      <c r="M140">
        <v>5100001919</v>
      </c>
      <c r="N140" t="s">
        <v>155</v>
      </c>
      <c r="O140" t="s">
        <v>156</v>
      </c>
      <c r="P140">
        <v>5500000930</v>
      </c>
      <c r="Q140" t="s">
        <v>157</v>
      </c>
      <c r="R140">
        <v>5356</v>
      </c>
      <c r="S140" t="s">
        <v>158</v>
      </c>
      <c r="W140">
        <v>1502010011</v>
      </c>
      <c r="X140" t="s">
        <v>35</v>
      </c>
      <c r="Y140" t="str">
        <f>VLOOKUP(W140,Sheet4!$A$5:$B$71,2,0)</f>
        <v>REAR MUDGAURD</v>
      </c>
      <c r="Z140">
        <v>87082900</v>
      </c>
      <c r="AA140">
        <v>432</v>
      </c>
      <c r="AB140" t="s">
        <v>159</v>
      </c>
      <c r="AC140">
        <v>89.25</v>
      </c>
      <c r="AD140" t="s">
        <v>160</v>
      </c>
      <c r="AE140" s="24">
        <v>38556</v>
      </c>
      <c r="AF140">
        <v>0</v>
      </c>
      <c r="AG140" s="24">
        <v>38556</v>
      </c>
      <c r="AH140">
        <v>0</v>
      </c>
      <c r="AI140">
        <v>0</v>
      </c>
      <c r="AJ140">
        <v>0</v>
      </c>
      <c r="AK140">
        <v>0</v>
      </c>
      <c r="AL140" s="24">
        <v>38556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s="24">
        <v>38556</v>
      </c>
      <c r="AV140">
        <v>0</v>
      </c>
      <c r="AW140">
        <v>0</v>
      </c>
      <c r="AX140">
        <v>311000</v>
      </c>
      <c r="AY140" t="s">
        <v>161</v>
      </c>
      <c r="AZ140">
        <v>1.32</v>
      </c>
      <c r="BA140">
        <v>0.72399999999999998</v>
      </c>
      <c r="BB140">
        <v>0.59599999999999997</v>
      </c>
      <c r="BC140">
        <v>2000001017</v>
      </c>
      <c r="BD140">
        <v>1508</v>
      </c>
      <c r="BE140" t="s">
        <v>162</v>
      </c>
      <c r="BF140" t="s">
        <v>163</v>
      </c>
      <c r="BG140" t="s">
        <v>164</v>
      </c>
    </row>
    <row r="141" spans="1:59">
      <c r="A141">
        <v>1115</v>
      </c>
      <c r="B141">
        <v>1115</v>
      </c>
      <c r="C141">
        <v>10</v>
      </c>
      <c r="D141">
        <v>2</v>
      </c>
      <c r="E141" t="s">
        <v>152</v>
      </c>
      <c r="F141" t="s">
        <v>153</v>
      </c>
      <c r="G141" t="s">
        <v>154</v>
      </c>
      <c r="H141">
        <v>1526005886</v>
      </c>
      <c r="I141">
        <v>1000006150</v>
      </c>
      <c r="L141" t="s">
        <v>333</v>
      </c>
      <c r="M141">
        <v>5100001919</v>
      </c>
      <c r="N141" t="s">
        <v>155</v>
      </c>
      <c r="O141" t="s">
        <v>156</v>
      </c>
      <c r="P141">
        <v>5500000930</v>
      </c>
      <c r="Q141" t="s">
        <v>157</v>
      </c>
      <c r="R141">
        <v>5356</v>
      </c>
      <c r="S141" t="s">
        <v>158</v>
      </c>
      <c r="W141">
        <v>1502010011</v>
      </c>
      <c r="X141" t="s">
        <v>35</v>
      </c>
      <c r="Y141" t="str">
        <f>VLOOKUP(W141,Sheet4!$A$5:$B$71,2,0)</f>
        <v>REAR MUDGAURD</v>
      </c>
      <c r="Z141">
        <v>87082900</v>
      </c>
      <c r="AA141">
        <v>432</v>
      </c>
      <c r="AB141" t="s">
        <v>159</v>
      </c>
      <c r="AC141">
        <v>89.25</v>
      </c>
      <c r="AD141" t="s">
        <v>160</v>
      </c>
      <c r="AE141" s="24">
        <v>38556</v>
      </c>
      <c r="AF141">
        <v>0</v>
      </c>
      <c r="AG141" s="24">
        <v>38556</v>
      </c>
      <c r="AH141">
        <v>0</v>
      </c>
      <c r="AI141">
        <v>0</v>
      </c>
      <c r="AJ141">
        <v>0</v>
      </c>
      <c r="AK141">
        <v>0</v>
      </c>
      <c r="AL141" s="24">
        <v>38556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s="24">
        <v>38556</v>
      </c>
      <c r="AV141">
        <v>0</v>
      </c>
      <c r="AW141">
        <v>0</v>
      </c>
      <c r="AX141">
        <v>311000</v>
      </c>
      <c r="AY141" t="s">
        <v>161</v>
      </c>
      <c r="AZ141">
        <v>1.32</v>
      </c>
      <c r="BA141">
        <v>0.72399999999999998</v>
      </c>
      <c r="BB141">
        <v>0.59599999999999997</v>
      </c>
      <c r="BC141">
        <v>2000001017</v>
      </c>
      <c r="BD141">
        <v>1508</v>
      </c>
      <c r="BE141" t="s">
        <v>162</v>
      </c>
      <c r="BF141" t="s">
        <v>163</v>
      </c>
      <c r="BG141" t="s">
        <v>164</v>
      </c>
    </row>
    <row r="142" spans="1:59">
      <c r="A142">
        <v>1115</v>
      </c>
      <c r="B142">
        <v>1115</v>
      </c>
      <c r="C142">
        <v>10</v>
      </c>
      <c r="D142">
        <v>2</v>
      </c>
      <c r="E142" t="s">
        <v>152</v>
      </c>
      <c r="F142" t="s">
        <v>153</v>
      </c>
      <c r="G142" t="s">
        <v>154</v>
      </c>
      <c r="H142">
        <v>1526005885</v>
      </c>
      <c r="I142">
        <v>1000006149</v>
      </c>
      <c r="L142" t="s">
        <v>333</v>
      </c>
      <c r="M142">
        <v>5100001795</v>
      </c>
      <c r="N142" t="s">
        <v>155</v>
      </c>
      <c r="O142" t="s">
        <v>156</v>
      </c>
      <c r="P142">
        <v>4110032503</v>
      </c>
      <c r="Q142" t="s">
        <v>190</v>
      </c>
      <c r="R142">
        <v>5000</v>
      </c>
      <c r="S142" t="s">
        <v>166</v>
      </c>
      <c r="V142" t="s">
        <v>167</v>
      </c>
      <c r="W142">
        <v>1502010016</v>
      </c>
      <c r="X142" t="s">
        <v>69</v>
      </c>
      <c r="Y142" t="str">
        <f>VLOOKUP(W142,Sheet4!$A$5:$B$71,2,0)</f>
        <v>LOGISTICS</v>
      </c>
      <c r="Z142">
        <v>87082900</v>
      </c>
      <c r="AA142" s="24">
        <v>2000</v>
      </c>
      <c r="AB142" t="s">
        <v>159</v>
      </c>
      <c r="AC142">
        <v>8.4600000000000009</v>
      </c>
      <c r="AD142" t="s">
        <v>160</v>
      </c>
      <c r="AE142" s="24">
        <v>16920</v>
      </c>
      <c r="AF142">
        <v>0</v>
      </c>
      <c r="AG142" s="24">
        <v>16920</v>
      </c>
      <c r="AH142">
        <v>0</v>
      </c>
      <c r="AI142">
        <v>0</v>
      </c>
      <c r="AJ142">
        <v>0</v>
      </c>
      <c r="AK142">
        <v>0</v>
      </c>
      <c r="AL142" s="24">
        <v>16920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s="24">
        <v>16920</v>
      </c>
      <c r="AV142">
        <v>0</v>
      </c>
      <c r="AW142">
        <v>0</v>
      </c>
      <c r="AX142">
        <v>311000</v>
      </c>
      <c r="AY142" t="s">
        <v>161</v>
      </c>
      <c r="AZ142">
        <v>0.08</v>
      </c>
      <c r="BA142">
        <v>6.3E-2</v>
      </c>
      <c r="BB142">
        <v>1.7000000000000001E-2</v>
      </c>
      <c r="BC142" t="s">
        <v>191</v>
      </c>
      <c r="BD142">
        <v>1508</v>
      </c>
      <c r="BE142" t="s">
        <v>162</v>
      </c>
      <c r="BF142">
        <v>5094095857</v>
      </c>
      <c r="BG142" t="s">
        <v>333</v>
      </c>
    </row>
    <row r="143" spans="1:59">
      <c r="A143">
        <v>1115</v>
      </c>
      <c r="B143">
        <v>1115</v>
      </c>
      <c r="C143">
        <v>10</v>
      </c>
      <c r="D143">
        <v>2</v>
      </c>
      <c r="E143" t="s">
        <v>152</v>
      </c>
      <c r="F143" t="s">
        <v>153</v>
      </c>
      <c r="G143" t="s">
        <v>154</v>
      </c>
      <c r="H143">
        <v>1526005884</v>
      </c>
      <c r="I143">
        <v>1000006148</v>
      </c>
      <c r="L143" t="s">
        <v>333</v>
      </c>
      <c r="M143">
        <v>5100001955</v>
      </c>
      <c r="N143" t="s">
        <v>155</v>
      </c>
      <c r="O143" t="s">
        <v>156</v>
      </c>
      <c r="P143">
        <v>5500001432</v>
      </c>
      <c r="Q143" t="s">
        <v>320</v>
      </c>
      <c r="R143">
        <v>5356</v>
      </c>
      <c r="S143" t="s">
        <v>158</v>
      </c>
      <c r="W143">
        <v>1104040829</v>
      </c>
      <c r="X143" t="s">
        <v>321</v>
      </c>
      <c r="Y143" t="s">
        <v>339</v>
      </c>
      <c r="Z143">
        <v>87141090</v>
      </c>
      <c r="AA143">
        <v>261</v>
      </c>
      <c r="AB143" t="s">
        <v>159</v>
      </c>
      <c r="AC143">
        <v>136.6</v>
      </c>
      <c r="AD143" t="s">
        <v>160</v>
      </c>
      <c r="AE143" s="24">
        <v>35652.6</v>
      </c>
      <c r="AF143">
        <v>0</v>
      </c>
      <c r="AG143" s="24">
        <v>35652.6</v>
      </c>
      <c r="AH143">
        <v>0</v>
      </c>
      <c r="AI143">
        <v>0</v>
      </c>
      <c r="AJ143">
        <v>0</v>
      </c>
      <c r="AK143">
        <v>0</v>
      </c>
      <c r="AL143" s="24">
        <v>35652.6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s="24">
        <v>35652.6</v>
      </c>
      <c r="AV143">
        <v>0</v>
      </c>
      <c r="AW143">
        <v>0</v>
      </c>
      <c r="AX143">
        <v>311003</v>
      </c>
      <c r="AY143" t="s">
        <v>322</v>
      </c>
      <c r="AZ143">
        <v>2.62</v>
      </c>
      <c r="BA143">
        <v>2.62</v>
      </c>
      <c r="BB143">
        <v>0</v>
      </c>
      <c r="BC143">
        <v>2000000894</v>
      </c>
      <c r="BD143">
        <v>1123</v>
      </c>
      <c r="BE143" t="s">
        <v>323</v>
      </c>
      <c r="BF143" t="s">
        <v>163</v>
      </c>
      <c r="BG143" t="s">
        <v>164</v>
      </c>
    </row>
    <row r="144" spans="1:59">
      <c r="A144">
        <v>1115</v>
      </c>
      <c r="B144">
        <v>1115</v>
      </c>
      <c r="C144">
        <v>10</v>
      </c>
      <c r="D144">
        <v>2</v>
      </c>
      <c r="E144" t="s">
        <v>152</v>
      </c>
      <c r="F144" t="s">
        <v>153</v>
      </c>
      <c r="G144" t="s">
        <v>154</v>
      </c>
      <c r="H144">
        <v>1526005883</v>
      </c>
      <c r="I144">
        <v>1000006147</v>
      </c>
      <c r="L144" t="s">
        <v>333</v>
      </c>
      <c r="M144">
        <v>5100001588</v>
      </c>
      <c r="N144" t="s">
        <v>155</v>
      </c>
      <c r="O144" t="s">
        <v>156</v>
      </c>
      <c r="P144">
        <v>4110025058</v>
      </c>
      <c r="Q144" t="s">
        <v>180</v>
      </c>
      <c r="R144">
        <v>5000</v>
      </c>
      <c r="S144" t="s">
        <v>166</v>
      </c>
      <c r="V144" t="s">
        <v>167</v>
      </c>
      <c r="W144">
        <v>1502040235</v>
      </c>
      <c r="X144" t="s">
        <v>47</v>
      </c>
      <c r="Y144" t="str">
        <f>VLOOKUP(W144,Sheet4!$A$5:$B$71,2,0)</f>
        <v>STARTING HANDLE</v>
      </c>
      <c r="Z144">
        <v>87082900</v>
      </c>
      <c r="AA144">
        <v>540</v>
      </c>
      <c r="AB144" t="s">
        <v>159</v>
      </c>
      <c r="AC144">
        <v>217.33</v>
      </c>
      <c r="AD144" t="s">
        <v>160</v>
      </c>
      <c r="AE144" s="24">
        <v>117358.2</v>
      </c>
      <c r="AF144">
        <v>0</v>
      </c>
      <c r="AG144" s="24">
        <v>117358.2</v>
      </c>
      <c r="AH144">
        <v>0</v>
      </c>
      <c r="AI144">
        <v>0</v>
      </c>
      <c r="AJ144">
        <v>0</v>
      </c>
      <c r="AK144">
        <v>0</v>
      </c>
      <c r="AL144" s="24">
        <v>117358.2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s="24">
        <v>117358.2</v>
      </c>
      <c r="AV144">
        <v>0</v>
      </c>
      <c r="AW144">
        <v>0</v>
      </c>
      <c r="AX144">
        <v>311000</v>
      </c>
      <c r="AY144" t="s">
        <v>161</v>
      </c>
      <c r="AZ144">
        <v>1.19</v>
      </c>
      <c r="BA144">
        <v>1.19</v>
      </c>
      <c r="BB144">
        <v>0</v>
      </c>
      <c r="BC144" t="s">
        <v>181</v>
      </c>
      <c r="BD144">
        <v>1511</v>
      </c>
      <c r="BE144" t="s">
        <v>174</v>
      </c>
      <c r="BF144">
        <v>5094095727</v>
      </c>
      <c r="BG144" t="s">
        <v>333</v>
      </c>
    </row>
    <row r="145" spans="1:59">
      <c r="A145">
        <v>1115</v>
      </c>
      <c r="B145">
        <v>1115</v>
      </c>
      <c r="C145">
        <v>10</v>
      </c>
      <c r="D145">
        <v>2</v>
      </c>
      <c r="E145" t="s">
        <v>152</v>
      </c>
      <c r="F145" t="s">
        <v>153</v>
      </c>
      <c r="G145" t="s">
        <v>154</v>
      </c>
      <c r="H145">
        <v>1526005882</v>
      </c>
      <c r="I145">
        <v>1000006146</v>
      </c>
      <c r="L145" t="s">
        <v>333</v>
      </c>
      <c r="M145">
        <v>5100001568</v>
      </c>
      <c r="N145" t="s">
        <v>155</v>
      </c>
      <c r="O145" t="s">
        <v>156</v>
      </c>
      <c r="P145">
        <v>4110023868</v>
      </c>
      <c r="Q145" t="s">
        <v>182</v>
      </c>
      <c r="R145">
        <v>5000</v>
      </c>
      <c r="S145" t="s">
        <v>166</v>
      </c>
      <c r="V145" t="s">
        <v>167</v>
      </c>
      <c r="W145">
        <v>1502040236</v>
      </c>
      <c r="X145" t="s">
        <v>50</v>
      </c>
      <c r="Y145" t="str">
        <f>VLOOKUP(W145,Sheet4!$A$5:$B$71,2,0)</f>
        <v>SUPPORT TOP</v>
      </c>
      <c r="Z145">
        <v>87082900</v>
      </c>
      <c r="AA145">
        <v>720</v>
      </c>
      <c r="AB145" t="s">
        <v>159</v>
      </c>
      <c r="AC145">
        <v>134.19999999999999</v>
      </c>
      <c r="AD145" t="s">
        <v>160</v>
      </c>
      <c r="AE145" s="24">
        <v>96624</v>
      </c>
      <c r="AF145">
        <v>0</v>
      </c>
      <c r="AG145" s="24">
        <v>96624</v>
      </c>
      <c r="AH145">
        <v>0</v>
      </c>
      <c r="AI145">
        <v>0</v>
      </c>
      <c r="AJ145">
        <v>0</v>
      </c>
      <c r="AK145">
        <v>0</v>
      </c>
      <c r="AL145" s="24">
        <v>96624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 s="24">
        <v>96624</v>
      </c>
      <c r="AV145">
        <v>0</v>
      </c>
      <c r="AW145">
        <v>0</v>
      </c>
      <c r="AX145">
        <v>311000</v>
      </c>
      <c r="AY145" t="s">
        <v>161</v>
      </c>
      <c r="AZ145">
        <v>1.19</v>
      </c>
      <c r="BA145">
        <v>1.19</v>
      </c>
      <c r="BB145">
        <v>0</v>
      </c>
      <c r="BC145" t="s">
        <v>183</v>
      </c>
      <c r="BD145">
        <v>1511</v>
      </c>
      <c r="BE145" t="s">
        <v>174</v>
      </c>
      <c r="BF145">
        <v>5094096020</v>
      </c>
      <c r="BG145" t="s">
        <v>333</v>
      </c>
    </row>
    <row r="146" spans="1:59">
      <c r="A146">
        <v>1115</v>
      </c>
      <c r="B146">
        <v>1115</v>
      </c>
      <c r="C146">
        <v>10</v>
      </c>
      <c r="D146">
        <v>2</v>
      </c>
      <c r="E146" t="s">
        <v>152</v>
      </c>
      <c r="F146" t="s">
        <v>153</v>
      </c>
      <c r="G146" t="s">
        <v>154</v>
      </c>
      <c r="H146">
        <v>1526005881</v>
      </c>
      <c r="I146">
        <v>1000006145</v>
      </c>
      <c r="L146" t="s">
        <v>333</v>
      </c>
      <c r="M146">
        <v>5100001919</v>
      </c>
      <c r="N146" t="s">
        <v>155</v>
      </c>
      <c r="O146" t="s">
        <v>156</v>
      </c>
      <c r="P146">
        <v>5500000930</v>
      </c>
      <c r="Q146" t="s">
        <v>157</v>
      </c>
      <c r="R146">
        <v>5356</v>
      </c>
      <c r="S146" t="s">
        <v>158</v>
      </c>
      <c r="W146">
        <v>1502010011</v>
      </c>
      <c r="X146" t="s">
        <v>35</v>
      </c>
      <c r="Y146" t="str">
        <f>VLOOKUP(W146,Sheet4!$A$5:$B$71,2,0)</f>
        <v>REAR MUDGAURD</v>
      </c>
      <c r="Z146">
        <v>87082900</v>
      </c>
      <c r="AA146">
        <v>432</v>
      </c>
      <c r="AB146" t="s">
        <v>159</v>
      </c>
      <c r="AC146">
        <v>89.25</v>
      </c>
      <c r="AD146" t="s">
        <v>160</v>
      </c>
      <c r="AE146" s="24">
        <v>38556</v>
      </c>
      <c r="AF146">
        <v>0</v>
      </c>
      <c r="AG146" s="24">
        <v>38556</v>
      </c>
      <c r="AH146">
        <v>0</v>
      </c>
      <c r="AI146">
        <v>0</v>
      </c>
      <c r="AJ146">
        <v>0</v>
      </c>
      <c r="AK146">
        <v>0</v>
      </c>
      <c r="AL146" s="24">
        <v>38556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 s="24">
        <v>38556</v>
      </c>
      <c r="AV146">
        <v>0</v>
      </c>
      <c r="AW146">
        <v>0</v>
      </c>
      <c r="AX146">
        <v>311000</v>
      </c>
      <c r="AY146" t="s">
        <v>161</v>
      </c>
      <c r="AZ146">
        <v>1.32</v>
      </c>
      <c r="BA146">
        <v>0.72399999999999998</v>
      </c>
      <c r="BB146">
        <v>0.59599999999999997</v>
      </c>
      <c r="BC146">
        <v>2000001017</v>
      </c>
      <c r="BD146">
        <v>1508</v>
      </c>
      <c r="BE146" t="s">
        <v>162</v>
      </c>
      <c r="BF146" t="s">
        <v>163</v>
      </c>
      <c r="BG146" t="s">
        <v>164</v>
      </c>
    </row>
    <row r="147" spans="1:59">
      <c r="A147">
        <v>1115</v>
      </c>
      <c r="B147">
        <v>1115</v>
      </c>
      <c r="C147">
        <v>10</v>
      </c>
      <c r="D147">
        <v>2</v>
      </c>
      <c r="E147" t="s">
        <v>152</v>
      </c>
      <c r="F147" t="s">
        <v>153</v>
      </c>
      <c r="G147" t="s">
        <v>154</v>
      </c>
      <c r="H147">
        <v>1526005880</v>
      </c>
      <c r="I147">
        <v>1000006144</v>
      </c>
      <c r="L147" t="s">
        <v>333</v>
      </c>
      <c r="M147">
        <v>5100001919</v>
      </c>
      <c r="N147" t="s">
        <v>155</v>
      </c>
      <c r="O147" t="s">
        <v>156</v>
      </c>
      <c r="P147">
        <v>5500000930</v>
      </c>
      <c r="Q147" t="s">
        <v>157</v>
      </c>
      <c r="R147">
        <v>5356</v>
      </c>
      <c r="S147" t="s">
        <v>158</v>
      </c>
      <c r="W147">
        <v>1502010011</v>
      </c>
      <c r="X147" t="s">
        <v>35</v>
      </c>
      <c r="Y147" t="str">
        <f>VLOOKUP(W147,Sheet4!$A$5:$B$71,2,0)</f>
        <v>REAR MUDGAURD</v>
      </c>
      <c r="Z147">
        <v>87082900</v>
      </c>
      <c r="AA147">
        <v>432</v>
      </c>
      <c r="AB147" t="s">
        <v>159</v>
      </c>
      <c r="AC147">
        <v>89.25</v>
      </c>
      <c r="AD147" t="s">
        <v>160</v>
      </c>
      <c r="AE147" s="24">
        <v>38556</v>
      </c>
      <c r="AF147">
        <v>0</v>
      </c>
      <c r="AG147" s="24">
        <v>38556</v>
      </c>
      <c r="AH147">
        <v>0</v>
      </c>
      <c r="AI147">
        <v>0</v>
      </c>
      <c r="AJ147">
        <v>0</v>
      </c>
      <c r="AK147">
        <v>0</v>
      </c>
      <c r="AL147" s="24">
        <v>38556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s="24">
        <v>38556</v>
      </c>
      <c r="AV147">
        <v>0</v>
      </c>
      <c r="AW147">
        <v>0</v>
      </c>
      <c r="AX147">
        <v>311000</v>
      </c>
      <c r="AY147" t="s">
        <v>161</v>
      </c>
      <c r="AZ147">
        <v>1.32</v>
      </c>
      <c r="BA147">
        <v>0.72399999999999998</v>
      </c>
      <c r="BB147">
        <v>0.59599999999999997</v>
      </c>
      <c r="BC147">
        <v>2000001017</v>
      </c>
      <c r="BD147">
        <v>1508</v>
      </c>
      <c r="BE147" t="s">
        <v>162</v>
      </c>
      <c r="BF147" t="s">
        <v>163</v>
      </c>
      <c r="BG147" t="s">
        <v>164</v>
      </c>
    </row>
    <row r="148" spans="1:59">
      <c r="A148">
        <v>1115</v>
      </c>
      <c r="B148">
        <v>1115</v>
      </c>
      <c r="C148">
        <v>10</v>
      </c>
      <c r="D148">
        <v>2</v>
      </c>
      <c r="E148" t="s">
        <v>152</v>
      </c>
      <c r="F148" t="s">
        <v>153</v>
      </c>
      <c r="G148" t="s">
        <v>154</v>
      </c>
      <c r="H148">
        <v>1526005879</v>
      </c>
      <c r="I148">
        <v>1000006143</v>
      </c>
      <c r="L148" t="s">
        <v>333</v>
      </c>
      <c r="M148">
        <v>5100001919</v>
      </c>
      <c r="N148" t="s">
        <v>155</v>
      </c>
      <c r="O148" t="s">
        <v>156</v>
      </c>
      <c r="P148">
        <v>5500000930</v>
      </c>
      <c r="Q148" t="s">
        <v>157</v>
      </c>
      <c r="R148">
        <v>5356</v>
      </c>
      <c r="S148" t="s">
        <v>158</v>
      </c>
      <c r="W148">
        <v>1502010011</v>
      </c>
      <c r="X148" t="s">
        <v>35</v>
      </c>
      <c r="Y148" t="str">
        <f>VLOOKUP(W148,Sheet4!$A$5:$B$71,2,0)</f>
        <v>REAR MUDGAURD</v>
      </c>
      <c r="Z148">
        <v>87082900</v>
      </c>
      <c r="AA148">
        <v>432</v>
      </c>
      <c r="AB148" t="s">
        <v>159</v>
      </c>
      <c r="AC148">
        <v>89.25</v>
      </c>
      <c r="AD148" t="s">
        <v>160</v>
      </c>
      <c r="AE148" s="24">
        <v>38556</v>
      </c>
      <c r="AF148">
        <v>0</v>
      </c>
      <c r="AG148" s="24">
        <v>38556</v>
      </c>
      <c r="AH148">
        <v>0</v>
      </c>
      <c r="AI148">
        <v>0</v>
      </c>
      <c r="AJ148">
        <v>0</v>
      </c>
      <c r="AK148">
        <v>0</v>
      </c>
      <c r="AL148" s="24">
        <v>38556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s="24">
        <v>38556</v>
      </c>
      <c r="AV148">
        <v>0</v>
      </c>
      <c r="AW148">
        <v>0</v>
      </c>
      <c r="AX148">
        <v>311000</v>
      </c>
      <c r="AY148" t="s">
        <v>161</v>
      </c>
      <c r="AZ148">
        <v>1.32</v>
      </c>
      <c r="BA148">
        <v>0.72399999999999998</v>
      </c>
      <c r="BB148">
        <v>0.59599999999999997</v>
      </c>
      <c r="BC148">
        <v>2000001017</v>
      </c>
      <c r="BD148">
        <v>1508</v>
      </c>
      <c r="BE148" t="s">
        <v>162</v>
      </c>
      <c r="BF148" t="s">
        <v>163</v>
      </c>
      <c r="BG148" t="s">
        <v>164</v>
      </c>
    </row>
    <row r="149" spans="1:59">
      <c r="A149">
        <v>1115</v>
      </c>
      <c r="B149">
        <v>1115</v>
      </c>
      <c r="C149">
        <v>10</v>
      </c>
      <c r="D149">
        <v>2</v>
      </c>
      <c r="E149" t="s">
        <v>152</v>
      </c>
      <c r="F149" t="s">
        <v>153</v>
      </c>
      <c r="G149" t="s">
        <v>154</v>
      </c>
      <c r="H149">
        <v>1526005878</v>
      </c>
      <c r="I149">
        <v>1000006142</v>
      </c>
      <c r="L149" t="s">
        <v>333</v>
      </c>
      <c r="M149">
        <v>5100001925</v>
      </c>
      <c r="N149" t="s">
        <v>155</v>
      </c>
      <c r="O149" t="s">
        <v>156</v>
      </c>
      <c r="P149">
        <v>4110055667</v>
      </c>
      <c r="Q149" t="s">
        <v>185</v>
      </c>
      <c r="R149">
        <v>5000</v>
      </c>
      <c r="S149" t="s">
        <v>166</v>
      </c>
      <c r="V149" t="s">
        <v>167</v>
      </c>
      <c r="W149">
        <v>1502040318</v>
      </c>
      <c r="X149" t="s">
        <v>72</v>
      </c>
      <c r="Y149" t="str">
        <f>VLOOKUP(W149,Sheet4!$A$5:$B$71,2,0)</f>
        <v>Re Side Door</v>
      </c>
      <c r="Z149">
        <v>87082900</v>
      </c>
      <c r="AA149">
        <v>120</v>
      </c>
      <c r="AB149" t="s">
        <v>159</v>
      </c>
      <c r="AC149">
        <v>506.59</v>
      </c>
      <c r="AD149" t="s">
        <v>160</v>
      </c>
      <c r="AE149" s="24">
        <v>60790.8</v>
      </c>
      <c r="AF149">
        <v>0</v>
      </c>
      <c r="AG149" s="24">
        <v>60790.8</v>
      </c>
      <c r="AH149">
        <v>0</v>
      </c>
      <c r="AI149">
        <v>0</v>
      </c>
      <c r="AJ149">
        <v>0</v>
      </c>
      <c r="AK149">
        <v>0</v>
      </c>
      <c r="AL149" s="24">
        <v>60790.8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 s="24">
        <v>60790.8</v>
      </c>
      <c r="AV149">
        <v>0</v>
      </c>
      <c r="AW149">
        <v>0</v>
      </c>
      <c r="AX149">
        <v>311000</v>
      </c>
      <c r="AY149" t="s">
        <v>161</v>
      </c>
      <c r="AZ149">
        <v>2.27</v>
      </c>
      <c r="BA149">
        <v>2.27</v>
      </c>
      <c r="BB149">
        <v>0</v>
      </c>
      <c r="BC149" t="s">
        <v>187</v>
      </c>
      <c r="BD149">
        <v>1511</v>
      </c>
      <c r="BE149" t="s">
        <v>174</v>
      </c>
      <c r="BF149">
        <v>5094100726</v>
      </c>
      <c r="BG149" t="s">
        <v>333</v>
      </c>
    </row>
    <row r="150" spans="1:59">
      <c r="A150">
        <v>1115</v>
      </c>
      <c r="B150">
        <v>1115</v>
      </c>
      <c r="C150">
        <v>10</v>
      </c>
      <c r="D150">
        <v>2</v>
      </c>
      <c r="E150" t="s">
        <v>152</v>
      </c>
      <c r="F150" t="s">
        <v>153</v>
      </c>
      <c r="G150" t="s">
        <v>154</v>
      </c>
      <c r="H150">
        <v>1526005876</v>
      </c>
      <c r="I150">
        <v>1000006140</v>
      </c>
      <c r="L150" t="s">
        <v>333</v>
      </c>
      <c r="M150">
        <v>5100001928</v>
      </c>
      <c r="N150" t="s">
        <v>155</v>
      </c>
      <c r="O150" t="s">
        <v>156</v>
      </c>
      <c r="P150">
        <v>4110057393</v>
      </c>
      <c r="Q150" t="s">
        <v>192</v>
      </c>
      <c r="R150">
        <v>5000</v>
      </c>
      <c r="S150" t="s">
        <v>166</v>
      </c>
      <c r="V150" t="s">
        <v>167</v>
      </c>
      <c r="W150">
        <v>1502020122</v>
      </c>
      <c r="X150" t="s">
        <v>70</v>
      </c>
      <c r="Y150" t="str">
        <f>VLOOKUP(W150,Sheet4!$A$5:$B$71,2,0)</f>
        <v>MAX UG NEW EV</v>
      </c>
      <c r="Z150">
        <v>87082900</v>
      </c>
      <c r="AA150">
        <v>10</v>
      </c>
      <c r="AB150" t="s">
        <v>159</v>
      </c>
      <c r="AC150" s="24">
        <v>9566.51</v>
      </c>
      <c r="AD150" t="s">
        <v>160</v>
      </c>
      <c r="AE150" s="24">
        <v>95665.1</v>
      </c>
      <c r="AF150">
        <v>0</v>
      </c>
      <c r="AG150" s="24">
        <v>95665.1</v>
      </c>
      <c r="AH150">
        <v>0</v>
      </c>
      <c r="AI150">
        <v>0</v>
      </c>
      <c r="AJ150">
        <v>0</v>
      </c>
      <c r="AK150">
        <v>0</v>
      </c>
      <c r="AL150" s="24">
        <v>95665.1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s="24">
        <v>95665.1</v>
      </c>
      <c r="AV150">
        <v>0</v>
      </c>
      <c r="AW150">
        <v>0</v>
      </c>
      <c r="AX150">
        <v>311000</v>
      </c>
      <c r="AY150" t="s">
        <v>161</v>
      </c>
      <c r="AZ150">
        <v>0</v>
      </c>
      <c r="BA150">
        <v>61</v>
      </c>
      <c r="BB150">
        <v>-61</v>
      </c>
      <c r="BC150" t="s">
        <v>193</v>
      </c>
      <c r="BD150">
        <v>1509</v>
      </c>
      <c r="BE150" t="s">
        <v>169</v>
      </c>
      <c r="BF150">
        <v>5094103263</v>
      </c>
      <c r="BG150" t="s">
        <v>333</v>
      </c>
    </row>
    <row r="151" spans="1:59">
      <c r="A151">
        <v>1115</v>
      </c>
      <c r="B151">
        <v>1115</v>
      </c>
      <c r="C151">
        <v>10</v>
      </c>
      <c r="D151">
        <v>2</v>
      </c>
      <c r="E151" t="s">
        <v>152</v>
      </c>
      <c r="F151" t="s">
        <v>153</v>
      </c>
      <c r="G151" t="s">
        <v>154</v>
      </c>
      <c r="H151">
        <v>1526005875</v>
      </c>
      <c r="I151">
        <v>1000006139</v>
      </c>
      <c r="L151" t="s">
        <v>333</v>
      </c>
      <c r="M151">
        <v>5100001925</v>
      </c>
      <c r="N151" t="s">
        <v>155</v>
      </c>
      <c r="O151" t="s">
        <v>156</v>
      </c>
      <c r="P151">
        <v>4110055667</v>
      </c>
      <c r="Q151" t="s">
        <v>185</v>
      </c>
      <c r="R151">
        <v>5000</v>
      </c>
      <c r="S151" t="s">
        <v>166</v>
      </c>
      <c r="V151" t="s">
        <v>167</v>
      </c>
      <c r="W151">
        <v>1502040317</v>
      </c>
      <c r="X151" t="s">
        <v>73</v>
      </c>
      <c r="Y151" t="str">
        <f>VLOOKUP(W151,Sheet4!$A$5:$B$71,2,0)</f>
        <v>Re Side Door</v>
      </c>
      <c r="Z151">
        <v>87082900</v>
      </c>
      <c r="AA151">
        <v>120</v>
      </c>
      <c r="AB151" t="s">
        <v>159</v>
      </c>
      <c r="AC151">
        <v>506.59</v>
      </c>
      <c r="AD151" t="s">
        <v>160</v>
      </c>
      <c r="AE151" s="24">
        <v>60790.8</v>
      </c>
      <c r="AF151">
        <v>0</v>
      </c>
      <c r="AG151" s="24">
        <v>60790.8</v>
      </c>
      <c r="AH151">
        <v>0</v>
      </c>
      <c r="AI151">
        <v>0</v>
      </c>
      <c r="AJ151">
        <v>0</v>
      </c>
      <c r="AK151">
        <v>0</v>
      </c>
      <c r="AL151" s="24">
        <v>60790.8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s="24">
        <v>60790.8</v>
      </c>
      <c r="AV151">
        <v>0</v>
      </c>
      <c r="AW151">
        <v>0</v>
      </c>
      <c r="AX151">
        <v>311000</v>
      </c>
      <c r="AY151" t="s">
        <v>161</v>
      </c>
      <c r="AZ151">
        <v>2.27</v>
      </c>
      <c r="BA151">
        <v>2.27</v>
      </c>
      <c r="BB151">
        <v>0</v>
      </c>
      <c r="BC151" t="s">
        <v>186</v>
      </c>
      <c r="BD151">
        <v>1511</v>
      </c>
      <c r="BE151" t="s">
        <v>174</v>
      </c>
      <c r="BF151">
        <v>5094100727</v>
      </c>
      <c r="BG151" t="s">
        <v>333</v>
      </c>
    </row>
    <row r="152" spans="1:59">
      <c r="A152">
        <v>1115</v>
      </c>
      <c r="B152">
        <v>1115</v>
      </c>
      <c r="C152">
        <v>10</v>
      </c>
      <c r="D152">
        <v>2</v>
      </c>
      <c r="E152" t="s">
        <v>152</v>
      </c>
      <c r="F152" t="s">
        <v>153</v>
      </c>
      <c r="G152" t="s">
        <v>154</v>
      </c>
      <c r="H152">
        <v>1526005874</v>
      </c>
      <c r="I152">
        <v>1000006138</v>
      </c>
      <c r="L152" t="s">
        <v>333</v>
      </c>
      <c r="M152">
        <v>5100001928</v>
      </c>
      <c r="N152" t="s">
        <v>155</v>
      </c>
      <c r="O152" t="s">
        <v>156</v>
      </c>
      <c r="P152">
        <v>4110057393</v>
      </c>
      <c r="Q152" t="s">
        <v>192</v>
      </c>
      <c r="R152">
        <v>5000</v>
      </c>
      <c r="S152" t="s">
        <v>166</v>
      </c>
      <c r="V152" t="s">
        <v>167</v>
      </c>
      <c r="W152">
        <v>1502020122</v>
      </c>
      <c r="X152" t="s">
        <v>70</v>
      </c>
      <c r="Y152" t="str">
        <f>VLOOKUP(W152,Sheet4!$A$5:$B$71,2,0)</f>
        <v>MAX UG NEW EV</v>
      </c>
      <c r="Z152">
        <v>87082900</v>
      </c>
      <c r="AA152">
        <v>10</v>
      </c>
      <c r="AB152" t="s">
        <v>159</v>
      </c>
      <c r="AC152" s="24">
        <v>9566.51</v>
      </c>
      <c r="AD152" t="s">
        <v>160</v>
      </c>
      <c r="AE152" s="24">
        <v>95665.1</v>
      </c>
      <c r="AF152">
        <v>0</v>
      </c>
      <c r="AG152" s="24">
        <v>95665.1</v>
      </c>
      <c r="AH152">
        <v>0</v>
      </c>
      <c r="AI152">
        <v>0</v>
      </c>
      <c r="AJ152">
        <v>0</v>
      </c>
      <c r="AK152">
        <v>0</v>
      </c>
      <c r="AL152" s="24">
        <v>95665.1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s="24">
        <v>95665.1</v>
      </c>
      <c r="AV152">
        <v>0</v>
      </c>
      <c r="AW152">
        <v>0</v>
      </c>
      <c r="AX152">
        <v>311000</v>
      </c>
      <c r="AY152" t="s">
        <v>161</v>
      </c>
      <c r="AZ152">
        <v>0</v>
      </c>
      <c r="BA152">
        <v>61</v>
      </c>
      <c r="BB152">
        <v>-61</v>
      </c>
      <c r="BC152" t="s">
        <v>193</v>
      </c>
      <c r="BD152">
        <v>1509</v>
      </c>
      <c r="BE152" t="s">
        <v>169</v>
      </c>
      <c r="BF152">
        <v>5094101035</v>
      </c>
      <c r="BG152" t="s">
        <v>333</v>
      </c>
    </row>
    <row r="153" spans="1:59">
      <c r="A153">
        <v>1115</v>
      </c>
      <c r="B153">
        <v>1115</v>
      </c>
      <c r="C153">
        <v>10</v>
      </c>
      <c r="D153">
        <v>2</v>
      </c>
      <c r="E153" t="s">
        <v>152</v>
      </c>
      <c r="F153" t="s">
        <v>153</v>
      </c>
      <c r="G153" t="s">
        <v>154</v>
      </c>
      <c r="H153">
        <v>1526005873</v>
      </c>
      <c r="I153">
        <v>1000006137</v>
      </c>
      <c r="L153" t="s">
        <v>333</v>
      </c>
      <c r="M153">
        <v>5100001919</v>
      </c>
      <c r="N153" t="s">
        <v>155</v>
      </c>
      <c r="O153" t="s">
        <v>156</v>
      </c>
      <c r="P153">
        <v>5500000930</v>
      </c>
      <c r="Q153" t="s">
        <v>157</v>
      </c>
      <c r="R153">
        <v>5356</v>
      </c>
      <c r="S153" t="s">
        <v>158</v>
      </c>
      <c r="W153">
        <v>1502010011</v>
      </c>
      <c r="X153" t="s">
        <v>35</v>
      </c>
      <c r="Y153" t="str">
        <f>VLOOKUP(W153,Sheet4!$A$5:$B$71,2,0)</f>
        <v>REAR MUDGAURD</v>
      </c>
      <c r="Z153">
        <v>87082900</v>
      </c>
      <c r="AA153">
        <v>432</v>
      </c>
      <c r="AB153" t="s">
        <v>159</v>
      </c>
      <c r="AC153">
        <v>89.25</v>
      </c>
      <c r="AD153" t="s">
        <v>160</v>
      </c>
      <c r="AE153" s="24">
        <v>38556</v>
      </c>
      <c r="AF153">
        <v>0</v>
      </c>
      <c r="AG153" s="24">
        <v>38556</v>
      </c>
      <c r="AH153">
        <v>0</v>
      </c>
      <c r="AI153">
        <v>0</v>
      </c>
      <c r="AJ153">
        <v>0</v>
      </c>
      <c r="AK153">
        <v>0</v>
      </c>
      <c r="AL153" s="24">
        <v>38556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s="24">
        <v>38556</v>
      </c>
      <c r="AV153">
        <v>0</v>
      </c>
      <c r="AW153">
        <v>0</v>
      </c>
      <c r="AX153">
        <v>311000</v>
      </c>
      <c r="AY153" t="s">
        <v>161</v>
      </c>
      <c r="AZ153">
        <v>1.32</v>
      </c>
      <c r="BA153">
        <v>0.72399999999999998</v>
      </c>
      <c r="BB153">
        <v>0.59599999999999997</v>
      </c>
      <c r="BC153">
        <v>2000001017</v>
      </c>
      <c r="BD153">
        <v>1508</v>
      </c>
      <c r="BE153" t="s">
        <v>162</v>
      </c>
      <c r="BF153" t="s">
        <v>163</v>
      </c>
      <c r="BG153" t="s">
        <v>164</v>
      </c>
    </row>
    <row r="154" spans="1:59">
      <c r="A154">
        <v>1115</v>
      </c>
      <c r="B154">
        <v>1115</v>
      </c>
      <c r="C154">
        <v>10</v>
      </c>
      <c r="D154">
        <v>2</v>
      </c>
      <c r="E154" t="s">
        <v>152</v>
      </c>
      <c r="F154" t="s">
        <v>153</v>
      </c>
      <c r="G154" t="s">
        <v>154</v>
      </c>
      <c r="H154">
        <v>1526005872</v>
      </c>
      <c r="I154">
        <v>1000006136</v>
      </c>
      <c r="L154" t="s">
        <v>333</v>
      </c>
      <c r="M154">
        <v>5100001636</v>
      </c>
      <c r="N154" t="s">
        <v>155</v>
      </c>
      <c r="O154" t="s">
        <v>156</v>
      </c>
      <c r="P154">
        <v>4110026445</v>
      </c>
      <c r="Q154" t="s">
        <v>170</v>
      </c>
      <c r="R154">
        <v>5000</v>
      </c>
      <c r="S154" t="s">
        <v>166</v>
      </c>
      <c r="V154" t="s">
        <v>167</v>
      </c>
      <c r="W154">
        <v>1502020104</v>
      </c>
      <c r="X154" t="s">
        <v>26</v>
      </c>
      <c r="Y154" t="str">
        <f>VLOOKUP(W154,Sheet4!$A$5:$B$71,2,0)</f>
        <v>RE STYLING</v>
      </c>
      <c r="Z154">
        <v>87082900</v>
      </c>
      <c r="AA154">
        <v>15</v>
      </c>
      <c r="AB154" t="s">
        <v>159</v>
      </c>
      <c r="AC154" s="24">
        <v>6585.55</v>
      </c>
      <c r="AD154" t="s">
        <v>160</v>
      </c>
      <c r="AE154" s="24">
        <v>98783.25</v>
      </c>
      <c r="AF154">
        <v>0</v>
      </c>
      <c r="AG154" s="24">
        <v>98783.25</v>
      </c>
      <c r="AH154">
        <v>0</v>
      </c>
      <c r="AI154">
        <v>0</v>
      </c>
      <c r="AJ154">
        <v>0</v>
      </c>
      <c r="AK154">
        <v>0</v>
      </c>
      <c r="AL154" s="24">
        <v>98783.25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s="24">
        <v>98783.25</v>
      </c>
      <c r="AV154">
        <v>0</v>
      </c>
      <c r="AW154">
        <v>0</v>
      </c>
      <c r="AX154">
        <v>311000</v>
      </c>
      <c r="AY154" t="s">
        <v>161</v>
      </c>
      <c r="AZ154">
        <v>49.75</v>
      </c>
      <c r="BA154">
        <v>49.75</v>
      </c>
      <c r="BB154">
        <v>0</v>
      </c>
      <c r="BC154" t="s">
        <v>171</v>
      </c>
      <c r="BD154">
        <v>1509</v>
      </c>
      <c r="BE154" t="s">
        <v>169</v>
      </c>
      <c r="BF154">
        <v>5094100090</v>
      </c>
      <c r="BG154" t="s">
        <v>333</v>
      </c>
    </row>
    <row r="155" spans="1:59">
      <c r="A155">
        <v>1115</v>
      </c>
      <c r="B155">
        <v>1115</v>
      </c>
      <c r="C155">
        <v>10</v>
      </c>
      <c r="D155">
        <v>2</v>
      </c>
      <c r="E155" t="s">
        <v>152</v>
      </c>
      <c r="F155" t="s">
        <v>153</v>
      </c>
      <c r="G155" t="s">
        <v>154</v>
      </c>
      <c r="H155">
        <v>1526005871</v>
      </c>
      <c r="I155">
        <v>1000006135</v>
      </c>
      <c r="L155" t="s">
        <v>333</v>
      </c>
      <c r="M155">
        <v>5100001919</v>
      </c>
      <c r="N155" t="s">
        <v>155</v>
      </c>
      <c r="O155" t="s">
        <v>156</v>
      </c>
      <c r="P155">
        <v>5500000930</v>
      </c>
      <c r="Q155" t="s">
        <v>157</v>
      </c>
      <c r="R155">
        <v>5356</v>
      </c>
      <c r="S155" t="s">
        <v>158</v>
      </c>
      <c r="W155">
        <v>1502010011</v>
      </c>
      <c r="X155" t="s">
        <v>35</v>
      </c>
      <c r="Y155" t="str">
        <f>VLOOKUP(W155,Sheet4!$A$5:$B$71,2,0)</f>
        <v>REAR MUDGAURD</v>
      </c>
      <c r="Z155">
        <v>87082900</v>
      </c>
      <c r="AA155">
        <v>432</v>
      </c>
      <c r="AB155" t="s">
        <v>159</v>
      </c>
      <c r="AC155">
        <v>89.25</v>
      </c>
      <c r="AD155" t="s">
        <v>160</v>
      </c>
      <c r="AE155" s="24">
        <v>38556</v>
      </c>
      <c r="AF155">
        <v>0</v>
      </c>
      <c r="AG155" s="24">
        <v>38556</v>
      </c>
      <c r="AH155">
        <v>0</v>
      </c>
      <c r="AI155">
        <v>0</v>
      </c>
      <c r="AJ155">
        <v>0</v>
      </c>
      <c r="AK155">
        <v>0</v>
      </c>
      <c r="AL155" s="24">
        <v>38556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s="24">
        <v>38556</v>
      </c>
      <c r="AV155">
        <v>0</v>
      </c>
      <c r="AW155">
        <v>0</v>
      </c>
      <c r="AX155">
        <v>311000</v>
      </c>
      <c r="AY155" t="s">
        <v>161</v>
      </c>
      <c r="AZ155">
        <v>1.32</v>
      </c>
      <c r="BA155">
        <v>0.72399999999999998</v>
      </c>
      <c r="BB155">
        <v>0.59599999999999997</v>
      </c>
      <c r="BC155">
        <v>2000001017</v>
      </c>
      <c r="BD155">
        <v>1508</v>
      </c>
      <c r="BE155" t="s">
        <v>162</v>
      </c>
      <c r="BF155" t="s">
        <v>163</v>
      </c>
      <c r="BG155" t="s">
        <v>164</v>
      </c>
    </row>
    <row r="156" spans="1:59">
      <c r="A156">
        <v>1115</v>
      </c>
      <c r="B156">
        <v>1115</v>
      </c>
      <c r="C156">
        <v>10</v>
      </c>
      <c r="D156">
        <v>2</v>
      </c>
      <c r="E156" t="s">
        <v>152</v>
      </c>
      <c r="F156" t="s">
        <v>153</v>
      </c>
      <c r="G156" t="s">
        <v>154</v>
      </c>
      <c r="H156">
        <v>1526005870</v>
      </c>
      <c r="I156">
        <v>1000006134</v>
      </c>
      <c r="L156" t="s">
        <v>333</v>
      </c>
      <c r="M156">
        <v>5100001636</v>
      </c>
      <c r="N156" t="s">
        <v>155</v>
      </c>
      <c r="O156" t="s">
        <v>156</v>
      </c>
      <c r="P156">
        <v>4110026445</v>
      </c>
      <c r="Q156" t="s">
        <v>170</v>
      </c>
      <c r="R156">
        <v>5000</v>
      </c>
      <c r="S156" t="s">
        <v>166</v>
      </c>
      <c r="V156" t="s">
        <v>167</v>
      </c>
      <c r="W156">
        <v>1502020104</v>
      </c>
      <c r="X156" t="s">
        <v>26</v>
      </c>
      <c r="Y156" t="str">
        <f>VLOOKUP(W156,Sheet4!$A$5:$B$71,2,0)</f>
        <v>RE STYLING</v>
      </c>
      <c r="Z156">
        <v>87082900</v>
      </c>
      <c r="AA156">
        <v>15</v>
      </c>
      <c r="AB156" t="s">
        <v>159</v>
      </c>
      <c r="AC156" s="24">
        <v>6585.55</v>
      </c>
      <c r="AD156" t="s">
        <v>160</v>
      </c>
      <c r="AE156" s="24">
        <v>98783.25</v>
      </c>
      <c r="AF156">
        <v>0</v>
      </c>
      <c r="AG156" s="24">
        <v>98783.25</v>
      </c>
      <c r="AH156">
        <v>0</v>
      </c>
      <c r="AI156">
        <v>0</v>
      </c>
      <c r="AJ156">
        <v>0</v>
      </c>
      <c r="AK156">
        <v>0</v>
      </c>
      <c r="AL156" s="24">
        <v>98783.25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s="24">
        <v>98783.25</v>
      </c>
      <c r="AV156">
        <v>0</v>
      </c>
      <c r="AW156">
        <v>0</v>
      </c>
      <c r="AX156">
        <v>311000</v>
      </c>
      <c r="AY156" t="s">
        <v>161</v>
      </c>
      <c r="AZ156">
        <v>49.75</v>
      </c>
      <c r="BA156">
        <v>49.75</v>
      </c>
      <c r="BB156">
        <v>0</v>
      </c>
      <c r="BC156" t="s">
        <v>171</v>
      </c>
      <c r="BD156">
        <v>1509</v>
      </c>
      <c r="BE156" t="s">
        <v>169</v>
      </c>
      <c r="BF156">
        <v>5094098632</v>
      </c>
      <c r="BG156" t="s">
        <v>333</v>
      </c>
    </row>
    <row r="157" spans="1:59">
      <c r="A157">
        <v>1115</v>
      </c>
      <c r="B157">
        <v>1115</v>
      </c>
      <c r="C157">
        <v>10</v>
      </c>
      <c r="D157">
        <v>2</v>
      </c>
      <c r="E157" t="s">
        <v>152</v>
      </c>
      <c r="F157" t="s">
        <v>153</v>
      </c>
      <c r="G157" t="s">
        <v>154</v>
      </c>
      <c r="H157">
        <v>1526005868</v>
      </c>
      <c r="I157">
        <v>1000006132</v>
      </c>
      <c r="L157" t="s">
        <v>333</v>
      </c>
      <c r="M157">
        <v>5100001919</v>
      </c>
      <c r="N157" t="s">
        <v>155</v>
      </c>
      <c r="O157" t="s">
        <v>156</v>
      </c>
      <c r="P157">
        <v>5500000930</v>
      </c>
      <c r="Q157" t="s">
        <v>157</v>
      </c>
      <c r="R157">
        <v>5356</v>
      </c>
      <c r="S157" t="s">
        <v>158</v>
      </c>
      <c r="W157">
        <v>1502010011</v>
      </c>
      <c r="X157" t="s">
        <v>35</v>
      </c>
      <c r="Y157" t="str">
        <f>VLOOKUP(W157,Sheet4!$A$5:$B$71,2,0)</f>
        <v>REAR MUDGAURD</v>
      </c>
      <c r="Z157">
        <v>87082900</v>
      </c>
      <c r="AA157">
        <v>432</v>
      </c>
      <c r="AB157" t="s">
        <v>159</v>
      </c>
      <c r="AC157">
        <v>89.25</v>
      </c>
      <c r="AD157" t="s">
        <v>160</v>
      </c>
      <c r="AE157" s="24">
        <v>38556</v>
      </c>
      <c r="AF157">
        <v>0</v>
      </c>
      <c r="AG157" s="24">
        <v>38556</v>
      </c>
      <c r="AH157">
        <v>0</v>
      </c>
      <c r="AI157">
        <v>0</v>
      </c>
      <c r="AJ157">
        <v>0</v>
      </c>
      <c r="AK157">
        <v>0</v>
      </c>
      <c r="AL157" s="24">
        <v>38556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s="24">
        <v>38556</v>
      </c>
      <c r="AV157">
        <v>0</v>
      </c>
      <c r="AW157">
        <v>0</v>
      </c>
      <c r="AX157">
        <v>311000</v>
      </c>
      <c r="AY157" t="s">
        <v>161</v>
      </c>
      <c r="AZ157">
        <v>1.32</v>
      </c>
      <c r="BA157">
        <v>0.72399999999999998</v>
      </c>
      <c r="BB157">
        <v>0.59599999999999997</v>
      </c>
      <c r="BC157">
        <v>2000001017</v>
      </c>
      <c r="BD157">
        <v>1508</v>
      </c>
      <c r="BE157" t="s">
        <v>162</v>
      </c>
      <c r="BF157" t="s">
        <v>163</v>
      </c>
      <c r="BG157" t="s">
        <v>164</v>
      </c>
    </row>
    <row r="158" spans="1:59">
      <c r="A158">
        <v>1115</v>
      </c>
      <c r="B158">
        <v>1115</v>
      </c>
      <c r="C158">
        <v>10</v>
      </c>
      <c r="D158">
        <v>2</v>
      </c>
      <c r="E158" t="s">
        <v>152</v>
      </c>
      <c r="F158" t="s">
        <v>153</v>
      </c>
      <c r="G158" t="s">
        <v>154</v>
      </c>
      <c r="H158">
        <v>1526005867</v>
      </c>
      <c r="I158">
        <v>1000006131</v>
      </c>
      <c r="L158" t="s">
        <v>333</v>
      </c>
      <c r="M158">
        <v>5100001919</v>
      </c>
      <c r="N158" t="s">
        <v>155</v>
      </c>
      <c r="O158" t="s">
        <v>156</v>
      </c>
      <c r="P158">
        <v>5500000930</v>
      </c>
      <c r="Q158" t="s">
        <v>157</v>
      </c>
      <c r="R158">
        <v>5356</v>
      </c>
      <c r="S158" t="s">
        <v>158</v>
      </c>
      <c r="W158">
        <v>1502010011</v>
      </c>
      <c r="X158" t="s">
        <v>35</v>
      </c>
      <c r="Y158" t="str">
        <f>VLOOKUP(W158,Sheet4!$A$5:$B$71,2,0)</f>
        <v>REAR MUDGAURD</v>
      </c>
      <c r="Z158">
        <v>87082900</v>
      </c>
      <c r="AA158">
        <v>432</v>
      </c>
      <c r="AB158" t="s">
        <v>159</v>
      </c>
      <c r="AC158">
        <v>89.25</v>
      </c>
      <c r="AD158" t="s">
        <v>160</v>
      </c>
      <c r="AE158" s="24">
        <v>38556</v>
      </c>
      <c r="AF158">
        <v>0</v>
      </c>
      <c r="AG158" s="24">
        <v>38556</v>
      </c>
      <c r="AH158">
        <v>0</v>
      </c>
      <c r="AI158">
        <v>0</v>
      </c>
      <c r="AJ158">
        <v>0</v>
      </c>
      <c r="AK158">
        <v>0</v>
      </c>
      <c r="AL158" s="24">
        <v>38556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s="24">
        <v>38556</v>
      </c>
      <c r="AV158">
        <v>0</v>
      </c>
      <c r="AW158">
        <v>0</v>
      </c>
      <c r="AX158">
        <v>311000</v>
      </c>
      <c r="AY158" t="s">
        <v>161</v>
      </c>
      <c r="AZ158">
        <v>1.32</v>
      </c>
      <c r="BA158">
        <v>0.72399999999999998</v>
      </c>
      <c r="BB158">
        <v>0.59599999999999997</v>
      </c>
      <c r="BC158">
        <v>2000001017</v>
      </c>
      <c r="BD158">
        <v>1508</v>
      </c>
      <c r="BE158" t="s">
        <v>162</v>
      </c>
      <c r="BF158" t="s">
        <v>163</v>
      </c>
      <c r="BG158" t="s">
        <v>164</v>
      </c>
    </row>
    <row r="159" spans="1:59">
      <c r="A159">
        <v>1115</v>
      </c>
      <c r="B159">
        <v>1115</v>
      </c>
      <c r="C159">
        <v>10</v>
      </c>
      <c r="D159">
        <v>2</v>
      </c>
      <c r="E159" t="s">
        <v>152</v>
      </c>
      <c r="F159" t="s">
        <v>153</v>
      </c>
      <c r="G159" t="s">
        <v>154</v>
      </c>
      <c r="H159">
        <v>1526005866</v>
      </c>
      <c r="I159">
        <v>1000006130</v>
      </c>
      <c r="L159" t="s">
        <v>333</v>
      </c>
      <c r="M159">
        <v>5100001919</v>
      </c>
      <c r="N159" t="s">
        <v>155</v>
      </c>
      <c r="O159" t="s">
        <v>156</v>
      </c>
      <c r="P159">
        <v>5500000930</v>
      </c>
      <c r="Q159" t="s">
        <v>157</v>
      </c>
      <c r="R159">
        <v>5356</v>
      </c>
      <c r="S159" t="s">
        <v>158</v>
      </c>
      <c r="W159">
        <v>1502010011</v>
      </c>
      <c r="X159" t="s">
        <v>35</v>
      </c>
      <c r="Y159" t="str">
        <f>VLOOKUP(W159,Sheet4!$A$5:$B$71,2,0)</f>
        <v>REAR MUDGAURD</v>
      </c>
      <c r="Z159">
        <v>87082900</v>
      </c>
      <c r="AA159">
        <v>432</v>
      </c>
      <c r="AB159" t="s">
        <v>159</v>
      </c>
      <c r="AC159">
        <v>89.25</v>
      </c>
      <c r="AD159" t="s">
        <v>160</v>
      </c>
      <c r="AE159" s="24">
        <v>38556</v>
      </c>
      <c r="AF159">
        <v>0</v>
      </c>
      <c r="AG159" s="24">
        <v>38556</v>
      </c>
      <c r="AH159">
        <v>0</v>
      </c>
      <c r="AI159">
        <v>0</v>
      </c>
      <c r="AJ159">
        <v>0</v>
      </c>
      <c r="AK159">
        <v>0</v>
      </c>
      <c r="AL159" s="24">
        <v>38556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s="24">
        <v>38556</v>
      </c>
      <c r="AV159">
        <v>0</v>
      </c>
      <c r="AW159">
        <v>0</v>
      </c>
      <c r="AX159">
        <v>311000</v>
      </c>
      <c r="AY159" t="s">
        <v>161</v>
      </c>
      <c r="AZ159">
        <v>1.32</v>
      </c>
      <c r="BA159">
        <v>0.72399999999999998</v>
      </c>
      <c r="BB159">
        <v>0.59599999999999997</v>
      </c>
      <c r="BC159">
        <v>2000001017</v>
      </c>
      <c r="BD159">
        <v>1508</v>
      </c>
      <c r="BE159" t="s">
        <v>162</v>
      </c>
      <c r="BF159" t="s">
        <v>163</v>
      </c>
      <c r="BG159" t="s">
        <v>164</v>
      </c>
    </row>
    <row r="160" spans="1:59">
      <c r="A160">
        <v>1115</v>
      </c>
      <c r="B160">
        <v>1115</v>
      </c>
      <c r="C160">
        <v>10</v>
      </c>
      <c r="D160">
        <v>2</v>
      </c>
      <c r="E160" t="s">
        <v>152</v>
      </c>
      <c r="F160" t="s">
        <v>153</v>
      </c>
      <c r="G160" t="s">
        <v>154</v>
      </c>
      <c r="H160">
        <v>1526005865</v>
      </c>
      <c r="I160">
        <v>1000006129</v>
      </c>
      <c r="L160" t="s">
        <v>333</v>
      </c>
      <c r="M160">
        <v>5100001927</v>
      </c>
      <c r="N160" t="s">
        <v>155</v>
      </c>
      <c r="O160" t="s">
        <v>156</v>
      </c>
      <c r="P160">
        <v>4110053962</v>
      </c>
      <c r="Q160" t="s">
        <v>312</v>
      </c>
      <c r="R160">
        <v>5000</v>
      </c>
      <c r="S160" t="s">
        <v>166</v>
      </c>
      <c r="V160" t="s">
        <v>167</v>
      </c>
      <c r="W160">
        <v>1502040267</v>
      </c>
      <c r="X160" t="s">
        <v>63</v>
      </c>
      <c r="Y160" t="str">
        <f>VLOOKUP(W160,Sheet4!$A$5:$B$71,2,0)</f>
        <v>DASH BOARD</v>
      </c>
      <c r="Z160">
        <v>87082900</v>
      </c>
      <c r="AA160">
        <v>300</v>
      </c>
      <c r="AB160" t="s">
        <v>159</v>
      </c>
      <c r="AC160">
        <v>290.89999999999998</v>
      </c>
      <c r="AD160" t="s">
        <v>160</v>
      </c>
      <c r="AE160" s="24">
        <v>87270</v>
      </c>
      <c r="AF160">
        <v>0</v>
      </c>
      <c r="AG160" s="24">
        <v>87270</v>
      </c>
      <c r="AH160">
        <v>0</v>
      </c>
      <c r="AI160">
        <v>0</v>
      </c>
      <c r="AJ160">
        <v>0</v>
      </c>
      <c r="AK160">
        <v>0</v>
      </c>
      <c r="AL160" s="24">
        <v>87270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s="24">
        <v>87270</v>
      </c>
      <c r="AV160">
        <v>0</v>
      </c>
      <c r="AW160">
        <v>0</v>
      </c>
      <c r="AX160">
        <v>311000</v>
      </c>
      <c r="AY160" t="s">
        <v>161</v>
      </c>
      <c r="AZ160">
        <v>4.5</v>
      </c>
      <c r="BA160">
        <v>4.5</v>
      </c>
      <c r="BB160">
        <v>0</v>
      </c>
      <c r="BC160" t="s">
        <v>173</v>
      </c>
      <c r="BD160">
        <v>1511</v>
      </c>
      <c r="BE160" t="s">
        <v>174</v>
      </c>
      <c r="BF160">
        <v>5094101826</v>
      </c>
      <c r="BG160" t="s">
        <v>333</v>
      </c>
    </row>
    <row r="161" spans="1:59">
      <c r="A161">
        <v>1115</v>
      </c>
      <c r="B161">
        <v>1115</v>
      </c>
      <c r="C161">
        <v>10</v>
      </c>
      <c r="D161">
        <v>2</v>
      </c>
      <c r="E161" t="s">
        <v>152</v>
      </c>
      <c r="F161" t="s">
        <v>153</v>
      </c>
      <c r="G161" t="s">
        <v>154</v>
      </c>
      <c r="H161">
        <v>1526006140</v>
      </c>
      <c r="I161">
        <v>1000006411</v>
      </c>
      <c r="L161" t="s">
        <v>334</v>
      </c>
      <c r="M161">
        <v>5100001924</v>
      </c>
      <c r="N161" t="s">
        <v>155</v>
      </c>
      <c r="O161" t="s">
        <v>156</v>
      </c>
      <c r="P161">
        <v>4110055642</v>
      </c>
      <c r="Q161" t="s">
        <v>199</v>
      </c>
      <c r="R161">
        <v>5000</v>
      </c>
      <c r="S161" t="s">
        <v>166</v>
      </c>
      <c r="V161" t="s">
        <v>167</v>
      </c>
      <c r="W161">
        <v>1502040314</v>
      </c>
      <c r="X161" t="s">
        <v>248</v>
      </c>
      <c r="Y161" t="str">
        <f>VLOOKUP(W161,Sheet4!$A$5:$B$71,2,0)</f>
        <v>Re Side Door</v>
      </c>
      <c r="Z161">
        <v>87082900</v>
      </c>
      <c r="AA161">
        <v>120</v>
      </c>
      <c r="AB161" t="s">
        <v>159</v>
      </c>
      <c r="AC161">
        <v>504.46</v>
      </c>
      <c r="AD161" t="s">
        <v>160</v>
      </c>
      <c r="AE161" s="24">
        <v>60535.199999999997</v>
      </c>
      <c r="AF161">
        <v>0</v>
      </c>
      <c r="AG161" s="24">
        <v>60535.199999999997</v>
      </c>
      <c r="AH161">
        <v>0</v>
      </c>
      <c r="AI161">
        <v>0</v>
      </c>
      <c r="AJ161">
        <v>0</v>
      </c>
      <c r="AK161">
        <v>0</v>
      </c>
      <c r="AL161" s="24">
        <v>60535.199999999997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s="24">
        <v>60535.199999999997</v>
      </c>
      <c r="AV161">
        <v>0</v>
      </c>
      <c r="AW161">
        <v>0</v>
      </c>
      <c r="AX161">
        <v>311000</v>
      </c>
      <c r="AY161" t="s">
        <v>161</v>
      </c>
      <c r="AZ161">
        <v>2.27</v>
      </c>
      <c r="BA161">
        <v>2.27</v>
      </c>
      <c r="BB161">
        <v>0</v>
      </c>
      <c r="BC161" t="s">
        <v>249</v>
      </c>
      <c r="BD161">
        <v>1511</v>
      </c>
      <c r="BE161" t="s">
        <v>174</v>
      </c>
      <c r="BF161">
        <v>5094124117</v>
      </c>
      <c r="BG161" t="s">
        <v>334</v>
      </c>
    </row>
    <row r="162" spans="1:59">
      <c r="A162">
        <v>1115</v>
      </c>
      <c r="B162">
        <v>1115</v>
      </c>
      <c r="C162">
        <v>10</v>
      </c>
      <c r="D162">
        <v>2</v>
      </c>
      <c r="E162" t="s">
        <v>152</v>
      </c>
      <c r="F162" t="s">
        <v>153</v>
      </c>
      <c r="G162" t="s">
        <v>154</v>
      </c>
      <c r="H162">
        <v>1526006139</v>
      </c>
      <c r="I162">
        <v>1000006410</v>
      </c>
      <c r="L162" t="s">
        <v>334</v>
      </c>
      <c r="M162">
        <v>5100001924</v>
      </c>
      <c r="N162" t="s">
        <v>155</v>
      </c>
      <c r="O162" t="s">
        <v>156</v>
      </c>
      <c r="P162">
        <v>4110055642</v>
      </c>
      <c r="Q162" t="s">
        <v>199</v>
      </c>
      <c r="R162">
        <v>5000</v>
      </c>
      <c r="S162" t="s">
        <v>166</v>
      </c>
      <c r="V162" t="s">
        <v>167</v>
      </c>
      <c r="W162">
        <v>1502040313</v>
      </c>
      <c r="X162" t="s">
        <v>246</v>
      </c>
      <c r="Y162" t="str">
        <f>VLOOKUP(W162,Sheet4!$A$5:$B$71,2,0)</f>
        <v>Re Side Door</v>
      </c>
      <c r="Z162">
        <v>87082900</v>
      </c>
      <c r="AA162">
        <v>120</v>
      </c>
      <c r="AB162" t="s">
        <v>159</v>
      </c>
      <c r="AC162">
        <v>504.46</v>
      </c>
      <c r="AD162" t="s">
        <v>160</v>
      </c>
      <c r="AE162" s="24">
        <v>60535.199999999997</v>
      </c>
      <c r="AF162">
        <v>0</v>
      </c>
      <c r="AG162" s="24">
        <v>60535.199999999997</v>
      </c>
      <c r="AH162">
        <v>0</v>
      </c>
      <c r="AI162">
        <v>0</v>
      </c>
      <c r="AJ162">
        <v>0</v>
      </c>
      <c r="AK162">
        <v>0</v>
      </c>
      <c r="AL162" s="24">
        <v>60535.199999999997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s="24">
        <v>60535.199999999997</v>
      </c>
      <c r="AV162">
        <v>0</v>
      </c>
      <c r="AW162">
        <v>0</v>
      </c>
      <c r="AX162">
        <v>311000</v>
      </c>
      <c r="AY162" t="s">
        <v>161</v>
      </c>
      <c r="AZ162">
        <v>2.27</v>
      </c>
      <c r="BA162">
        <v>2.27</v>
      </c>
      <c r="BB162">
        <v>0</v>
      </c>
      <c r="BC162" t="s">
        <v>247</v>
      </c>
      <c r="BD162">
        <v>1511</v>
      </c>
      <c r="BE162" t="s">
        <v>174</v>
      </c>
      <c r="BF162">
        <v>5094124163</v>
      </c>
      <c r="BG162" t="s">
        <v>334</v>
      </c>
    </row>
    <row r="163" spans="1:59">
      <c r="A163">
        <v>1115</v>
      </c>
      <c r="B163">
        <v>1115</v>
      </c>
      <c r="C163">
        <v>10</v>
      </c>
      <c r="D163">
        <v>2</v>
      </c>
      <c r="E163" t="s">
        <v>152</v>
      </c>
      <c r="F163" t="s">
        <v>153</v>
      </c>
      <c r="G163" t="s">
        <v>154</v>
      </c>
      <c r="H163">
        <v>1526006138</v>
      </c>
      <c r="I163">
        <v>1000006409</v>
      </c>
      <c r="L163" t="s">
        <v>334</v>
      </c>
      <c r="M163">
        <v>5100001666</v>
      </c>
      <c r="N163" t="s">
        <v>155</v>
      </c>
      <c r="O163" t="s">
        <v>156</v>
      </c>
      <c r="P163">
        <v>4110027035</v>
      </c>
      <c r="Q163" t="s">
        <v>225</v>
      </c>
      <c r="R163">
        <v>5000</v>
      </c>
      <c r="S163" t="s">
        <v>166</v>
      </c>
      <c r="V163" t="s">
        <v>167</v>
      </c>
      <c r="W163">
        <v>1502020105</v>
      </c>
      <c r="X163" t="s">
        <v>226</v>
      </c>
      <c r="Y163" t="str">
        <f>VLOOKUP(W163,Sheet4!$A$5:$B$71,2,0)</f>
        <v>RE STYLING</v>
      </c>
      <c r="Z163">
        <v>87082900</v>
      </c>
      <c r="AA163">
        <v>9</v>
      </c>
      <c r="AB163" t="s">
        <v>159</v>
      </c>
      <c r="AC163" s="24">
        <v>6570.77</v>
      </c>
      <c r="AD163" t="s">
        <v>160</v>
      </c>
      <c r="AE163" s="24">
        <v>59136.93</v>
      </c>
      <c r="AF163">
        <v>0</v>
      </c>
      <c r="AG163" s="24">
        <v>59136.93</v>
      </c>
      <c r="AH163">
        <v>0</v>
      </c>
      <c r="AI163">
        <v>0</v>
      </c>
      <c r="AJ163">
        <v>0</v>
      </c>
      <c r="AK163">
        <v>0</v>
      </c>
      <c r="AL163" s="24">
        <v>59136.93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s="24">
        <v>59136.93</v>
      </c>
      <c r="AV163">
        <v>0</v>
      </c>
      <c r="AW163">
        <v>0</v>
      </c>
      <c r="AX163">
        <v>311000</v>
      </c>
      <c r="AY163" t="s">
        <v>161</v>
      </c>
      <c r="AZ163">
        <v>49.75</v>
      </c>
      <c r="BA163">
        <v>49.75</v>
      </c>
      <c r="BB163">
        <v>0</v>
      </c>
      <c r="BC163" t="s">
        <v>227</v>
      </c>
      <c r="BD163">
        <v>1509</v>
      </c>
      <c r="BE163" t="s">
        <v>169</v>
      </c>
      <c r="BF163">
        <v>5094130919</v>
      </c>
      <c r="BG163" t="s">
        <v>335</v>
      </c>
    </row>
    <row r="164" spans="1:59">
      <c r="A164">
        <v>1115</v>
      </c>
      <c r="B164">
        <v>1115</v>
      </c>
      <c r="C164">
        <v>10</v>
      </c>
      <c r="D164">
        <v>2</v>
      </c>
      <c r="E164" t="s">
        <v>152</v>
      </c>
      <c r="F164" t="s">
        <v>153</v>
      </c>
      <c r="G164" t="s">
        <v>154</v>
      </c>
      <c r="H164">
        <v>1526006137</v>
      </c>
      <c r="I164">
        <v>1000006408</v>
      </c>
      <c r="L164" t="s">
        <v>334</v>
      </c>
      <c r="M164">
        <v>5100001636</v>
      </c>
      <c r="N164" t="s">
        <v>155</v>
      </c>
      <c r="O164" t="s">
        <v>156</v>
      </c>
      <c r="P164">
        <v>4110026445</v>
      </c>
      <c r="Q164" t="s">
        <v>170</v>
      </c>
      <c r="R164">
        <v>5000</v>
      </c>
      <c r="S164" t="s">
        <v>166</v>
      </c>
      <c r="V164" t="s">
        <v>167</v>
      </c>
      <c r="W164">
        <v>1502020101</v>
      </c>
      <c r="X164" t="s">
        <v>25</v>
      </c>
      <c r="Y164" t="str">
        <f>VLOOKUP(W164,Sheet4!$A$5:$B$71,2,0)</f>
        <v>RE STYLING</v>
      </c>
      <c r="Z164">
        <v>87082900</v>
      </c>
      <c r="AA164">
        <v>6</v>
      </c>
      <c r="AB164" t="s">
        <v>159</v>
      </c>
      <c r="AC164" s="24">
        <v>6240.88</v>
      </c>
      <c r="AD164" t="s">
        <v>160</v>
      </c>
      <c r="AE164" s="24">
        <v>37445.279999999999</v>
      </c>
      <c r="AF164">
        <v>0</v>
      </c>
      <c r="AG164" s="24">
        <v>37445.279999999999</v>
      </c>
      <c r="AH164">
        <v>0</v>
      </c>
      <c r="AI164">
        <v>0</v>
      </c>
      <c r="AJ164">
        <v>0</v>
      </c>
      <c r="AK164">
        <v>0</v>
      </c>
      <c r="AL164" s="24">
        <v>37445.279999999999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s="24">
        <v>37445.279999999999</v>
      </c>
      <c r="AV164">
        <v>0</v>
      </c>
      <c r="AW164">
        <v>0</v>
      </c>
      <c r="AX164">
        <v>311000</v>
      </c>
      <c r="AY164" t="s">
        <v>161</v>
      </c>
      <c r="AZ164">
        <v>58</v>
      </c>
      <c r="BA164">
        <v>58</v>
      </c>
      <c r="BB164">
        <v>0</v>
      </c>
      <c r="BC164" t="s">
        <v>208</v>
      </c>
      <c r="BD164">
        <v>1509</v>
      </c>
      <c r="BE164" t="s">
        <v>169</v>
      </c>
      <c r="BF164">
        <v>5094130747</v>
      </c>
      <c r="BG164" t="s">
        <v>335</v>
      </c>
    </row>
    <row r="165" spans="1:59">
      <c r="A165">
        <v>1115</v>
      </c>
      <c r="B165">
        <v>1115</v>
      </c>
      <c r="C165">
        <v>10</v>
      </c>
      <c r="D165">
        <v>2</v>
      </c>
      <c r="E165" t="s">
        <v>152</v>
      </c>
      <c r="F165" t="s">
        <v>153</v>
      </c>
      <c r="G165" t="s">
        <v>154</v>
      </c>
      <c r="H165">
        <v>1526006136</v>
      </c>
      <c r="I165">
        <v>1000006407</v>
      </c>
      <c r="L165" t="s">
        <v>334</v>
      </c>
      <c r="M165">
        <v>5100001934</v>
      </c>
      <c r="N165" t="s">
        <v>155</v>
      </c>
      <c r="O165" t="s">
        <v>156</v>
      </c>
      <c r="P165">
        <v>4110058649</v>
      </c>
      <c r="Q165" t="s">
        <v>196</v>
      </c>
      <c r="R165">
        <v>5000</v>
      </c>
      <c r="S165" t="s">
        <v>166</v>
      </c>
      <c r="V165" t="s">
        <v>167</v>
      </c>
      <c r="W165">
        <v>1502040217</v>
      </c>
      <c r="X165" t="s">
        <v>197</v>
      </c>
      <c r="Y165" t="str">
        <f>VLOOKUP(W165,Sheet4!$A$5:$B$71,2,0)</f>
        <v>FRONT MUDGARD GOGO</v>
      </c>
      <c r="Z165">
        <v>87082900</v>
      </c>
      <c r="AA165">
        <v>70</v>
      </c>
      <c r="AB165" t="s">
        <v>159</v>
      </c>
      <c r="AC165">
        <v>380.93</v>
      </c>
      <c r="AD165" t="s">
        <v>160</v>
      </c>
      <c r="AE165" s="24">
        <v>26665.1</v>
      </c>
      <c r="AF165">
        <v>0</v>
      </c>
      <c r="AG165" s="24">
        <v>26665.1</v>
      </c>
      <c r="AH165">
        <v>0</v>
      </c>
      <c r="AI165">
        <v>0</v>
      </c>
      <c r="AJ165">
        <v>0</v>
      </c>
      <c r="AK165">
        <v>0</v>
      </c>
      <c r="AL165" s="24">
        <v>26665.1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s="24">
        <v>26665.1</v>
      </c>
      <c r="AV165">
        <v>0</v>
      </c>
      <c r="AW165">
        <v>0</v>
      </c>
      <c r="AX165">
        <v>311000</v>
      </c>
      <c r="AY165" t="s">
        <v>161</v>
      </c>
      <c r="AZ165">
        <v>2.13</v>
      </c>
      <c r="BA165">
        <v>2.13</v>
      </c>
      <c r="BB165">
        <v>0</v>
      </c>
      <c r="BC165" t="s">
        <v>198</v>
      </c>
      <c r="BD165">
        <v>1511</v>
      </c>
      <c r="BE165" t="s">
        <v>174</v>
      </c>
      <c r="BF165">
        <v>5094122298</v>
      </c>
      <c r="BG165" t="s">
        <v>334</v>
      </c>
    </row>
    <row r="166" spans="1:59">
      <c r="A166">
        <v>1115</v>
      </c>
      <c r="B166">
        <v>1115</v>
      </c>
      <c r="C166">
        <v>10</v>
      </c>
      <c r="D166">
        <v>2</v>
      </c>
      <c r="E166" t="s">
        <v>152</v>
      </c>
      <c r="F166" t="s">
        <v>153</v>
      </c>
      <c r="G166" t="s">
        <v>154</v>
      </c>
      <c r="H166">
        <v>1526006135</v>
      </c>
      <c r="I166">
        <v>1000006406</v>
      </c>
      <c r="L166" t="s">
        <v>334</v>
      </c>
      <c r="M166">
        <v>5100001603</v>
      </c>
      <c r="N166" t="s">
        <v>155</v>
      </c>
      <c r="O166" t="s">
        <v>156</v>
      </c>
      <c r="P166">
        <v>4110025468</v>
      </c>
      <c r="Q166" t="s">
        <v>165</v>
      </c>
      <c r="R166">
        <v>5000</v>
      </c>
      <c r="S166" t="s">
        <v>166</v>
      </c>
      <c r="V166" t="s">
        <v>167</v>
      </c>
      <c r="W166">
        <v>1502020102</v>
      </c>
      <c r="X166" t="s">
        <v>58</v>
      </c>
      <c r="Y166" t="str">
        <f>VLOOKUP(W166,Sheet4!$A$5:$B$71,2,0)</f>
        <v>MAXIMA HD</v>
      </c>
      <c r="Z166">
        <v>87082900</v>
      </c>
      <c r="AA166">
        <v>8</v>
      </c>
      <c r="AB166" t="s">
        <v>159</v>
      </c>
      <c r="AC166" s="24">
        <v>8593.51</v>
      </c>
      <c r="AD166" t="s">
        <v>160</v>
      </c>
      <c r="AE166" s="24">
        <v>68748.08</v>
      </c>
      <c r="AF166">
        <v>0</v>
      </c>
      <c r="AG166" s="24">
        <v>68748.08</v>
      </c>
      <c r="AH166">
        <v>0</v>
      </c>
      <c r="AI166">
        <v>0</v>
      </c>
      <c r="AJ166">
        <v>0</v>
      </c>
      <c r="AK166">
        <v>0</v>
      </c>
      <c r="AL166" s="24">
        <v>68748.08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s="24">
        <v>68748.08</v>
      </c>
      <c r="AV166">
        <v>0</v>
      </c>
      <c r="AW166">
        <v>0</v>
      </c>
      <c r="AX166">
        <v>311000</v>
      </c>
      <c r="AY166" t="s">
        <v>161</v>
      </c>
      <c r="AZ166">
        <v>93.34</v>
      </c>
      <c r="BA166">
        <v>75.430000000000007</v>
      </c>
      <c r="BB166">
        <v>17.91</v>
      </c>
      <c r="BC166" t="s">
        <v>168</v>
      </c>
      <c r="BD166">
        <v>1509</v>
      </c>
      <c r="BE166" t="s">
        <v>169</v>
      </c>
      <c r="BF166" t="s">
        <v>163</v>
      </c>
      <c r="BG166" t="s">
        <v>164</v>
      </c>
    </row>
    <row r="167" spans="1:59">
      <c r="A167">
        <v>1115</v>
      </c>
      <c r="B167">
        <v>1115</v>
      </c>
      <c r="C167">
        <v>10</v>
      </c>
      <c r="D167">
        <v>2</v>
      </c>
      <c r="E167" t="s">
        <v>152</v>
      </c>
      <c r="F167" t="s">
        <v>153</v>
      </c>
      <c r="G167" t="s">
        <v>154</v>
      </c>
      <c r="H167">
        <v>1526006134</v>
      </c>
      <c r="I167">
        <v>1000006405</v>
      </c>
      <c r="L167" t="s">
        <v>334</v>
      </c>
      <c r="M167">
        <v>5100001603</v>
      </c>
      <c r="N167" t="s">
        <v>155</v>
      </c>
      <c r="O167" t="s">
        <v>156</v>
      </c>
      <c r="P167">
        <v>4110025468</v>
      </c>
      <c r="Q167" t="s">
        <v>165</v>
      </c>
      <c r="R167">
        <v>5000</v>
      </c>
      <c r="S167" t="s">
        <v>166</v>
      </c>
      <c r="V167" t="s">
        <v>167</v>
      </c>
      <c r="W167">
        <v>1502020102</v>
      </c>
      <c r="X167" t="s">
        <v>58</v>
      </c>
      <c r="Y167" t="str">
        <f>VLOOKUP(W167,Sheet4!$A$5:$B$71,2,0)</f>
        <v>MAXIMA HD</v>
      </c>
      <c r="Z167">
        <v>87082900</v>
      </c>
      <c r="AA167">
        <v>8</v>
      </c>
      <c r="AB167" t="s">
        <v>159</v>
      </c>
      <c r="AC167" s="24">
        <v>8593.51</v>
      </c>
      <c r="AD167" t="s">
        <v>160</v>
      </c>
      <c r="AE167" s="24">
        <v>68748.08</v>
      </c>
      <c r="AF167">
        <v>0</v>
      </c>
      <c r="AG167" s="24">
        <v>68748.08</v>
      </c>
      <c r="AH167">
        <v>0</v>
      </c>
      <c r="AI167">
        <v>0</v>
      </c>
      <c r="AJ167">
        <v>0</v>
      </c>
      <c r="AK167">
        <v>0</v>
      </c>
      <c r="AL167" s="24">
        <v>68748.08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s="24">
        <v>68748.08</v>
      </c>
      <c r="AV167">
        <v>0</v>
      </c>
      <c r="AW167">
        <v>0</v>
      </c>
      <c r="AX167">
        <v>311000</v>
      </c>
      <c r="AY167" t="s">
        <v>161</v>
      </c>
      <c r="AZ167">
        <v>93.34</v>
      </c>
      <c r="BA167">
        <v>75.430000000000007</v>
      </c>
      <c r="BB167">
        <v>17.91</v>
      </c>
      <c r="BC167" t="s">
        <v>168</v>
      </c>
      <c r="BD167">
        <v>1509</v>
      </c>
      <c r="BE167" t="s">
        <v>169</v>
      </c>
      <c r="BF167">
        <v>5094126705</v>
      </c>
      <c r="BG167" t="s">
        <v>334</v>
      </c>
    </row>
    <row r="168" spans="1:59">
      <c r="A168">
        <v>1115</v>
      </c>
      <c r="B168">
        <v>1115</v>
      </c>
      <c r="C168">
        <v>10</v>
      </c>
      <c r="D168">
        <v>2</v>
      </c>
      <c r="E168" t="s">
        <v>152</v>
      </c>
      <c r="F168" t="s">
        <v>153</v>
      </c>
      <c r="G168" t="s">
        <v>154</v>
      </c>
      <c r="H168">
        <v>1526006133</v>
      </c>
      <c r="I168">
        <v>1000006404</v>
      </c>
      <c r="L168" t="s">
        <v>334</v>
      </c>
      <c r="M168">
        <v>5100001603</v>
      </c>
      <c r="N168" t="s">
        <v>155</v>
      </c>
      <c r="O168" t="s">
        <v>156</v>
      </c>
      <c r="P168">
        <v>4110025468</v>
      </c>
      <c r="Q168" t="s">
        <v>165</v>
      </c>
      <c r="R168">
        <v>5000</v>
      </c>
      <c r="S168" t="s">
        <v>166</v>
      </c>
      <c r="V168" t="s">
        <v>167</v>
      </c>
      <c r="W168">
        <v>1502020102</v>
      </c>
      <c r="X168" t="s">
        <v>58</v>
      </c>
      <c r="Y168" t="str">
        <f>VLOOKUP(W168,Sheet4!$A$5:$B$71,2,0)</f>
        <v>MAXIMA HD</v>
      </c>
      <c r="Z168">
        <v>87082900</v>
      </c>
      <c r="AA168">
        <v>8</v>
      </c>
      <c r="AB168" t="s">
        <v>159</v>
      </c>
      <c r="AC168" s="24">
        <v>8593.51</v>
      </c>
      <c r="AD168" t="s">
        <v>160</v>
      </c>
      <c r="AE168" s="24">
        <v>68748.08</v>
      </c>
      <c r="AF168">
        <v>0</v>
      </c>
      <c r="AG168" s="24">
        <v>68748.08</v>
      </c>
      <c r="AH168">
        <v>0</v>
      </c>
      <c r="AI168">
        <v>0</v>
      </c>
      <c r="AJ168">
        <v>0</v>
      </c>
      <c r="AK168">
        <v>0</v>
      </c>
      <c r="AL168" s="24">
        <v>68748.08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s="24">
        <v>68748.08</v>
      </c>
      <c r="AV168">
        <v>0</v>
      </c>
      <c r="AW168">
        <v>0</v>
      </c>
      <c r="AX168">
        <v>311000</v>
      </c>
      <c r="AY168" t="s">
        <v>161</v>
      </c>
      <c r="AZ168">
        <v>93.34</v>
      </c>
      <c r="BA168">
        <v>75.430000000000007</v>
      </c>
      <c r="BB168">
        <v>17.91</v>
      </c>
      <c r="BC168" t="s">
        <v>168</v>
      </c>
      <c r="BD168">
        <v>1509</v>
      </c>
      <c r="BE168" t="s">
        <v>169</v>
      </c>
      <c r="BF168">
        <v>5094122335</v>
      </c>
      <c r="BG168" t="s">
        <v>334</v>
      </c>
    </row>
    <row r="169" spans="1:59">
      <c r="A169">
        <v>1115</v>
      </c>
      <c r="B169">
        <v>1115</v>
      </c>
      <c r="C169">
        <v>10</v>
      </c>
      <c r="D169">
        <v>2</v>
      </c>
      <c r="E169" t="s">
        <v>152</v>
      </c>
      <c r="F169" t="s">
        <v>153</v>
      </c>
      <c r="G169" t="s">
        <v>154</v>
      </c>
      <c r="H169">
        <v>1526006132</v>
      </c>
      <c r="I169">
        <v>1000006403</v>
      </c>
      <c r="L169" t="s">
        <v>334</v>
      </c>
      <c r="M169">
        <v>5100001928</v>
      </c>
      <c r="N169" t="s">
        <v>155</v>
      </c>
      <c r="O169" t="s">
        <v>156</v>
      </c>
      <c r="P169">
        <v>4110057393</v>
      </c>
      <c r="Q169" t="s">
        <v>192</v>
      </c>
      <c r="R169">
        <v>5000</v>
      </c>
      <c r="S169" t="s">
        <v>166</v>
      </c>
      <c r="V169" t="s">
        <v>167</v>
      </c>
      <c r="W169">
        <v>1502020122</v>
      </c>
      <c r="X169" t="s">
        <v>70</v>
      </c>
      <c r="Y169" t="str">
        <f>VLOOKUP(W169,Sheet4!$A$5:$B$71,2,0)</f>
        <v>MAX UG NEW EV</v>
      </c>
      <c r="Z169">
        <v>87082900</v>
      </c>
      <c r="AA169">
        <v>10</v>
      </c>
      <c r="AB169" t="s">
        <v>159</v>
      </c>
      <c r="AC169" s="24">
        <v>9566.51</v>
      </c>
      <c r="AD169" t="s">
        <v>160</v>
      </c>
      <c r="AE169" s="24">
        <v>95665.1</v>
      </c>
      <c r="AF169">
        <v>0</v>
      </c>
      <c r="AG169" s="24">
        <v>95665.1</v>
      </c>
      <c r="AH169">
        <v>0</v>
      </c>
      <c r="AI169">
        <v>0</v>
      </c>
      <c r="AJ169">
        <v>0</v>
      </c>
      <c r="AK169">
        <v>0</v>
      </c>
      <c r="AL169" s="24">
        <v>95665.1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s="24">
        <v>95665.1</v>
      </c>
      <c r="AV169">
        <v>0</v>
      </c>
      <c r="AW169">
        <v>0</v>
      </c>
      <c r="AX169">
        <v>311000</v>
      </c>
      <c r="AY169" t="s">
        <v>161</v>
      </c>
      <c r="AZ169">
        <v>0</v>
      </c>
      <c r="BA169">
        <v>61</v>
      </c>
      <c r="BB169">
        <v>-61</v>
      </c>
      <c r="BC169" t="s">
        <v>193</v>
      </c>
      <c r="BD169">
        <v>1509</v>
      </c>
      <c r="BE169" t="s">
        <v>169</v>
      </c>
      <c r="BF169">
        <v>5094126089</v>
      </c>
      <c r="BG169" t="s">
        <v>334</v>
      </c>
    </row>
    <row r="170" spans="1:59">
      <c r="A170">
        <v>1115</v>
      </c>
      <c r="B170">
        <v>1115</v>
      </c>
      <c r="C170">
        <v>10</v>
      </c>
      <c r="D170">
        <v>2</v>
      </c>
      <c r="E170" t="s">
        <v>152</v>
      </c>
      <c r="F170" t="s">
        <v>153</v>
      </c>
      <c r="G170" t="s">
        <v>154</v>
      </c>
      <c r="H170">
        <v>1526006131</v>
      </c>
      <c r="I170">
        <v>1000006402</v>
      </c>
      <c r="L170" t="s">
        <v>334</v>
      </c>
      <c r="M170">
        <v>5100001928</v>
      </c>
      <c r="N170" t="s">
        <v>155</v>
      </c>
      <c r="O170" t="s">
        <v>156</v>
      </c>
      <c r="P170">
        <v>4110057393</v>
      </c>
      <c r="Q170" t="s">
        <v>192</v>
      </c>
      <c r="R170">
        <v>5000</v>
      </c>
      <c r="S170" t="s">
        <v>166</v>
      </c>
      <c r="V170" t="s">
        <v>167</v>
      </c>
      <c r="W170">
        <v>1502020122</v>
      </c>
      <c r="X170" t="s">
        <v>70</v>
      </c>
      <c r="Y170" t="str">
        <f>VLOOKUP(W170,Sheet4!$A$5:$B$71,2,0)</f>
        <v>MAX UG NEW EV</v>
      </c>
      <c r="Z170">
        <v>87082900</v>
      </c>
      <c r="AA170">
        <v>10</v>
      </c>
      <c r="AB170" t="s">
        <v>159</v>
      </c>
      <c r="AC170" s="24">
        <v>9566.51</v>
      </c>
      <c r="AD170" t="s">
        <v>160</v>
      </c>
      <c r="AE170" s="24">
        <v>95665.1</v>
      </c>
      <c r="AF170">
        <v>0</v>
      </c>
      <c r="AG170" s="24">
        <v>95665.1</v>
      </c>
      <c r="AH170">
        <v>0</v>
      </c>
      <c r="AI170">
        <v>0</v>
      </c>
      <c r="AJ170">
        <v>0</v>
      </c>
      <c r="AK170">
        <v>0</v>
      </c>
      <c r="AL170" s="24">
        <v>95665.1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s="24">
        <v>95665.1</v>
      </c>
      <c r="AV170">
        <v>0</v>
      </c>
      <c r="AW170">
        <v>0</v>
      </c>
      <c r="AX170">
        <v>311000</v>
      </c>
      <c r="AY170" t="s">
        <v>161</v>
      </c>
      <c r="AZ170">
        <v>0</v>
      </c>
      <c r="BA170">
        <v>61</v>
      </c>
      <c r="BB170">
        <v>-61</v>
      </c>
      <c r="BC170" t="s">
        <v>193</v>
      </c>
      <c r="BD170">
        <v>1509</v>
      </c>
      <c r="BE170" t="s">
        <v>169</v>
      </c>
      <c r="BF170">
        <v>5094125960</v>
      </c>
      <c r="BG170" t="s">
        <v>334</v>
      </c>
    </row>
    <row r="171" spans="1:59">
      <c r="A171">
        <v>1115</v>
      </c>
      <c r="B171">
        <v>1115</v>
      </c>
      <c r="C171">
        <v>10</v>
      </c>
      <c r="D171">
        <v>2</v>
      </c>
      <c r="E171" t="s">
        <v>152</v>
      </c>
      <c r="F171" t="s">
        <v>153</v>
      </c>
      <c r="G171" t="s">
        <v>154</v>
      </c>
      <c r="H171">
        <v>1526006130</v>
      </c>
      <c r="I171">
        <v>1000006401</v>
      </c>
      <c r="L171" t="s">
        <v>334</v>
      </c>
      <c r="M171">
        <v>5100001928</v>
      </c>
      <c r="N171" t="s">
        <v>155</v>
      </c>
      <c r="O171" t="s">
        <v>156</v>
      </c>
      <c r="P171">
        <v>4110057393</v>
      </c>
      <c r="Q171" t="s">
        <v>192</v>
      </c>
      <c r="R171">
        <v>5000</v>
      </c>
      <c r="S171" t="s">
        <v>166</v>
      </c>
      <c r="V171" t="s">
        <v>167</v>
      </c>
      <c r="W171">
        <v>1502020122</v>
      </c>
      <c r="X171" t="s">
        <v>70</v>
      </c>
      <c r="Y171" t="str">
        <f>VLOOKUP(W171,Sheet4!$A$5:$B$71,2,0)</f>
        <v>MAX UG NEW EV</v>
      </c>
      <c r="Z171">
        <v>87082900</v>
      </c>
      <c r="AA171">
        <v>10</v>
      </c>
      <c r="AB171" t="s">
        <v>159</v>
      </c>
      <c r="AC171" s="24">
        <v>9566.51</v>
      </c>
      <c r="AD171" t="s">
        <v>160</v>
      </c>
      <c r="AE171" s="24">
        <v>95665.1</v>
      </c>
      <c r="AF171">
        <v>0</v>
      </c>
      <c r="AG171" s="24">
        <v>95665.1</v>
      </c>
      <c r="AH171">
        <v>0</v>
      </c>
      <c r="AI171">
        <v>0</v>
      </c>
      <c r="AJ171">
        <v>0</v>
      </c>
      <c r="AK171">
        <v>0</v>
      </c>
      <c r="AL171" s="24">
        <v>95665.1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s="24">
        <v>95665.1</v>
      </c>
      <c r="AV171">
        <v>0</v>
      </c>
      <c r="AW171">
        <v>0</v>
      </c>
      <c r="AX171">
        <v>311000</v>
      </c>
      <c r="AY171" t="s">
        <v>161</v>
      </c>
      <c r="AZ171">
        <v>0</v>
      </c>
      <c r="BA171">
        <v>61</v>
      </c>
      <c r="BB171">
        <v>-61</v>
      </c>
      <c r="BC171" t="s">
        <v>193</v>
      </c>
      <c r="BD171">
        <v>1509</v>
      </c>
      <c r="BE171" t="s">
        <v>169</v>
      </c>
      <c r="BF171">
        <v>5094122405</v>
      </c>
      <c r="BG171" t="s">
        <v>334</v>
      </c>
    </row>
    <row r="172" spans="1:59">
      <c r="A172">
        <v>1115</v>
      </c>
      <c r="B172">
        <v>1115</v>
      </c>
      <c r="C172">
        <v>10</v>
      </c>
      <c r="D172">
        <v>2</v>
      </c>
      <c r="E172" t="s">
        <v>152</v>
      </c>
      <c r="F172" t="s">
        <v>153</v>
      </c>
      <c r="G172" t="s">
        <v>154</v>
      </c>
      <c r="H172">
        <v>1526006129</v>
      </c>
      <c r="I172">
        <v>1000006400</v>
      </c>
      <c r="L172" t="s">
        <v>334</v>
      </c>
      <c r="M172">
        <v>5100001928</v>
      </c>
      <c r="N172" t="s">
        <v>155</v>
      </c>
      <c r="O172" t="s">
        <v>156</v>
      </c>
      <c r="P172">
        <v>4110057393</v>
      </c>
      <c r="Q172" t="s">
        <v>192</v>
      </c>
      <c r="R172">
        <v>5000</v>
      </c>
      <c r="S172" t="s">
        <v>166</v>
      </c>
      <c r="V172" t="s">
        <v>167</v>
      </c>
      <c r="W172">
        <v>1502020122</v>
      </c>
      <c r="X172" t="s">
        <v>70</v>
      </c>
      <c r="Y172" t="str">
        <f>VLOOKUP(W172,Sheet4!$A$5:$B$71,2,0)</f>
        <v>MAX UG NEW EV</v>
      </c>
      <c r="Z172">
        <v>87082900</v>
      </c>
      <c r="AA172">
        <v>10</v>
      </c>
      <c r="AB172" t="s">
        <v>159</v>
      </c>
      <c r="AC172" s="24">
        <v>9566.51</v>
      </c>
      <c r="AD172" t="s">
        <v>160</v>
      </c>
      <c r="AE172" s="24">
        <v>95665.1</v>
      </c>
      <c r="AF172">
        <v>0</v>
      </c>
      <c r="AG172" s="24">
        <v>95665.1</v>
      </c>
      <c r="AH172">
        <v>0</v>
      </c>
      <c r="AI172">
        <v>0</v>
      </c>
      <c r="AJ172">
        <v>0</v>
      </c>
      <c r="AK172">
        <v>0</v>
      </c>
      <c r="AL172" s="24">
        <v>95665.1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s="24">
        <v>95665.1</v>
      </c>
      <c r="AV172">
        <v>0</v>
      </c>
      <c r="AW172">
        <v>0</v>
      </c>
      <c r="AX172">
        <v>311000</v>
      </c>
      <c r="AY172" t="s">
        <v>161</v>
      </c>
      <c r="AZ172">
        <v>0</v>
      </c>
      <c r="BA172">
        <v>61</v>
      </c>
      <c r="BB172">
        <v>-61</v>
      </c>
      <c r="BC172" t="s">
        <v>193</v>
      </c>
      <c r="BD172">
        <v>1509</v>
      </c>
      <c r="BE172" t="s">
        <v>169</v>
      </c>
      <c r="BF172">
        <v>5094126703</v>
      </c>
      <c r="BG172" t="s">
        <v>334</v>
      </c>
    </row>
    <row r="173" spans="1:59">
      <c r="A173">
        <v>1115</v>
      </c>
      <c r="B173">
        <v>1115</v>
      </c>
      <c r="C173">
        <v>10</v>
      </c>
      <c r="D173">
        <v>2</v>
      </c>
      <c r="E173" t="s">
        <v>152</v>
      </c>
      <c r="F173" t="s">
        <v>153</v>
      </c>
      <c r="G173" t="s">
        <v>154</v>
      </c>
      <c r="H173">
        <v>1526006128</v>
      </c>
      <c r="I173">
        <v>1000006399</v>
      </c>
      <c r="L173" t="s">
        <v>334</v>
      </c>
      <c r="M173">
        <v>5100001928</v>
      </c>
      <c r="N173" t="s">
        <v>155</v>
      </c>
      <c r="O173" t="s">
        <v>156</v>
      </c>
      <c r="P173">
        <v>4110057393</v>
      </c>
      <c r="Q173" t="s">
        <v>192</v>
      </c>
      <c r="R173">
        <v>5000</v>
      </c>
      <c r="S173" t="s">
        <v>166</v>
      </c>
      <c r="V173" t="s">
        <v>167</v>
      </c>
      <c r="W173">
        <v>1502020122</v>
      </c>
      <c r="X173" t="s">
        <v>70</v>
      </c>
      <c r="Y173" t="str">
        <f>VLOOKUP(W173,Sheet4!$A$5:$B$71,2,0)</f>
        <v>MAX UG NEW EV</v>
      </c>
      <c r="Z173">
        <v>87082900</v>
      </c>
      <c r="AA173">
        <v>10</v>
      </c>
      <c r="AB173" t="s">
        <v>159</v>
      </c>
      <c r="AC173" s="24">
        <v>9566.51</v>
      </c>
      <c r="AD173" t="s">
        <v>160</v>
      </c>
      <c r="AE173" s="24">
        <v>95665.1</v>
      </c>
      <c r="AF173">
        <v>0</v>
      </c>
      <c r="AG173" s="24">
        <v>95665.1</v>
      </c>
      <c r="AH173">
        <v>0</v>
      </c>
      <c r="AI173">
        <v>0</v>
      </c>
      <c r="AJ173">
        <v>0</v>
      </c>
      <c r="AK173">
        <v>0</v>
      </c>
      <c r="AL173" s="24">
        <v>95665.1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s="24">
        <v>95665.1</v>
      </c>
      <c r="AV173">
        <v>0</v>
      </c>
      <c r="AW173">
        <v>0</v>
      </c>
      <c r="AX173">
        <v>311000</v>
      </c>
      <c r="AY173" t="s">
        <v>161</v>
      </c>
      <c r="AZ173">
        <v>0</v>
      </c>
      <c r="BA173">
        <v>61</v>
      </c>
      <c r="BB173">
        <v>-61</v>
      </c>
      <c r="BC173" t="s">
        <v>193</v>
      </c>
      <c r="BD173">
        <v>1509</v>
      </c>
      <c r="BE173" t="s">
        <v>169</v>
      </c>
      <c r="BF173">
        <v>5094123178</v>
      </c>
      <c r="BG173" t="s">
        <v>334</v>
      </c>
    </row>
    <row r="174" spans="1:59">
      <c r="A174">
        <v>1115</v>
      </c>
      <c r="B174">
        <v>1115</v>
      </c>
      <c r="C174">
        <v>10</v>
      </c>
      <c r="D174">
        <v>2</v>
      </c>
      <c r="E174" t="s">
        <v>152</v>
      </c>
      <c r="F174" t="s">
        <v>153</v>
      </c>
      <c r="G174" t="s">
        <v>154</v>
      </c>
      <c r="H174">
        <v>1526006127</v>
      </c>
      <c r="I174">
        <v>1000006398</v>
      </c>
      <c r="L174" t="s">
        <v>334</v>
      </c>
      <c r="M174">
        <v>5100001913</v>
      </c>
      <c r="N174" t="s">
        <v>155</v>
      </c>
      <c r="O174" t="s">
        <v>156</v>
      </c>
      <c r="P174">
        <v>4110050475</v>
      </c>
      <c r="Q174" t="s">
        <v>178</v>
      </c>
      <c r="R174">
        <v>5000</v>
      </c>
      <c r="S174" t="s">
        <v>166</v>
      </c>
      <c r="V174" t="s">
        <v>167</v>
      </c>
      <c r="W174">
        <v>1502040289</v>
      </c>
      <c r="X174" t="s">
        <v>49</v>
      </c>
      <c r="Y174" t="str">
        <f>VLOOKUP(W174,Sheet4!$A$5:$B$71,2,0)</f>
        <v>SUPPORT TOP</v>
      </c>
      <c r="Z174">
        <v>87082900</v>
      </c>
      <c r="AA174">
        <v>480</v>
      </c>
      <c r="AB174" t="s">
        <v>159</v>
      </c>
      <c r="AC174">
        <v>174.61</v>
      </c>
      <c r="AD174" t="s">
        <v>160</v>
      </c>
      <c r="AE174" s="24">
        <v>83812.800000000003</v>
      </c>
      <c r="AF174">
        <v>0</v>
      </c>
      <c r="AG174" s="24">
        <v>83812.800000000003</v>
      </c>
      <c r="AH174">
        <v>0</v>
      </c>
      <c r="AI174">
        <v>0</v>
      </c>
      <c r="AJ174">
        <v>0</v>
      </c>
      <c r="AK174">
        <v>0</v>
      </c>
      <c r="AL174" s="24">
        <v>83812.800000000003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s="24">
        <v>83812.800000000003</v>
      </c>
      <c r="AV174">
        <v>0</v>
      </c>
      <c r="AW174">
        <v>0</v>
      </c>
      <c r="AX174">
        <v>311000</v>
      </c>
      <c r="AY174" t="s">
        <v>161</v>
      </c>
      <c r="AZ174">
        <v>0</v>
      </c>
      <c r="BA174">
        <v>0</v>
      </c>
      <c r="BB174">
        <v>0</v>
      </c>
      <c r="BC174" t="s">
        <v>179</v>
      </c>
      <c r="BD174">
        <v>1511</v>
      </c>
      <c r="BE174" t="s">
        <v>174</v>
      </c>
      <c r="BF174">
        <v>5094123832</v>
      </c>
      <c r="BG174" t="s">
        <v>334</v>
      </c>
    </row>
    <row r="175" spans="1:59">
      <c r="A175">
        <v>1115</v>
      </c>
      <c r="B175">
        <v>1115</v>
      </c>
      <c r="C175">
        <v>10</v>
      </c>
      <c r="D175">
        <v>2</v>
      </c>
      <c r="E175" t="s">
        <v>152</v>
      </c>
      <c r="F175" t="s">
        <v>153</v>
      </c>
      <c r="G175" t="s">
        <v>154</v>
      </c>
      <c r="H175">
        <v>1526006124</v>
      </c>
      <c r="I175">
        <v>1000006395</v>
      </c>
      <c r="L175" t="s">
        <v>334</v>
      </c>
      <c r="M175">
        <v>5100001949</v>
      </c>
      <c r="N175" t="s">
        <v>155</v>
      </c>
      <c r="O175" t="s">
        <v>156</v>
      </c>
      <c r="P175">
        <v>4110063766</v>
      </c>
      <c r="Q175" t="s">
        <v>252</v>
      </c>
      <c r="R175">
        <v>5000</v>
      </c>
      <c r="S175" t="s">
        <v>166</v>
      </c>
      <c r="V175" t="s">
        <v>167</v>
      </c>
      <c r="W175">
        <v>1502040322</v>
      </c>
      <c r="X175" t="s">
        <v>250</v>
      </c>
      <c r="Y175" t="str">
        <f>VLOOKUP(W175,Sheet4!$A$5:$B$71,2,0)</f>
        <v>DASH BOARD</v>
      </c>
      <c r="Z175">
        <v>87082900</v>
      </c>
      <c r="AA175">
        <v>150</v>
      </c>
      <c r="AB175" t="s">
        <v>159</v>
      </c>
      <c r="AC175">
        <v>291.27999999999997</v>
      </c>
      <c r="AD175" t="s">
        <v>160</v>
      </c>
      <c r="AE175" s="24">
        <v>43692</v>
      </c>
      <c r="AF175">
        <v>0</v>
      </c>
      <c r="AG175" s="24">
        <v>43692</v>
      </c>
      <c r="AH175">
        <v>0</v>
      </c>
      <c r="AI175">
        <v>0</v>
      </c>
      <c r="AJ175">
        <v>0</v>
      </c>
      <c r="AK175">
        <v>0</v>
      </c>
      <c r="AL175" s="24">
        <v>43692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s="24">
        <v>43692</v>
      </c>
      <c r="AV175">
        <v>0</v>
      </c>
      <c r="AW175">
        <v>0</v>
      </c>
      <c r="AX175">
        <v>311000</v>
      </c>
      <c r="AY175" t="s">
        <v>161</v>
      </c>
      <c r="AZ175">
        <v>2.37</v>
      </c>
      <c r="BA175">
        <v>2.37</v>
      </c>
      <c r="BB175">
        <v>0</v>
      </c>
      <c r="BC175" t="s">
        <v>251</v>
      </c>
      <c r="BD175">
        <v>1511</v>
      </c>
      <c r="BE175" t="s">
        <v>174</v>
      </c>
      <c r="BF175">
        <v>5094130724</v>
      </c>
      <c r="BG175" t="s">
        <v>335</v>
      </c>
    </row>
    <row r="176" spans="1:59">
      <c r="A176">
        <v>1115</v>
      </c>
      <c r="B176">
        <v>1115</v>
      </c>
      <c r="C176">
        <v>10</v>
      </c>
      <c r="D176">
        <v>2</v>
      </c>
      <c r="E176" t="s">
        <v>152</v>
      </c>
      <c r="F176" t="s">
        <v>153</v>
      </c>
      <c r="G176" t="s">
        <v>154</v>
      </c>
      <c r="H176">
        <v>1526006123</v>
      </c>
      <c r="I176">
        <v>1000006394</v>
      </c>
      <c r="L176" t="s">
        <v>334</v>
      </c>
      <c r="M176">
        <v>5100001899</v>
      </c>
      <c r="N176" t="s">
        <v>155</v>
      </c>
      <c r="O176" t="s">
        <v>156</v>
      </c>
      <c r="P176">
        <v>4110041854</v>
      </c>
      <c r="Q176" t="s">
        <v>172</v>
      </c>
      <c r="R176">
        <v>5000</v>
      </c>
      <c r="S176" t="s">
        <v>166</v>
      </c>
      <c r="V176" t="s">
        <v>167</v>
      </c>
      <c r="W176">
        <v>1502040267</v>
      </c>
      <c r="X176" t="s">
        <v>63</v>
      </c>
      <c r="Y176" t="str">
        <f>VLOOKUP(W176,Sheet4!$A$5:$B$71,2,0)</f>
        <v>DASH BOARD</v>
      </c>
      <c r="Z176">
        <v>87082900</v>
      </c>
      <c r="AA176">
        <v>256</v>
      </c>
      <c r="AB176" t="s">
        <v>159</v>
      </c>
      <c r="AC176">
        <v>290.89999999999998</v>
      </c>
      <c r="AD176" t="s">
        <v>160</v>
      </c>
      <c r="AE176" s="24">
        <v>74470.399999999994</v>
      </c>
      <c r="AF176">
        <v>0</v>
      </c>
      <c r="AG176" s="24">
        <v>74470.399999999994</v>
      </c>
      <c r="AH176">
        <v>0</v>
      </c>
      <c r="AI176">
        <v>0</v>
      </c>
      <c r="AJ176">
        <v>0</v>
      </c>
      <c r="AK176">
        <v>0</v>
      </c>
      <c r="AL176" s="24">
        <v>74470.399999999994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 s="24">
        <v>74470.399999999994</v>
      </c>
      <c r="AV176">
        <v>0</v>
      </c>
      <c r="AW176">
        <v>0</v>
      </c>
      <c r="AX176">
        <v>311000</v>
      </c>
      <c r="AY176" t="s">
        <v>161</v>
      </c>
      <c r="AZ176">
        <v>4.5</v>
      </c>
      <c r="BA176">
        <v>4.5</v>
      </c>
      <c r="BB176">
        <v>0</v>
      </c>
      <c r="BC176" t="s">
        <v>173</v>
      </c>
      <c r="BD176">
        <v>1511</v>
      </c>
      <c r="BE176" t="s">
        <v>174</v>
      </c>
      <c r="BF176">
        <v>5094130726</v>
      </c>
      <c r="BG176" t="s">
        <v>335</v>
      </c>
    </row>
    <row r="177" spans="1:59">
      <c r="A177">
        <v>1115</v>
      </c>
      <c r="B177">
        <v>1115</v>
      </c>
      <c r="C177">
        <v>10</v>
      </c>
      <c r="D177">
        <v>2</v>
      </c>
      <c r="E177" t="s">
        <v>152</v>
      </c>
      <c r="F177" t="s">
        <v>153</v>
      </c>
      <c r="G177" t="s">
        <v>154</v>
      </c>
      <c r="H177">
        <v>1526006121</v>
      </c>
      <c r="I177">
        <v>1000006392</v>
      </c>
      <c r="L177" t="s">
        <v>334</v>
      </c>
      <c r="M177">
        <v>5100001099</v>
      </c>
      <c r="N177" t="s">
        <v>155</v>
      </c>
      <c r="O177" t="s">
        <v>156</v>
      </c>
      <c r="P177">
        <v>4110004650</v>
      </c>
      <c r="Q177" t="s">
        <v>177</v>
      </c>
      <c r="R177">
        <v>5000</v>
      </c>
      <c r="S177" t="s">
        <v>166</v>
      </c>
      <c r="V177" t="s">
        <v>167</v>
      </c>
      <c r="W177">
        <v>1502040133</v>
      </c>
      <c r="X177" t="s">
        <v>228</v>
      </c>
      <c r="Y177" t="str">
        <f>VLOOKUP(W177,Sheet4!$A$5:$B$71,2,0)</f>
        <v>REAR COVER</v>
      </c>
      <c r="Z177">
        <v>87082900</v>
      </c>
      <c r="AA177">
        <v>55</v>
      </c>
      <c r="AB177" t="s">
        <v>159</v>
      </c>
      <c r="AC177">
        <v>164.49</v>
      </c>
      <c r="AD177" t="s">
        <v>160</v>
      </c>
      <c r="AE177" s="24">
        <v>9046.9500000000007</v>
      </c>
      <c r="AF177">
        <v>0</v>
      </c>
      <c r="AG177" s="24">
        <v>9046.9500000000007</v>
      </c>
      <c r="AH177">
        <v>0</v>
      </c>
      <c r="AI177">
        <v>0</v>
      </c>
      <c r="AJ177">
        <v>0</v>
      </c>
      <c r="AK177">
        <v>0</v>
      </c>
      <c r="AL177" s="24">
        <v>9046.9500000000007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s="24">
        <v>9046.9500000000007</v>
      </c>
      <c r="AV177">
        <v>0</v>
      </c>
      <c r="AW177">
        <v>0</v>
      </c>
      <c r="AX177">
        <v>311000</v>
      </c>
      <c r="AY177" t="s">
        <v>161</v>
      </c>
      <c r="AZ177">
        <v>1.248</v>
      </c>
      <c r="BA177">
        <v>1.248</v>
      </c>
      <c r="BB177">
        <v>0</v>
      </c>
      <c r="BC177" t="s">
        <v>229</v>
      </c>
      <c r="BD177">
        <v>1511</v>
      </c>
      <c r="BE177" t="s">
        <v>174</v>
      </c>
      <c r="BF177">
        <v>5094124440</v>
      </c>
      <c r="BG177" t="s">
        <v>334</v>
      </c>
    </row>
    <row r="178" spans="1:59">
      <c r="A178">
        <v>1115</v>
      </c>
      <c r="B178">
        <v>1115</v>
      </c>
      <c r="C178">
        <v>10</v>
      </c>
      <c r="D178">
        <v>2</v>
      </c>
      <c r="E178" t="s">
        <v>152</v>
      </c>
      <c r="F178" t="s">
        <v>153</v>
      </c>
      <c r="G178" t="s">
        <v>154</v>
      </c>
      <c r="H178">
        <v>1526006120</v>
      </c>
      <c r="I178">
        <v>1000006391</v>
      </c>
      <c r="L178" t="s">
        <v>334</v>
      </c>
      <c r="M178">
        <v>5100001588</v>
      </c>
      <c r="N178" t="s">
        <v>155</v>
      </c>
      <c r="O178" t="s">
        <v>156</v>
      </c>
      <c r="P178">
        <v>4110025058</v>
      </c>
      <c r="Q178" t="s">
        <v>180</v>
      </c>
      <c r="R178">
        <v>5000</v>
      </c>
      <c r="S178" t="s">
        <v>166</v>
      </c>
      <c r="V178" t="s">
        <v>167</v>
      </c>
      <c r="W178">
        <v>1502040235</v>
      </c>
      <c r="X178" t="s">
        <v>47</v>
      </c>
      <c r="Y178" t="str">
        <f>VLOOKUP(W178,Sheet4!$A$5:$B$71,2,0)</f>
        <v>STARTING HANDLE</v>
      </c>
      <c r="Z178">
        <v>87082900</v>
      </c>
      <c r="AA178">
        <v>540</v>
      </c>
      <c r="AB178" t="s">
        <v>159</v>
      </c>
      <c r="AC178">
        <v>217.33</v>
      </c>
      <c r="AD178" t="s">
        <v>160</v>
      </c>
      <c r="AE178" s="24">
        <v>117358.2</v>
      </c>
      <c r="AF178">
        <v>0</v>
      </c>
      <c r="AG178" s="24">
        <v>117358.2</v>
      </c>
      <c r="AH178">
        <v>0</v>
      </c>
      <c r="AI178">
        <v>0</v>
      </c>
      <c r="AJ178">
        <v>0</v>
      </c>
      <c r="AK178">
        <v>0</v>
      </c>
      <c r="AL178" s="24">
        <v>117358.2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s="24">
        <v>117358.2</v>
      </c>
      <c r="AV178">
        <v>0</v>
      </c>
      <c r="AW178">
        <v>0</v>
      </c>
      <c r="AX178">
        <v>311000</v>
      </c>
      <c r="AY178" t="s">
        <v>161</v>
      </c>
      <c r="AZ178">
        <v>1.19</v>
      </c>
      <c r="BA178">
        <v>1.19</v>
      </c>
      <c r="BB178">
        <v>0</v>
      </c>
      <c r="BC178" t="s">
        <v>181</v>
      </c>
      <c r="BD178">
        <v>1511</v>
      </c>
      <c r="BE178" t="s">
        <v>174</v>
      </c>
      <c r="BF178">
        <v>5094121130</v>
      </c>
      <c r="BG178" t="s">
        <v>334</v>
      </c>
    </row>
    <row r="179" spans="1:59">
      <c r="A179">
        <v>1115</v>
      </c>
      <c r="B179">
        <v>1115</v>
      </c>
      <c r="C179">
        <v>10</v>
      </c>
      <c r="D179">
        <v>2</v>
      </c>
      <c r="E179" t="s">
        <v>152</v>
      </c>
      <c r="F179" t="s">
        <v>153</v>
      </c>
      <c r="G179" t="s">
        <v>154</v>
      </c>
      <c r="H179">
        <v>1526006119</v>
      </c>
      <c r="I179">
        <v>1000006390</v>
      </c>
      <c r="L179" t="s">
        <v>334</v>
      </c>
      <c r="M179">
        <v>5100001099</v>
      </c>
      <c r="N179" t="s">
        <v>155</v>
      </c>
      <c r="O179" t="s">
        <v>156</v>
      </c>
      <c r="P179">
        <v>4110004650</v>
      </c>
      <c r="Q179" t="s">
        <v>177</v>
      </c>
      <c r="R179">
        <v>5000</v>
      </c>
      <c r="S179" t="s">
        <v>166</v>
      </c>
      <c r="V179" t="s">
        <v>167</v>
      </c>
      <c r="W179">
        <v>1502040132</v>
      </c>
      <c r="X179" t="s">
        <v>230</v>
      </c>
      <c r="Y179" t="str">
        <f>VLOOKUP(W179,Sheet4!$A$5:$B$71,2,0)</f>
        <v>REAR COVER</v>
      </c>
      <c r="Z179">
        <v>87082900</v>
      </c>
      <c r="AA179">
        <v>55</v>
      </c>
      <c r="AB179" t="s">
        <v>159</v>
      </c>
      <c r="AC179">
        <v>159.41</v>
      </c>
      <c r="AD179" t="s">
        <v>160</v>
      </c>
      <c r="AE179" s="24">
        <v>8767.5499999999993</v>
      </c>
      <c r="AF179">
        <v>0</v>
      </c>
      <c r="AG179" s="24">
        <v>8767.5499999999993</v>
      </c>
      <c r="AH179">
        <v>0</v>
      </c>
      <c r="AI179">
        <v>0</v>
      </c>
      <c r="AJ179">
        <v>0</v>
      </c>
      <c r="AK179">
        <v>0</v>
      </c>
      <c r="AL179" s="24">
        <v>8767.5499999999993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s="24">
        <v>8767.5499999999993</v>
      </c>
      <c r="AV179">
        <v>0</v>
      </c>
      <c r="AW179">
        <v>0</v>
      </c>
      <c r="AX179">
        <v>311000</v>
      </c>
      <c r="AY179" t="s">
        <v>161</v>
      </c>
      <c r="AZ179">
        <v>1.1659999999999999</v>
      </c>
      <c r="BA179">
        <v>1.1659999999999999</v>
      </c>
      <c r="BB179">
        <v>0</v>
      </c>
      <c r="BC179" t="s">
        <v>231</v>
      </c>
      <c r="BD179">
        <v>1511</v>
      </c>
      <c r="BE179" t="s">
        <v>174</v>
      </c>
      <c r="BF179">
        <v>5094124414</v>
      </c>
      <c r="BG179" t="s">
        <v>334</v>
      </c>
    </row>
    <row r="180" spans="1:59">
      <c r="A180">
        <v>1115</v>
      </c>
      <c r="B180">
        <v>1115</v>
      </c>
      <c r="C180">
        <v>10</v>
      </c>
      <c r="D180">
        <v>2</v>
      </c>
      <c r="E180" t="s">
        <v>152</v>
      </c>
      <c r="F180" t="s">
        <v>153</v>
      </c>
      <c r="G180" t="s">
        <v>154</v>
      </c>
      <c r="H180">
        <v>1526006118</v>
      </c>
      <c r="I180">
        <v>1000006389</v>
      </c>
      <c r="L180" t="s">
        <v>334</v>
      </c>
      <c r="M180">
        <v>5100001588</v>
      </c>
      <c r="N180" t="s">
        <v>155</v>
      </c>
      <c r="O180" t="s">
        <v>156</v>
      </c>
      <c r="P180">
        <v>4110025058</v>
      </c>
      <c r="Q180" t="s">
        <v>180</v>
      </c>
      <c r="R180">
        <v>5000</v>
      </c>
      <c r="S180" t="s">
        <v>166</v>
      </c>
      <c r="V180" t="s">
        <v>167</v>
      </c>
      <c r="W180">
        <v>1502040235</v>
      </c>
      <c r="X180" t="s">
        <v>47</v>
      </c>
      <c r="Y180" t="str">
        <f>VLOOKUP(W180,Sheet4!$A$5:$B$71,2,0)</f>
        <v>STARTING HANDLE</v>
      </c>
      <c r="Z180">
        <v>87082900</v>
      </c>
      <c r="AA180">
        <v>540</v>
      </c>
      <c r="AB180" t="s">
        <v>159</v>
      </c>
      <c r="AC180">
        <v>217.33</v>
      </c>
      <c r="AD180" t="s">
        <v>160</v>
      </c>
      <c r="AE180" s="24">
        <v>117358.2</v>
      </c>
      <c r="AF180">
        <v>0</v>
      </c>
      <c r="AG180" s="24">
        <v>117358.2</v>
      </c>
      <c r="AH180">
        <v>0</v>
      </c>
      <c r="AI180">
        <v>0</v>
      </c>
      <c r="AJ180">
        <v>0</v>
      </c>
      <c r="AK180">
        <v>0</v>
      </c>
      <c r="AL180" s="24">
        <v>117358.2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s="24">
        <v>117358.2</v>
      </c>
      <c r="AV180">
        <v>0</v>
      </c>
      <c r="AW180">
        <v>0</v>
      </c>
      <c r="AX180">
        <v>311000</v>
      </c>
      <c r="AY180" t="s">
        <v>161</v>
      </c>
      <c r="AZ180">
        <v>1.19</v>
      </c>
      <c r="BA180">
        <v>1.19</v>
      </c>
      <c r="BB180">
        <v>0</v>
      </c>
      <c r="BC180" t="s">
        <v>181</v>
      </c>
      <c r="BD180">
        <v>1511</v>
      </c>
      <c r="BE180" t="s">
        <v>174</v>
      </c>
      <c r="BF180">
        <v>5094124787</v>
      </c>
      <c r="BG180" t="s">
        <v>334</v>
      </c>
    </row>
    <row r="181" spans="1:59">
      <c r="A181">
        <v>1115</v>
      </c>
      <c r="B181">
        <v>1115</v>
      </c>
      <c r="C181">
        <v>10</v>
      </c>
      <c r="D181">
        <v>2</v>
      </c>
      <c r="E181" t="s">
        <v>152</v>
      </c>
      <c r="F181" t="s">
        <v>153</v>
      </c>
      <c r="G181" t="s">
        <v>154</v>
      </c>
      <c r="H181">
        <v>1526006116</v>
      </c>
      <c r="I181">
        <v>1000006387</v>
      </c>
      <c r="L181" t="s">
        <v>334</v>
      </c>
      <c r="M181">
        <v>5100001939</v>
      </c>
      <c r="N181" t="s">
        <v>155</v>
      </c>
      <c r="O181" t="s">
        <v>156</v>
      </c>
      <c r="P181">
        <v>4110059608</v>
      </c>
      <c r="Q181" t="s">
        <v>240</v>
      </c>
      <c r="R181">
        <v>5000</v>
      </c>
      <c r="S181" t="s">
        <v>166</v>
      </c>
      <c r="V181" t="s">
        <v>167</v>
      </c>
      <c r="W181">
        <v>1502020129</v>
      </c>
      <c r="X181" t="s">
        <v>241</v>
      </c>
      <c r="Y181" t="str">
        <f>VLOOKUP(W181,Sheet4!$A$5:$B$71,2,0)</f>
        <v>RE STYLING</v>
      </c>
      <c r="Z181">
        <v>87082900</v>
      </c>
      <c r="AA181">
        <v>15</v>
      </c>
      <c r="AB181" t="s">
        <v>159</v>
      </c>
      <c r="AC181" s="24">
        <v>6500.18</v>
      </c>
      <c r="AD181" t="s">
        <v>160</v>
      </c>
      <c r="AE181" s="24">
        <v>97502.7</v>
      </c>
      <c r="AF181">
        <v>0</v>
      </c>
      <c r="AG181" s="24">
        <v>97502.7</v>
      </c>
      <c r="AH181">
        <v>0</v>
      </c>
      <c r="AI181">
        <v>0</v>
      </c>
      <c r="AJ181">
        <v>0</v>
      </c>
      <c r="AK181">
        <v>0</v>
      </c>
      <c r="AL181" s="24">
        <v>97502.7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s="24">
        <v>97502.7</v>
      </c>
      <c r="AV181">
        <v>0</v>
      </c>
      <c r="AW181">
        <v>0</v>
      </c>
      <c r="AX181">
        <v>311000</v>
      </c>
      <c r="AY181" t="s">
        <v>161</v>
      </c>
      <c r="AZ181">
        <v>0</v>
      </c>
      <c r="BA181">
        <v>0</v>
      </c>
      <c r="BB181">
        <v>0</v>
      </c>
      <c r="BC181" t="s">
        <v>242</v>
      </c>
      <c r="BD181">
        <v>1509</v>
      </c>
      <c r="BE181" t="s">
        <v>169</v>
      </c>
      <c r="BF181">
        <v>5094130257</v>
      </c>
      <c r="BG181" t="s">
        <v>335</v>
      </c>
    </row>
    <row r="182" spans="1:59">
      <c r="A182">
        <v>1115</v>
      </c>
      <c r="B182">
        <v>1115</v>
      </c>
      <c r="C182">
        <v>10</v>
      </c>
      <c r="D182">
        <v>2</v>
      </c>
      <c r="E182" t="s">
        <v>152</v>
      </c>
      <c r="F182" t="s">
        <v>153</v>
      </c>
      <c r="G182" t="s">
        <v>154</v>
      </c>
      <c r="H182">
        <v>1526006115</v>
      </c>
      <c r="I182">
        <v>1000006386</v>
      </c>
      <c r="L182" t="s">
        <v>334</v>
      </c>
      <c r="M182">
        <v>5100001939</v>
      </c>
      <c r="N182" t="s">
        <v>155</v>
      </c>
      <c r="O182" t="s">
        <v>156</v>
      </c>
      <c r="P182">
        <v>4110059608</v>
      </c>
      <c r="Q182" t="s">
        <v>240</v>
      </c>
      <c r="R182">
        <v>5000</v>
      </c>
      <c r="S182" t="s">
        <v>166</v>
      </c>
      <c r="V182" t="s">
        <v>167</v>
      </c>
      <c r="W182">
        <v>1502020129</v>
      </c>
      <c r="X182" t="s">
        <v>241</v>
      </c>
      <c r="Y182" t="str">
        <f>VLOOKUP(W182,Sheet4!$A$5:$B$71,2,0)</f>
        <v>RE STYLING</v>
      </c>
      <c r="Z182">
        <v>87082900</v>
      </c>
      <c r="AA182">
        <v>15</v>
      </c>
      <c r="AB182" t="s">
        <v>159</v>
      </c>
      <c r="AC182" s="24">
        <v>6500.18</v>
      </c>
      <c r="AD182" t="s">
        <v>160</v>
      </c>
      <c r="AE182" s="24">
        <v>97502.7</v>
      </c>
      <c r="AF182">
        <v>0</v>
      </c>
      <c r="AG182" s="24">
        <v>97502.7</v>
      </c>
      <c r="AH182">
        <v>0</v>
      </c>
      <c r="AI182">
        <v>0</v>
      </c>
      <c r="AJ182">
        <v>0</v>
      </c>
      <c r="AK182">
        <v>0</v>
      </c>
      <c r="AL182" s="24">
        <v>97502.7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s="24">
        <v>97502.7</v>
      </c>
      <c r="AV182">
        <v>0</v>
      </c>
      <c r="AW182">
        <v>0</v>
      </c>
      <c r="AX182">
        <v>311000</v>
      </c>
      <c r="AY182" t="s">
        <v>161</v>
      </c>
      <c r="AZ182">
        <v>0</v>
      </c>
      <c r="BA182">
        <v>0</v>
      </c>
      <c r="BB182">
        <v>0</v>
      </c>
      <c r="BC182" t="s">
        <v>242</v>
      </c>
      <c r="BD182">
        <v>1509</v>
      </c>
      <c r="BE182" t="s">
        <v>169</v>
      </c>
      <c r="BF182">
        <v>5094130181</v>
      </c>
      <c r="BG182" t="s">
        <v>335</v>
      </c>
    </row>
    <row r="183" spans="1:59">
      <c r="A183">
        <v>1115</v>
      </c>
      <c r="B183">
        <v>1115</v>
      </c>
      <c r="C183">
        <v>10</v>
      </c>
      <c r="D183">
        <v>2</v>
      </c>
      <c r="E183" t="s">
        <v>152</v>
      </c>
      <c r="F183" t="s">
        <v>153</v>
      </c>
      <c r="G183" t="s">
        <v>154</v>
      </c>
      <c r="H183">
        <v>1526006113</v>
      </c>
      <c r="I183">
        <v>1000006384</v>
      </c>
      <c r="L183" t="s">
        <v>334</v>
      </c>
      <c r="M183">
        <v>5100001939</v>
      </c>
      <c r="N183" t="s">
        <v>155</v>
      </c>
      <c r="O183" t="s">
        <v>156</v>
      </c>
      <c r="P183">
        <v>4110059608</v>
      </c>
      <c r="Q183" t="s">
        <v>240</v>
      </c>
      <c r="R183">
        <v>5000</v>
      </c>
      <c r="S183" t="s">
        <v>166</v>
      </c>
      <c r="V183" t="s">
        <v>167</v>
      </c>
      <c r="W183">
        <v>1502020129</v>
      </c>
      <c r="X183" t="s">
        <v>241</v>
      </c>
      <c r="Y183" t="str">
        <f>VLOOKUP(W183,Sheet4!$A$5:$B$71,2,0)</f>
        <v>RE STYLING</v>
      </c>
      <c r="Z183">
        <v>87082900</v>
      </c>
      <c r="AA183">
        <v>15</v>
      </c>
      <c r="AB183" t="s">
        <v>159</v>
      </c>
      <c r="AC183" s="24">
        <v>6500.18</v>
      </c>
      <c r="AD183" t="s">
        <v>160</v>
      </c>
      <c r="AE183" s="24">
        <v>97502.7</v>
      </c>
      <c r="AF183">
        <v>0</v>
      </c>
      <c r="AG183" s="24">
        <v>97502.7</v>
      </c>
      <c r="AH183">
        <v>0</v>
      </c>
      <c r="AI183">
        <v>0</v>
      </c>
      <c r="AJ183">
        <v>0</v>
      </c>
      <c r="AK183">
        <v>0</v>
      </c>
      <c r="AL183" s="24">
        <v>97502.7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s="24">
        <v>97502.7</v>
      </c>
      <c r="AV183">
        <v>0</v>
      </c>
      <c r="AW183">
        <v>0</v>
      </c>
      <c r="AX183">
        <v>311000</v>
      </c>
      <c r="AY183" t="s">
        <v>161</v>
      </c>
      <c r="AZ183">
        <v>0</v>
      </c>
      <c r="BA183">
        <v>0</v>
      </c>
      <c r="BB183">
        <v>0</v>
      </c>
      <c r="BC183" t="s">
        <v>242</v>
      </c>
      <c r="BD183">
        <v>1509</v>
      </c>
      <c r="BE183" t="s">
        <v>169</v>
      </c>
      <c r="BF183">
        <v>5094130188</v>
      </c>
      <c r="BG183" t="s">
        <v>335</v>
      </c>
    </row>
    <row r="184" spans="1:59">
      <c r="A184">
        <v>1115</v>
      </c>
      <c r="B184">
        <v>1115</v>
      </c>
      <c r="C184">
        <v>10</v>
      </c>
      <c r="D184">
        <v>2</v>
      </c>
      <c r="E184" t="s">
        <v>152</v>
      </c>
      <c r="F184" t="s">
        <v>153</v>
      </c>
      <c r="G184" t="s">
        <v>154</v>
      </c>
      <c r="H184">
        <v>1526006112</v>
      </c>
      <c r="I184">
        <v>1000006383</v>
      </c>
      <c r="L184" t="s">
        <v>334</v>
      </c>
      <c r="M184">
        <v>5100001939</v>
      </c>
      <c r="N184" t="s">
        <v>155</v>
      </c>
      <c r="O184" t="s">
        <v>156</v>
      </c>
      <c r="P184">
        <v>4110059608</v>
      </c>
      <c r="Q184" t="s">
        <v>240</v>
      </c>
      <c r="R184">
        <v>5000</v>
      </c>
      <c r="S184" t="s">
        <v>166</v>
      </c>
      <c r="V184" t="s">
        <v>167</v>
      </c>
      <c r="W184">
        <v>1502020129</v>
      </c>
      <c r="X184" t="s">
        <v>241</v>
      </c>
      <c r="Y184" t="str">
        <f>VLOOKUP(W184,Sheet4!$A$5:$B$71,2,0)</f>
        <v>RE STYLING</v>
      </c>
      <c r="Z184">
        <v>87082900</v>
      </c>
      <c r="AA184">
        <v>15</v>
      </c>
      <c r="AB184" t="s">
        <v>159</v>
      </c>
      <c r="AC184" s="24">
        <v>6500.18</v>
      </c>
      <c r="AD184" t="s">
        <v>160</v>
      </c>
      <c r="AE184" s="24">
        <v>97502.7</v>
      </c>
      <c r="AF184">
        <v>0</v>
      </c>
      <c r="AG184" s="24">
        <v>97502.7</v>
      </c>
      <c r="AH184">
        <v>0</v>
      </c>
      <c r="AI184">
        <v>0</v>
      </c>
      <c r="AJ184">
        <v>0</v>
      </c>
      <c r="AK184">
        <v>0</v>
      </c>
      <c r="AL184" s="24">
        <v>97502.7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s="24">
        <v>97502.7</v>
      </c>
      <c r="AV184">
        <v>0</v>
      </c>
      <c r="AW184">
        <v>0</v>
      </c>
      <c r="AX184">
        <v>311000</v>
      </c>
      <c r="AY184" t="s">
        <v>161</v>
      </c>
      <c r="AZ184">
        <v>0</v>
      </c>
      <c r="BA184">
        <v>0</v>
      </c>
      <c r="BB184">
        <v>0</v>
      </c>
      <c r="BC184" t="s">
        <v>242</v>
      </c>
      <c r="BD184">
        <v>1509</v>
      </c>
      <c r="BE184" t="s">
        <v>169</v>
      </c>
      <c r="BF184">
        <v>5094130680</v>
      </c>
      <c r="BG184" t="s">
        <v>335</v>
      </c>
    </row>
    <row r="185" spans="1:59">
      <c r="A185">
        <v>1115</v>
      </c>
      <c r="B185">
        <v>1115</v>
      </c>
      <c r="C185">
        <v>10</v>
      </c>
      <c r="D185">
        <v>2</v>
      </c>
      <c r="E185" t="s">
        <v>152</v>
      </c>
      <c r="F185" t="s">
        <v>153</v>
      </c>
      <c r="G185" t="s">
        <v>154</v>
      </c>
      <c r="H185">
        <v>1526006111</v>
      </c>
      <c r="I185">
        <v>1000006382</v>
      </c>
      <c r="L185" t="s">
        <v>334</v>
      </c>
      <c r="M185">
        <v>5100001939</v>
      </c>
      <c r="N185" t="s">
        <v>155</v>
      </c>
      <c r="O185" t="s">
        <v>156</v>
      </c>
      <c r="P185">
        <v>4110059608</v>
      </c>
      <c r="Q185" t="s">
        <v>240</v>
      </c>
      <c r="R185">
        <v>5000</v>
      </c>
      <c r="S185" t="s">
        <v>166</v>
      </c>
      <c r="V185" t="s">
        <v>167</v>
      </c>
      <c r="W185">
        <v>1502020129</v>
      </c>
      <c r="X185" t="s">
        <v>241</v>
      </c>
      <c r="Y185" t="str">
        <f>VLOOKUP(W185,Sheet4!$A$5:$B$71,2,0)</f>
        <v>RE STYLING</v>
      </c>
      <c r="Z185">
        <v>87082900</v>
      </c>
      <c r="AA185">
        <v>15</v>
      </c>
      <c r="AB185" t="s">
        <v>159</v>
      </c>
      <c r="AC185" s="24">
        <v>6500.18</v>
      </c>
      <c r="AD185" t="s">
        <v>160</v>
      </c>
      <c r="AE185" s="24">
        <v>97502.7</v>
      </c>
      <c r="AF185">
        <v>0</v>
      </c>
      <c r="AG185" s="24">
        <v>97502.7</v>
      </c>
      <c r="AH185">
        <v>0</v>
      </c>
      <c r="AI185">
        <v>0</v>
      </c>
      <c r="AJ185">
        <v>0</v>
      </c>
      <c r="AK185">
        <v>0</v>
      </c>
      <c r="AL185" s="24">
        <v>97502.7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s="24">
        <v>97502.7</v>
      </c>
      <c r="AV185">
        <v>0</v>
      </c>
      <c r="AW185">
        <v>0</v>
      </c>
      <c r="AX185">
        <v>311000</v>
      </c>
      <c r="AY185" t="s">
        <v>161</v>
      </c>
      <c r="AZ185">
        <v>0</v>
      </c>
      <c r="BA185">
        <v>0</v>
      </c>
      <c r="BB185">
        <v>0</v>
      </c>
      <c r="BC185" t="s">
        <v>242</v>
      </c>
      <c r="BD185">
        <v>1509</v>
      </c>
      <c r="BE185" t="s">
        <v>169</v>
      </c>
      <c r="BF185">
        <v>5094130166</v>
      </c>
      <c r="BG185" t="s">
        <v>335</v>
      </c>
    </row>
    <row r="186" spans="1:59">
      <c r="A186">
        <v>1115</v>
      </c>
      <c r="B186">
        <v>1115</v>
      </c>
      <c r="C186">
        <v>10</v>
      </c>
      <c r="D186">
        <v>2</v>
      </c>
      <c r="E186" t="s">
        <v>152</v>
      </c>
      <c r="F186" t="s">
        <v>153</v>
      </c>
      <c r="G186" t="s">
        <v>154</v>
      </c>
      <c r="H186">
        <v>1526006109</v>
      </c>
      <c r="I186">
        <v>1000006380</v>
      </c>
      <c r="L186" t="s">
        <v>334</v>
      </c>
      <c r="M186">
        <v>5100001445</v>
      </c>
      <c r="N186" t="s">
        <v>155</v>
      </c>
      <c r="O186" t="s">
        <v>156</v>
      </c>
      <c r="P186">
        <v>4110021696</v>
      </c>
      <c r="Q186" t="s">
        <v>239</v>
      </c>
      <c r="R186">
        <v>5000</v>
      </c>
      <c r="S186" t="s">
        <v>166</v>
      </c>
      <c r="V186" t="s">
        <v>167</v>
      </c>
      <c r="W186">
        <v>1502040233</v>
      </c>
      <c r="X186" t="s">
        <v>37</v>
      </c>
      <c r="Y186" t="str">
        <f>VLOOKUP(W186,Sheet4!$A$5:$B$71,2,0)</f>
        <v>FRONT MUDGAURD</v>
      </c>
      <c r="Z186">
        <v>87082900</v>
      </c>
      <c r="AA186">
        <v>800</v>
      </c>
      <c r="AB186" t="s">
        <v>159</v>
      </c>
      <c r="AC186">
        <v>317.45999999999998</v>
      </c>
      <c r="AD186" t="s">
        <v>160</v>
      </c>
      <c r="AE186" s="24">
        <v>253968</v>
      </c>
      <c r="AF186">
        <v>0</v>
      </c>
      <c r="AG186" s="24">
        <v>253968</v>
      </c>
      <c r="AH186">
        <v>0</v>
      </c>
      <c r="AI186">
        <v>0</v>
      </c>
      <c r="AJ186">
        <v>0</v>
      </c>
      <c r="AK186">
        <v>0</v>
      </c>
      <c r="AL186" s="24">
        <v>253968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s="24">
        <v>253968</v>
      </c>
      <c r="AV186">
        <v>0</v>
      </c>
      <c r="AW186">
        <v>0</v>
      </c>
      <c r="AX186">
        <v>311000</v>
      </c>
      <c r="AY186" t="s">
        <v>161</v>
      </c>
      <c r="AZ186">
        <v>3.4</v>
      </c>
      <c r="BA186">
        <v>2</v>
      </c>
      <c r="BB186">
        <v>1.4</v>
      </c>
      <c r="BC186" t="s">
        <v>238</v>
      </c>
      <c r="BD186">
        <v>1511</v>
      </c>
      <c r="BE186" t="s">
        <v>174</v>
      </c>
      <c r="BF186">
        <v>5094120904</v>
      </c>
      <c r="BG186" t="s">
        <v>334</v>
      </c>
    </row>
    <row r="187" spans="1:59">
      <c r="A187">
        <v>1115</v>
      </c>
      <c r="B187">
        <v>1115</v>
      </c>
      <c r="C187">
        <v>10</v>
      </c>
      <c r="D187">
        <v>2</v>
      </c>
      <c r="E187" t="s">
        <v>152</v>
      </c>
      <c r="F187" t="s">
        <v>153</v>
      </c>
      <c r="G187" t="s">
        <v>154</v>
      </c>
      <c r="H187">
        <v>1526006108</v>
      </c>
      <c r="I187">
        <v>1000006379</v>
      </c>
      <c r="L187" t="s">
        <v>334</v>
      </c>
      <c r="M187">
        <v>5100001101</v>
      </c>
      <c r="N187" t="s">
        <v>155</v>
      </c>
      <c r="O187" t="s">
        <v>156</v>
      </c>
      <c r="P187">
        <v>4110004653</v>
      </c>
      <c r="Q187" t="s">
        <v>177</v>
      </c>
      <c r="R187">
        <v>5000</v>
      </c>
      <c r="S187" t="s">
        <v>166</v>
      </c>
      <c r="V187" t="s">
        <v>167</v>
      </c>
      <c r="W187">
        <v>1502040194</v>
      </c>
      <c r="X187" t="s">
        <v>44</v>
      </c>
      <c r="Y187" t="str">
        <f>VLOOKUP(W187,Sheet4!$A$5:$B$71,2,0)</f>
        <v>CRADEL</v>
      </c>
      <c r="Z187">
        <v>87082900</v>
      </c>
      <c r="AA187">
        <v>48</v>
      </c>
      <c r="AB187" t="s">
        <v>159</v>
      </c>
      <c r="AC187">
        <v>956.92</v>
      </c>
      <c r="AD187" t="s">
        <v>160</v>
      </c>
      <c r="AE187" s="24">
        <v>45932.160000000003</v>
      </c>
      <c r="AF187">
        <v>0</v>
      </c>
      <c r="AG187" s="24">
        <v>45932.160000000003</v>
      </c>
      <c r="AH187">
        <v>0</v>
      </c>
      <c r="AI187">
        <v>0</v>
      </c>
      <c r="AJ187">
        <v>0</v>
      </c>
      <c r="AK187">
        <v>0</v>
      </c>
      <c r="AL187" s="24">
        <v>45932.160000000003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s="24">
        <v>45932.160000000003</v>
      </c>
      <c r="AV187">
        <v>0</v>
      </c>
      <c r="AW187">
        <v>0</v>
      </c>
      <c r="AX187">
        <v>311000</v>
      </c>
      <c r="AY187" t="s">
        <v>161</v>
      </c>
      <c r="AZ187">
        <v>6.3769999999999998</v>
      </c>
      <c r="BA187">
        <v>6.3769999999999998</v>
      </c>
      <c r="BB187">
        <v>0</v>
      </c>
      <c r="BC187" t="s">
        <v>184</v>
      </c>
      <c r="BD187">
        <v>1511</v>
      </c>
      <c r="BE187" t="s">
        <v>174</v>
      </c>
      <c r="BF187">
        <v>5094126228</v>
      </c>
      <c r="BG187" t="s">
        <v>334</v>
      </c>
    </row>
    <row r="188" spans="1:59">
      <c r="A188">
        <v>1115</v>
      </c>
      <c r="B188">
        <v>1115</v>
      </c>
      <c r="C188">
        <v>10</v>
      </c>
      <c r="D188">
        <v>2</v>
      </c>
      <c r="E188" t="s">
        <v>152</v>
      </c>
      <c r="F188" t="s">
        <v>153</v>
      </c>
      <c r="G188" t="s">
        <v>154</v>
      </c>
      <c r="H188">
        <v>1526006107</v>
      </c>
      <c r="I188">
        <v>1000006378</v>
      </c>
      <c r="L188" t="s">
        <v>334</v>
      </c>
      <c r="M188">
        <v>5100001101</v>
      </c>
      <c r="N188" t="s">
        <v>155</v>
      </c>
      <c r="O188" t="s">
        <v>156</v>
      </c>
      <c r="P188">
        <v>4110004653</v>
      </c>
      <c r="Q188" t="s">
        <v>177</v>
      </c>
      <c r="R188">
        <v>5000</v>
      </c>
      <c r="S188" t="s">
        <v>166</v>
      </c>
      <c r="V188" t="s">
        <v>167</v>
      </c>
      <c r="W188">
        <v>1502040194</v>
      </c>
      <c r="X188" t="s">
        <v>44</v>
      </c>
      <c r="Y188" t="str">
        <f>VLOOKUP(W188,Sheet4!$A$5:$B$71,2,0)</f>
        <v>CRADEL</v>
      </c>
      <c r="Z188">
        <v>87082900</v>
      </c>
      <c r="AA188">
        <v>48</v>
      </c>
      <c r="AB188" t="s">
        <v>159</v>
      </c>
      <c r="AC188">
        <v>956.92</v>
      </c>
      <c r="AD188" t="s">
        <v>160</v>
      </c>
      <c r="AE188" s="24">
        <v>45932.160000000003</v>
      </c>
      <c r="AF188">
        <v>0</v>
      </c>
      <c r="AG188" s="24">
        <v>45932.160000000003</v>
      </c>
      <c r="AH188">
        <v>0</v>
      </c>
      <c r="AI188">
        <v>0</v>
      </c>
      <c r="AJ188">
        <v>0</v>
      </c>
      <c r="AK188">
        <v>0</v>
      </c>
      <c r="AL188" s="24">
        <v>45932.160000000003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s="24">
        <v>45932.160000000003</v>
      </c>
      <c r="AV188">
        <v>0</v>
      </c>
      <c r="AW188">
        <v>0</v>
      </c>
      <c r="AX188">
        <v>311000</v>
      </c>
      <c r="AY188" t="s">
        <v>161</v>
      </c>
      <c r="AZ188">
        <v>6.3769999999999998</v>
      </c>
      <c r="BA188">
        <v>6.3769999999999998</v>
      </c>
      <c r="BB188">
        <v>0</v>
      </c>
      <c r="BC188" t="s">
        <v>184</v>
      </c>
      <c r="BD188">
        <v>1511</v>
      </c>
      <c r="BE188" t="s">
        <v>174</v>
      </c>
      <c r="BF188">
        <v>5094123200</v>
      </c>
      <c r="BG188" t="s">
        <v>334</v>
      </c>
    </row>
    <row r="189" spans="1:59">
      <c r="A189">
        <v>1115</v>
      </c>
      <c r="B189">
        <v>1115</v>
      </c>
      <c r="C189">
        <v>10</v>
      </c>
      <c r="D189">
        <v>2</v>
      </c>
      <c r="E189" t="s">
        <v>152</v>
      </c>
      <c r="F189" t="s">
        <v>153</v>
      </c>
      <c r="G189" t="s">
        <v>154</v>
      </c>
      <c r="H189">
        <v>1526006106</v>
      </c>
      <c r="I189">
        <v>1000006377</v>
      </c>
      <c r="L189" t="s">
        <v>334</v>
      </c>
      <c r="M189">
        <v>5100001101</v>
      </c>
      <c r="N189" t="s">
        <v>155</v>
      </c>
      <c r="O189" t="s">
        <v>156</v>
      </c>
      <c r="P189">
        <v>4110004653</v>
      </c>
      <c r="Q189" t="s">
        <v>177</v>
      </c>
      <c r="R189">
        <v>5000</v>
      </c>
      <c r="S189" t="s">
        <v>166</v>
      </c>
      <c r="V189" t="s">
        <v>167</v>
      </c>
      <c r="W189">
        <v>1502040194</v>
      </c>
      <c r="X189" t="s">
        <v>44</v>
      </c>
      <c r="Y189" t="str">
        <f>VLOOKUP(W189,Sheet4!$A$5:$B$71,2,0)</f>
        <v>CRADEL</v>
      </c>
      <c r="Z189">
        <v>87082900</v>
      </c>
      <c r="AA189">
        <v>48</v>
      </c>
      <c r="AB189" t="s">
        <v>159</v>
      </c>
      <c r="AC189">
        <v>956.92</v>
      </c>
      <c r="AD189" t="s">
        <v>160</v>
      </c>
      <c r="AE189" s="24">
        <v>45932.160000000003</v>
      </c>
      <c r="AF189">
        <v>0</v>
      </c>
      <c r="AG189" s="24">
        <v>45932.160000000003</v>
      </c>
      <c r="AH189">
        <v>0</v>
      </c>
      <c r="AI189">
        <v>0</v>
      </c>
      <c r="AJ189">
        <v>0</v>
      </c>
      <c r="AK189">
        <v>0</v>
      </c>
      <c r="AL189" s="24">
        <v>45932.160000000003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s="24">
        <v>45932.160000000003</v>
      </c>
      <c r="AV189">
        <v>0</v>
      </c>
      <c r="AW189">
        <v>0</v>
      </c>
      <c r="AX189">
        <v>311000</v>
      </c>
      <c r="AY189" t="s">
        <v>161</v>
      </c>
      <c r="AZ189">
        <v>6.3769999999999998</v>
      </c>
      <c r="BA189">
        <v>6.3769999999999998</v>
      </c>
      <c r="BB189">
        <v>0</v>
      </c>
      <c r="BC189" t="s">
        <v>184</v>
      </c>
      <c r="BD189">
        <v>1511</v>
      </c>
      <c r="BE189" t="s">
        <v>174</v>
      </c>
      <c r="BF189">
        <v>5094126132</v>
      </c>
      <c r="BG189" t="s">
        <v>334</v>
      </c>
    </row>
    <row r="190" spans="1:59">
      <c r="A190">
        <v>1115</v>
      </c>
      <c r="B190">
        <v>1115</v>
      </c>
      <c r="C190">
        <v>10</v>
      </c>
      <c r="D190">
        <v>2</v>
      </c>
      <c r="E190" t="s">
        <v>152</v>
      </c>
      <c r="F190" t="s">
        <v>153</v>
      </c>
      <c r="G190" t="s">
        <v>154</v>
      </c>
      <c r="H190">
        <v>1526006101</v>
      </c>
      <c r="I190">
        <v>1000006372</v>
      </c>
      <c r="L190" t="s">
        <v>334</v>
      </c>
      <c r="M190">
        <v>5100001928</v>
      </c>
      <c r="N190" t="s">
        <v>155</v>
      </c>
      <c r="O190" t="s">
        <v>156</v>
      </c>
      <c r="P190">
        <v>4110057393</v>
      </c>
      <c r="Q190" t="s">
        <v>192</v>
      </c>
      <c r="R190">
        <v>5000</v>
      </c>
      <c r="S190" t="s">
        <v>166</v>
      </c>
      <c r="V190" t="s">
        <v>167</v>
      </c>
      <c r="W190">
        <v>1502020122</v>
      </c>
      <c r="X190" t="s">
        <v>70</v>
      </c>
      <c r="Y190" t="str">
        <f>VLOOKUP(W190,Sheet4!$A$5:$B$71,2,0)</f>
        <v>MAX UG NEW EV</v>
      </c>
      <c r="Z190">
        <v>87082900</v>
      </c>
      <c r="AA190">
        <v>10</v>
      </c>
      <c r="AB190" t="s">
        <v>159</v>
      </c>
      <c r="AC190" s="24">
        <v>9566.51</v>
      </c>
      <c r="AD190" t="s">
        <v>160</v>
      </c>
      <c r="AE190" s="24">
        <v>95665.1</v>
      </c>
      <c r="AF190">
        <v>0</v>
      </c>
      <c r="AG190" s="24">
        <v>95665.1</v>
      </c>
      <c r="AH190">
        <v>0</v>
      </c>
      <c r="AI190">
        <v>0</v>
      </c>
      <c r="AJ190">
        <v>0</v>
      </c>
      <c r="AK190">
        <v>0</v>
      </c>
      <c r="AL190" s="24">
        <v>95665.1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s="24">
        <v>95665.1</v>
      </c>
      <c r="AV190">
        <v>0</v>
      </c>
      <c r="AW190">
        <v>0</v>
      </c>
      <c r="AX190">
        <v>311000</v>
      </c>
      <c r="AY190" t="s">
        <v>161</v>
      </c>
      <c r="AZ190">
        <v>0</v>
      </c>
      <c r="BA190">
        <v>61</v>
      </c>
      <c r="BB190">
        <v>-61</v>
      </c>
      <c r="BC190" t="s">
        <v>193</v>
      </c>
      <c r="BD190">
        <v>1509</v>
      </c>
      <c r="BE190" t="s">
        <v>169</v>
      </c>
      <c r="BF190">
        <v>5094121027</v>
      </c>
      <c r="BG190" t="s">
        <v>334</v>
      </c>
    </row>
    <row r="191" spans="1:59">
      <c r="A191">
        <v>1115</v>
      </c>
      <c r="B191">
        <v>1115</v>
      </c>
      <c r="C191">
        <v>10</v>
      </c>
      <c r="D191">
        <v>2</v>
      </c>
      <c r="E191" t="s">
        <v>152</v>
      </c>
      <c r="F191" t="s">
        <v>153</v>
      </c>
      <c r="G191" t="s">
        <v>154</v>
      </c>
      <c r="H191">
        <v>1526006100</v>
      </c>
      <c r="I191">
        <v>1000006371</v>
      </c>
      <c r="L191" t="s">
        <v>334</v>
      </c>
      <c r="M191">
        <v>5100001928</v>
      </c>
      <c r="N191" t="s">
        <v>155</v>
      </c>
      <c r="O191" t="s">
        <v>156</v>
      </c>
      <c r="P191">
        <v>4110057393</v>
      </c>
      <c r="Q191" t="s">
        <v>192</v>
      </c>
      <c r="R191">
        <v>5000</v>
      </c>
      <c r="S191" t="s">
        <v>166</v>
      </c>
      <c r="V191" t="s">
        <v>167</v>
      </c>
      <c r="W191">
        <v>1502020122</v>
      </c>
      <c r="X191" t="s">
        <v>70</v>
      </c>
      <c r="Y191" t="str">
        <f>VLOOKUP(W191,Sheet4!$A$5:$B$71,2,0)</f>
        <v>MAX UG NEW EV</v>
      </c>
      <c r="Z191">
        <v>87082900</v>
      </c>
      <c r="AA191">
        <v>10</v>
      </c>
      <c r="AB191" t="s">
        <v>159</v>
      </c>
      <c r="AC191" s="24">
        <v>9566.51</v>
      </c>
      <c r="AD191" t="s">
        <v>160</v>
      </c>
      <c r="AE191" s="24">
        <v>95665.1</v>
      </c>
      <c r="AF191">
        <v>0</v>
      </c>
      <c r="AG191" s="24">
        <v>95665.1</v>
      </c>
      <c r="AH191">
        <v>0</v>
      </c>
      <c r="AI191">
        <v>0</v>
      </c>
      <c r="AJ191">
        <v>0</v>
      </c>
      <c r="AK191">
        <v>0</v>
      </c>
      <c r="AL191" s="24">
        <v>95665.1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s="24">
        <v>95665.1</v>
      </c>
      <c r="AV191">
        <v>0</v>
      </c>
      <c r="AW191">
        <v>0</v>
      </c>
      <c r="AX191">
        <v>311000</v>
      </c>
      <c r="AY191" t="s">
        <v>161</v>
      </c>
      <c r="AZ191">
        <v>0</v>
      </c>
      <c r="BA191">
        <v>61</v>
      </c>
      <c r="BB191">
        <v>-61</v>
      </c>
      <c r="BC191" t="s">
        <v>193</v>
      </c>
      <c r="BD191">
        <v>1509</v>
      </c>
      <c r="BE191" t="s">
        <v>169</v>
      </c>
      <c r="BF191">
        <v>5094129386</v>
      </c>
      <c r="BG191" t="s">
        <v>334</v>
      </c>
    </row>
    <row r="192" spans="1:59">
      <c r="A192">
        <v>1115</v>
      </c>
      <c r="B192">
        <v>1115</v>
      </c>
      <c r="C192">
        <v>10</v>
      </c>
      <c r="D192">
        <v>2</v>
      </c>
      <c r="E192" t="s">
        <v>152</v>
      </c>
      <c r="F192" t="s">
        <v>153</v>
      </c>
      <c r="G192" t="s">
        <v>154</v>
      </c>
      <c r="H192">
        <v>1526006099</v>
      </c>
      <c r="I192">
        <v>1000006370</v>
      </c>
      <c r="L192" t="s">
        <v>334</v>
      </c>
      <c r="M192">
        <v>5100001928</v>
      </c>
      <c r="N192" t="s">
        <v>155</v>
      </c>
      <c r="O192" t="s">
        <v>156</v>
      </c>
      <c r="P192">
        <v>4110057393</v>
      </c>
      <c r="Q192" t="s">
        <v>192</v>
      </c>
      <c r="R192">
        <v>5000</v>
      </c>
      <c r="S192" t="s">
        <v>166</v>
      </c>
      <c r="V192" t="s">
        <v>167</v>
      </c>
      <c r="W192">
        <v>1502020122</v>
      </c>
      <c r="X192" t="s">
        <v>70</v>
      </c>
      <c r="Y192" t="str">
        <f>VLOOKUP(W192,Sheet4!$A$5:$B$71,2,0)</f>
        <v>MAX UG NEW EV</v>
      </c>
      <c r="Z192">
        <v>87082900</v>
      </c>
      <c r="AA192">
        <v>10</v>
      </c>
      <c r="AB192" t="s">
        <v>159</v>
      </c>
      <c r="AC192" s="24">
        <v>9566.51</v>
      </c>
      <c r="AD192" t="s">
        <v>160</v>
      </c>
      <c r="AE192" s="24">
        <v>95665.1</v>
      </c>
      <c r="AF192">
        <v>0</v>
      </c>
      <c r="AG192" s="24">
        <v>95665.1</v>
      </c>
      <c r="AH192">
        <v>0</v>
      </c>
      <c r="AI192">
        <v>0</v>
      </c>
      <c r="AJ192">
        <v>0</v>
      </c>
      <c r="AK192">
        <v>0</v>
      </c>
      <c r="AL192" s="24">
        <v>95665.1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s="24">
        <v>95665.1</v>
      </c>
      <c r="AV192">
        <v>0</v>
      </c>
      <c r="AW192">
        <v>0</v>
      </c>
      <c r="AX192">
        <v>311000</v>
      </c>
      <c r="AY192" t="s">
        <v>161</v>
      </c>
      <c r="AZ192">
        <v>0</v>
      </c>
      <c r="BA192">
        <v>61</v>
      </c>
      <c r="BB192">
        <v>-61</v>
      </c>
      <c r="BC192" t="s">
        <v>193</v>
      </c>
      <c r="BD192">
        <v>1509</v>
      </c>
      <c r="BE192" t="s">
        <v>169</v>
      </c>
      <c r="BF192">
        <v>5094122963</v>
      </c>
      <c r="BG192" t="s">
        <v>334</v>
      </c>
    </row>
    <row r="193" spans="1:59">
      <c r="A193">
        <v>1115</v>
      </c>
      <c r="B193">
        <v>1115</v>
      </c>
      <c r="C193">
        <v>10</v>
      </c>
      <c r="D193">
        <v>2</v>
      </c>
      <c r="E193" t="s">
        <v>152</v>
      </c>
      <c r="F193" t="s">
        <v>153</v>
      </c>
      <c r="G193" t="s">
        <v>154</v>
      </c>
      <c r="H193">
        <v>1526006098</v>
      </c>
      <c r="I193">
        <v>1000006369</v>
      </c>
      <c r="L193" t="s">
        <v>334</v>
      </c>
      <c r="M193">
        <v>5100001913</v>
      </c>
      <c r="N193" t="s">
        <v>155</v>
      </c>
      <c r="O193" t="s">
        <v>156</v>
      </c>
      <c r="P193">
        <v>4110050475</v>
      </c>
      <c r="Q193" t="s">
        <v>178</v>
      </c>
      <c r="R193">
        <v>5000</v>
      </c>
      <c r="S193" t="s">
        <v>166</v>
      </c>
      <c r="V193" t="s">
        <v>167</v>
      </c>
      <c r="W193">
        <v>1502040289</v>
      </c>
      <c r="X193" t="s">
        <v>49</v>
      </c>
      <c r="Y193" t="str">
        <f>VLOOKUP(W193,Sheet4!$A$5:$B$71,2,0)</f>
        <v>SUPPORT TOP</v>
      </c>
      <c r="Z193">
        <v>87082900</v>
      </c>
      <c r="AA193">
        <v>480</v>
      </c>
      <c r="AB193" t="s">
        <v>159</v>
      </c>
      <c r="AC193">
        <v>174.61</v>
      </c>
      <c r="AD193" t="s">
        <v>160</v>
      </c>
      <c r="AE193" s="24">
        <v>83812.800000000003</v>
      </c>
      <c r="AF193">
        <v>0</v>
      </c>
      <c r="AG193" s="24">
        <v>83812.800000000003</v>
      </c>
      <c r="AH193">
        <v>0</v>
      </c>
      <c r="AI193">
        <v>0</v>
      </c>
      <c r="AJ193">
        <v>0</v>
      </c>
      <c r="AK193">
        <v>0</v>
      </c>
      <c r="AL193" s="24">
        <v>83812.800000000003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s="24">
        <v>83812.800000000003</v>
      </c>
      <c r="AV193">
        <v>0</v>
      </c>
      <c r="AW193">
        <v>0</v>
      </c>
      <c r="AX193">
        <v>311000</v>
      </c>
      <c r="AY193" t="s">
        <v>161</v>
      </c>
      <c r="AZ193">
        <v>0</v>
      </c>
      <c r="BA193">
        <v>0</v>
      </c>
      <c r="BB193">
        <v>0</v>
      </c>
      <c r="BC193" t="s">
        <v>179</v>
      </c>
      <c r="BD193">
        <v>1511</v>
      </c>
      <c r="BE193" t="s">
        <v>174</v>
      </c>
      <c r="BF193">
        <v>5094123768</v>
      </c>
      <c r="BG193" t="s">
        <v>334</v>
      </c>
    </row>
    <row r="194" spans="1:59">
      <c r="A194">
        <v>1115</v>
      </c>
      <c r="B194">
        <v>1115</v>
      </c>
      <c r="C194">
        <v>10</v>
      </c>
      <c r="D194">
        <v>2</v>
      </c>
      <c r="E194" t="s">
        <v>152</v>
      </c>
      <c r="F194" t="s">
        <v>153</v>
      </c>
      <c r="G194" t="s">
        <v>154</v>
      </c>
      <c r="H194">
        <v>1526006097</v>
      </c>
      <c r="I194">
        <v>1000006368</v>
      </c>
      <c r="L194" t="s">
        <v>334</v>
      </c>
      <c r="M194">
        <v>5100001928</v>
      </c>
      <c r="N194" t="s">
        <v>155</v>
      </c>
      <c r="O194" t="s">
        <v>156</v>
      </c>
      <c r="P194">
        <v>4110057393</v>
      </c>
      <c r="Q194" t="s">
        <v>192</v>
      </c>
      <c r="R194">
        <v>5000</v>
      </c>
      <c r="S194" t="s">
        <v>166</v>
      </c>
      <c r="V194" t="s">
        <v>167</v>
      </c>
      <c r="W194">
        <v>1502020122</v>
      </c>
      <c r="X194" t="s">
        <v>70</v>
      </c>
      <c r="Y194" t="str">
        <f>VLOOKUP(W194,Sheet4!$A$5:$B$71,2,0)</f>
        <v>MAX UG NEW EV</v>
      </c>
      <c r="Z194">
        <v>87082900</v>
      </c>
      <c r="AA194">
        <v>10</v>
      </c>
      <c r="AB194" t="s">
        <v>159</v>
      </c>
      <c r="AC194" s="24">
        <v>9566.51</v>
      </c>
      <c r="AD194" t="s">
        <v>160</v>
      </c>
      <c r="AE194" s="24">
        <v>95665.1</v>
      </c>
      <c r="AF194">
        <v>0</v>
      </c>
      <c r="AG194" s="24">
        <v>95665.1</v>
      </c>
      <c r="AH194">
        <v>0</v>
      </c>
      <c r="AI194">
        <v>0</v>
      </c>
      <c r="AJ194">
        <v>0</v>
      </c>
      <c r="AK194">
        <v>0</v>
      </c>
      <c r="AL194" s="24">
        <v>95665.1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s="24">
        <v>95665.1</v>
      </c>
      <c r="AV194">
        <v>0</v>
      </c>
      <c r="AW194">
        <v>0</v>
      </c>
      <c r="AX194">
        <v>311000</v>
      </c>
      <c r="AY194" t="s">
        <v>161</v>
      </c>
      <c r="AZ194">
        <v>0</v>
      </c>
      <c r="BA194">
        <v>61</v>
      </c>
      <c r="BB194">
        <v>-61</v>
      </c>
      <c r="BC194" t="s">
        <v>193</v>
      </c>
      <c r="BD194">
        <v>1509</v>
      </c>
      <c r="BE194" t="s">
        <v>169</v>
      </c>
      <c r="BF194">
        <v>5094120947</v>
      </c>
      <c r="BG194" t="s">
        <v>334</v>
      </c>
    </row>
    <row r="195" spans="1:59">
      <c r="A195">
        <v>1115</v>
      </c>
      <c r="B195">
        <v>1115</v>
      </c>
      <c r="C195">
        <v>10</v>
      </c>
      <c r="D195">
        <v>2</v>
      </c>
      <c r="E195" t="s">
        <v>152</v>
      </c>
      <c r="F195" t="s">
        <v>153</v>
      </c>
      <c r="G195" t="s">
        <v>154</v>
      </c>
      <c r="H195">
        <v>1526006096</v>
      </c>
      <c r="I195">
        <v>1000006367</v>
      </c>
      <c r="L195" t="s">
        <v>334</v>
      </c>
      <c r="M195">
        <v>5100001928</v>
      </c>
      <c r="N195" t="s">
        <v>155</v>
      </c>
      <c r="O195" t="s">
        <v>156</v>
      </c>
      <c r="P195">
        <v>4110057393</v>
      </c>
      <c r="Q195" t="s">
        <v>192</v>
      </c>
      <c r="R195">
        <v>5000</v>
      </c>
      <c r="S195" t="s">
        <v>166</v>
      </c>
      <c r="V195" t="s">
        <v>167</v>
      </c>
      <c r="W195">
        <v>1502020122</v>
      </c>
      <c r="X195" t="s">
        <v>70</v>
      </c>
      <c r="Y195" t="str">
        <f>VLOOKUP(W195,Sheet4!$A$5:$B$71,2,0)</f>
        <v>MAX UG NEW EV</v>
      </c>
      <c r="Z195">
        <v>87082900</v>
      </c>
      <c r="AA195">
        <v>10</v>
      </c>
      <c r="AB195" t="s">
        <v>159</v>
      </c>
      <c r="AC195" s="24">
        <v>9566.51</v>
      </c>
      <c r="AD195" t="s">
        <v>160</v>
      </c>
      <c r="AE195" s="24">
        <v>95665.1</v>
      </c>
      <c r="AF195">
        <v>0</v>
      </c>
      <c r="AG195" s="24">
        <v>95665.1</v>
      </c>
      <c r="AH195">
        <v>0</v>
      </c>
      <c r="AI195">
        <v>0</v>
      </c>
      <c r="AJ195">
        <v>0</v>
      </c>
      <c r="AK195">
        <v>0</v>
      </c>
      <c r="AL195" s="24">
        <v>95665.1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s="24">
        <v>95665.1</v>
      </c>
      <c r="AV195">
        <v>0</v>
      </c>
      <c r="AW195">
        <v>0</v>
      </c>
      <c r="AX195">
        <v>311000</v>
      </c>
      <c r="AY195" t="s">
        <v>161</v>
      </c>
      <c r="AZ195">
        <v>0</v>
      </c>
      <c r="BA195">
        <v>61</v>
      </c>
      <c r="BB195">
        <v>-61</v>
      </c>
      <c r="BC195" t="s">
        <v>193</v>
      </c>
      <c r="BD195">
        <v>1509</v>
      </c>
      <c r="BE195" t="s">
        <v>169</v>
      </c>
      <c r="BF195">
        <v>5094121026</v>
      </c>
      <c r="BG195" t="s">
        <v>334</v>
      </c>
    </row>
    <row r="196" spans="1:59">
      <c r="A196">
        <v>1115</v>
      </c>
      <c r="B196">
        <v>1115</v>
      </c>
      <c r="C196">
        <v>10</v>
      </c>
      <c r="D196">
        <v>2</v>
      </c>
      <c r="E196" t="s">
        <v>152</v>
      </c>
      <c r="F196" t="s">
        <v>153</v>
      </c>
      <c r="G196" t="s">
        <v>154</v>
      </c>
      <c r="H196">
        <v>1526006094</v>
      </c>
      <c r="I196">
        <v>1000006365</v>
      </c>
      <c r="L196" t="s">
        <v>334</v>
      </c>
      <c r="M196">
        <v>5100001666</v>
      </c>
      <c r="N196" t="s">
        <v>155</v>
      </c>
      <c r="O196" t="s">
        <v>156</v>
      </c>
      <c r="P196">
        <v>4110027035</v>
      </c>
      <c r="Q196" t="s">
        <v>225</v>
      </c>
      <c r="R196">
        <v>5000</v>
      </c>
      <c r="S196" t="s">
        <v>166</v>
      </c>
      <c r="V196" t="s">
        <v>167</v>
      </c>
      <c r="W196">
        <v>1502020105</v>
      </c>
      <c r="X196" t="s">
        <v>226</v>
      </c>
      <c r="Y196" t="str">
        <f>VLOOKUP(W196,Sheet4!$A$5:$B$71,2,0)</f>
        <v>RE STYLING</v>
      </c>
      <c r="Z196">
        <v>87082900</v>
      </c>
      <c r="AA196">
        <v>15</v>
      </c>
      <c r="AB196" t="s">
        <v>159</v>
      </c>
      <c r="AC196" s="24">
        <v>6570.77</v>
      </c>
      <c r="AD196" t="s">
        <v>160</v>
      </c>
      <c r="AE196" s="24">
        <v>98561.55</v>
      </c>
      <c r="AF196">
        <v>0</v>
      </c>
      <c r="AG196" s="24">
        <v>98561.55</v>
      </c>
      <c r="AH196">
        <v>0</v>
      </c>
      <c r="AI196">
        <v>0</v>
      </c>
      <c r="AJ196">
        <v>0</v>
      </c>
      <c r="AK196">
        <v>0</v>
      </c>
      <c r="AL196" s="24">
        <v>98561.55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 s="24">
        <v>98561.55</v>
      </c>
      <c r="AV196">
        <v>0</v>
      </c>
      <c r="AW196">
        <v>0</v>
      </c>
      <c r="AX196">
        <v>311000</v>
      </c>
      <c r="AY196" t="s">
        <v>161</v>
      </c>
      <c r="AZ196">
        <v>49.75</v>
      </c>
      <c r="BA196">
        <v>49.75</v>
      </c>
      <c r="BB196">
        <v>0</v>
      </c>
      <c r="BC196" t="s">
        <v>227</v>
      </c>
      <c r="BD196">
        <v>1509</v>
      </c>
      <c r="BE196" t="s">
        <v>169</v>
      </c>
      <c r="BF196" t="s">
        <v>163</v>
      </c>
      <c r="BG196" t="s">
        <v>164</v>
      </c>
    </row>
    <row r="197" spans="1:59">
      <c r="A197">
        <v>1115</v>
      </c>
      <c r="B197">
        <v>1115</v>
      </c>
      <c r="C197">
        <v>10</v>
      </c>
      <c r="D197">
        <v>2</v>
      </c>
      <c r="E197" t="s">
        <v>152</v>
      </c>
      <c r="F197" t="s">
        <v>153</v>
      </c>
      <c r="G197" t="s">
        <v>154</v>
      </c>
      <c r="H197">
        <v>1526006093</v>
      </c>
      <c r="I197">
        <v>1000006364</v>
      </c>
      <c r="L197" t="s">
        <v>334</v>
      </c>
      <c r="M197">
        <v>5100001666</v>
      </c>
      <c r="N197" t="s">
        <v>155</v>
      </c>
      <c r="O197" t="s">
        <v>156</v>
      </c>
      <c r="P197">
        <v>4110027035</v>
      </c>
      <c r="Q197" t="s">
        <v>225</v>
      </c>
      <c r="R197">
        <v>5000</v>
      </c>
      <c r="S197" t="s">
        <v>166</v>
      </c>
      <c r="V197" t="s">
        <v>167</v>
      </c>
      <c r="W197">
        <v>1502020105</v>
      </c>
      <c r="X197" t="s">
        <v>226</v>
      </c>
      <c r="Y197" t="str">
        <f>VLOOKUP(W197,Sheet4!$A$5:$B$71,2,0)</f>
        <v>RE STYLING</v>
      </c>
      <c r="Z197">
        <v>87082900</v>
      </c>
      <c r="AA197">
        <v>15</v>
      </c>
      <c r="AB197" t="s">
        <v>159</v>
      </c>
      <c r="AC197" s="24">
        <v>6570.77</v>
      </c>
      <c r="AD197" t="s">
        <v>160</v>
      </c>
      <c r="AE197" s="24">
        <v>98561.55</v>
      </c>
      <c r="AF197">
        <v>0</v>
      </c>
      <c r="AG197" s="24">
        <v>98561.55</v>
      </c>
      <c r="AH197">
        <v>0</v>
      </c>
      <c r="AI197">
        <v>0</v>
      </c>
      <c r="AJ197">
        <v>0</v>
      </c>
      <c r="AK197">
        <v>0</v>
      </c>
      <c r="AL197" s="24">
        <v>98561.55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s="24">
        <v>98561.55</v>
      </c>
      <c r="AV197">
        <v>0</v>
      </c>
      <c r="AW197">
        <v>0</v>
      </c>
      <c r="AX197">
        <v>311000</v>
      </c>
      <c r="AY197" t="s">
        <v>161</v>
      </c>
      <c r="AZ197">
        <v>49.75</v>
      </c>
      <c r="BA197">
        <v>49.75</v>
      </c>
      <c r="BB197">
        <v>0</v>
      </c>
      <c r="BC197" t="s">
        <v>227</v>
      </c>
      <c r="BD197">
        <v>1509</v>
      </c>
      <c r="BE197" t="s">
        <v>169</v>
      </c>
      <c r="BF197">
        <v>5094126948</v>
      </c>
      <c r="BG197" t="s">
        <v>334</v>
      </c>
    </row>
    <row r="198" spans="1:59">
      <c r="A198">
        <v>1115</v>
      </c>
      <c r="B198">
        <v>1115</v>
      </c>
      <c r="C198">
        <v>10</v>
      </c>
      <c r="D198">
        <v>2</v>
      </c>
      <c r="E198" t="s">
        <v>152</v>
      </c>
      <c r="F198" t="s">
        <v>153</v>
      </c>
      <c r="G198" t="s">
        <v>154</v>
      </c>
      <c r="H198">
        <v>1526006092</v>
      </c>
      <c r="I198">
        <v>1000006363</v>
      </c>
      <c r="L198" t="s">
        <v>334</v>
      </c>
      <c r="M198">
        <v>5100001924</v>
      </c>
      <c r="N198" t="s">
        <v>155</v>
      </c>
      <c r="O198" t="s">
        <v>156</v>
      </c>
      <c r="P198">
        <v>4110055642</v>
      </c>
      <c r="Q198" t="s">
        <v>199</v>
      </c>
      <c r="R198">
        <v>5000</v>
      </c>
      <c r="S198" t="s">
        <v>166</v>
      </c>
      <c r="V198" t="s">
        <v>167</v>
      </c>
      <c r="W198">
        <v>1502040314</v>
      </c>
      <c r="X198" t="s">
        <v>248</v>
      </c>
      <c r="Y198" t="str">
        <f>VLOOKUP(W198,Sheet4!$A$5:$B$71,2,0)</f>
        <v>Re Side Door</v>
      </c>
      <c r="Z198">
        <v>87082900</v>
      </c>
      <c r="AA198">
        <v>120</v>
      </c>
      <c r="AB198" t="s">
        <v>159</v>
      </c>
      <c r="AC198">
        <v>504.46</v>
      </c>
      <c r="AD198" t="s">
        <v>160</v>
      </c>
      <c r="AE198" s="24">
        <v>60535.199999999997</v>
      </c>
      <c r="AF198">
        <v>0</v>
      </c>
      <c r="AG198" s="24">
        <v>60535.199999999997</v>
      </c>
      <c r="AH198">
        <v>0</v>
      </c>
      <c r="AI198">
        <v>0</v>
      </c>
      <c r="AJ198">
        <v>0</v>
      </c>
      <c r="AK198">
        <v>0</v>
      </c>
      <c r="AL198" s="24">
        <v>60535.199999999997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s="24">
        <v>60535.199999999997</v>
      </c>
      <c r="AV198">
        <v>0</v>
      </c>
      <c r="AW198">
        <v>0</v>
      </c>
      <c r="AX198">
        <v>311000</v>
      </c>
      <c r="AY198" t="s">
        <v>161</v>
      </c>
      <c r="AZ198">
        <v>2.27</v>
      </c>
      <c r="BA198">
        <v>2.27</v>
      </c>
      <c r="BB198">
        <v>0</v>
      </c>
      <c r="BC198" t="s">
        <v>249</v>
      </c>
      <c r="BD198">
        <v>1511</v>
      </c>
      <c r="BE198" t="s">
        <v>174</v>
      </c>
      <c r="BF198">
        <v>5094124097</v>
      </c>
      <c r="BG198" t="s">
        <v>334</v>
      </c>
    </row>
    <row r="199" spans="1:59">
      <c r="A199">
        <v>1115</v>
      </c>
      <c r="B199">
        <v>1115</v>
      </c>
      <c r="C199">
        <v>10</v>
      </c>
      <c r="D199">
        <v>2</v>
      </c>
      <c r="E199" t="s">
        <v>152</v>
      </c>
      <c r="F199" t="s">
        <v>153</v>
      </c>
      <c r="G199" t="s">
        <v>154</v>
      </c>
      <c r="H199">
        <v>1526006144</v>
      </c>
      <c r="I199">
        <v>1000006414</v>
      </c>
      <c r="L199" t="s">
        <v>334</v>
      </c>
      <c r="M199">
        <v>5100001407</v>
      </c>
      <c r="N199" t="s">
        <v>155</v>
      </c>
      <c r="O199" t="s">
        <v>156</v>
      </c>
      <c r="P199">
        <v>4110019623</v>
      </c>
      <c r="Q199" t="s">
        <v>188</v>
      </c>
      <c r="R199">
        <v>5000</v>
      </c>
      <c r="S199" t="s">
        <v>166</v>
      </c>
      <c r="V199" t="s">
        <v>167</v>
      </c>
      <c r="W199">
        <v>1502040216</v>
      </c>
      <c r="X199" t="s">
        <v>64</v>
      </c>
      <c r="Y199" t="str">
        <f>VLOOKUP(W199,Sheet4!$A$5:$B$71,2,0)</f>
        <v>FRONT MUDGAURD</v>
      </c>
      <c r="Z199">
        <v>87082900</v>
      </c>
      <c r="AA199" s="24">
        <v>1280</v>
      </c>
      <c r="AB199" t="s">
        <v>159</v>
      </c>
      <c r="AC199">
        <v>174.11</v>
      </c>
      <c r="AD199" t="s">
        <v>160</v>
      </c>
      <c r="AE199" s="24">
        <v>222860.79999999999</v>
      </c>
      <c r="AF199">
        <v>0</v>
      </c>
      <c r="AG199" s="24">
        <v>222860.79999999999</v>
      </c>
      <c r="AH199">
        <v>0</v>
      </c>
      <c r="AI199">
        <v>0</v>
      </c>
      <c r="AJ199">
        <v>0</v>
      </c>
      <c r="AK199">
        <v>0</v>
      </c>
      <c r="AL199" s="24">
        <v>222860.79999999999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 s="24">
        <v>222860.79999999999</v>
      </c>
      <c r="AV199">
        <v>0</v>
      </c>
      <c r="AW199">
        <v>0</v>
      </c>
      <c r="AX199">
        <v>311000</v>
      </c>
      <c r="AY199" t="s">
        <v>161</v>
      </c>
      <c r="AZ199">
        <v>2.573</v>
      </c>
      <c r="BA199">
        <v>1.4910000000000001</v>
      </c>
      <c r="BB199">
        <v>1.0820000000000001</v>
      </c>
      <c r="BC199" t="s">
        <v>189</v>
      </c>
      <c r="BD199">
        <v>1511</v>
      </c>
      <c r="BE199" t="s">
        <v>174</v>
      </c>
      <c r="BF199">
        <v>5094130202</v>
      </c>
      <c r="BG199" t="s">
        <v>335</v>
      </c>
    </row>
    <row r="200" spans="1:59">
      <c r="A200">
        <v>1115</v>
      </c>
      <c r="B200">
        <v>1115</v>
      </c>
      <c r="C200">
        <v>10</v>
      </c>
      <c r="D200">
        <v>2</v>
      </c>
      <c r="E200" t="s">
        <v>152</v>
      </c>
      <c r="F200" t="s">
        <v>153</v>
      </c>
      <c r="G200" t="s">
        <v>154</v>
      </c>
      <c r="H200">
        <v>1526006185</v>
      </c>
      <c r="I200">
        <v>1000006453</v>
      </c>
      <c r="L200" t="s">
        <v>334</v>
      </c>
      <c r="M200">
        <v>5100001227</v>
      </c>
      <c r="N200" t="s">
        <v>155</v>
      </c>
      <c r="O200" t="s">
        <v>156</v>
      </c>
      <c r="P200">
        <v>4110011319</v>
      </c>
      <c r="Q200" t="s">
        <v>175</v>
      </c>
      <c r="R200">
        <v>5000</v>
      </c>
      <c r="S200" t="s">
        <v>166</v>
      </c>
      <c r="V200" t="s">
        <v>167</v>
      </c>
      <c r="W200">
        <v>1502020074</v>
      </c>
      <c r="X200" t="s">
        <v>28</v>
      </c>
      <c r="Y200" t="str">
        <f>VLOOKUP(W200,Sheet4!$A$5:$B$71,2,0)</f>
        <v>MAX UG NEW</v>
      </c>
      <c r="Z200">
        <v>87082900</v>
      </c>
      <c r="AA200">
        <v>10</v>
      </c>
      <c r="AB200" t="s">
        <v>159</v>
      </c>
      <c r="AC200" s="24">
        <v>9397.5</v>
      </c>
      <c r="AD200" t="s">
        <v>160</v>
      </c>
      <c r="AE200" s="24">
        <v>93975</v>
      </c>
      <c r="AF200">
        <v>0</v>
      </c>
      <c r="AG200" s="24">
        <v>93975</v>
      </c>
      <c r="AH200">
        <v>0</v>
      </c>
      <c r="AI200">
        <v>0</v>
      </c>
      <c r="AJ200">
        <v>0</v>
      </c>
      <c r="AK200">
        <v>0</v>
      </c>
      <c r="AL200" s="24">
        <v>93975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 s="24">
        <v>93975</v>
      </c>
      <c r="AV200">
        <v>0</v>
      </c>
      <c r="AW200">
        <v>0</v>
      </c>
      <c r="AX200">
        <v>311000</v>
      </c>
      <c r="AY200" t="s">
        <v>161</v>
      </c>
      <c r="AZ200">
        <v>69.5</v>
      </c>
      <c r="BA200">
        <v>69.5</v>
      </c>
      <c r="BB200">
        <v>0</v>
      </c>
      <c r="BC200" t="s">
        <v>176</v>
      </c>
      <c r="BD200">
        <v>1509</v>
      </c>
      <c r="BE200" t="s">
        <v>169</v>
      </c>
      <c r="BF200">
        <v>5094131508</v>
      </c>
      <c r="BG200" t="s">
        <v>335</v>
      </c>
    </row>
    <row r="201" spans="1:59">
      <c r="A201">
        <v>1115</v>
      </c>
      <c r="B201">
        <v>1115</v>
      </c>
      <c r="C201">
        <v>10</v>
      </c>
      <c r="D201">
        <v>2</v>
      </c>
      <c r="E201" t="s">
        <v>152</v>
      </c>
      <c r="F201" t="s">
        <v>153</v>
      </c>
      <c r="G201" t="s">
        <v>154</v>
      </c>
      <c r="H201">
        <v>1526006184</v>
      </c>
      <c r="I201">
        <v>1000006452</v>
      </c>
      <c r="L201" t="s">
        <v>334</v>
      </c>
      <c r="M201">
        <v>5100001227</v>
      </c>
      <c r="N201" t="s">
        <v>155</v>
      </c>
      <c r="O201" t="s">
        <v>156</v>
      </c>
      <c r="P201">
        <v>4110011319</v>
      </c>
      <c r="Q201" t="s">
        <v>175</v>
      </c>
      <c r="R201">
        <v>5000</v>
      </c>
      <c r="S201" t="s">
        <v>166</v>
      </c>
      <c r="V201" t="s">
        <v>167</v>
      </c>
      <c r="W201">
        <v>1502020074</v>
      </c>
      <c r="X201" t="s">
        <v>28</v>
      </c>
      <c r="Y201" t="str">
        <f>VLOOKUP(W201,Sheet4!$A$5:$B$71,2,0)</f>
        <v>MAX UG NEW</v>
      </c>
      <c r="Z201">
        <v>87082900</v>
      </c>
      <c r="AA201">
        <v>10</v>
      </c>
      <c r="AB201" t="s">
        <v>159</v>
      </c>
      <c r="AC201" s="24">
        <v>9397.5</v>
      </c>
      <c r="AD201" t="s">
        <v>160</v>
      </c>
      <c r="AE201" s="24">
        <v>93975</v>
      </c>
      <c r="AF201">
        <v>0</v>
      </c>
      <c r="AG201" s="24">
        <v>93975</v>
      </c>
      <c r="AH201">
        <v>0</v>
      </c>
      <c r="AI201">
        <v>0</v>
      </c>
      <c r="AJ201">
        <v>0</v>
      </c>
      <c r="AK201">
        <v>0</v>
      </c>
      <c r="AL201" s="24">
        <v>93975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 s="24">
        <v>93975</v>
      </c>
      <c r="AV201">
        <v>0</v>
      </c>
      <c r="AW201">
        <v>0</v>
      </c>
      <c r="AX201">
        <v>311000</v>
      </c>
      <c r="AY201" t="s">
        <v>161</v>
      </c>
      <c r="AZ201">
        <v>69.5</v>
      </c>
      <c r="BA201">
        <v>69.5</v>
      </c>
      <c r="BB201">
        <v>0</v>
      </c>
      <c r="BC201" t="s">
        <v>176</v>
      </c>
      <c r="BD201">
        <v>1509</v>
      </c>
      <c r="BE201" t="s">
        <v>169</v>
      </c>
      <c r="BF201">
        <v>5094131507</v>
      </c>
      <c r="BG201" t="s">
        <v>335</v>
      </c>
    </row>
    <row r="202" spans="1:59">
      <c r="A202">
        <v>1115</v>
      </c>
      <c r="B202">
        <v>1115</v>
      </c>
      <c r="C202">
        <v>10</v>
      </c>
      <c r="D202">
        <v>2</v>
      </c>
      <c r="E202" t="s">
        <v>152</v>
      </c>
      <c r="F202" t="s">
        <v>153</v>
      </c>
      <c r="G202" t="s">
        <v>154</v>
      </c>
      <c r="H202">
        <v>1526006183</v>
      </c>
      <c r="I202">
        <v>1000006451</v>
      </c>
      <c r="L202" t="s">
        <v>334</v>
      </c>
      <c r="M202">
        <v>5100001227</v>
      </c>
      <c r="N202" t="s">
        <v>155</v>
      </c>
      <c r="O202" t="s">
        <v>156</v>
      </c>
      <c r="P202">
        <v>4110011319</v>
      </c>
      <c r="Q202" t="s">
        <v>175</v>
      </c>
      <c r="R202">
        <v>5000</v>
      </c>
      <c r="S202" t="s">
        <v>166</v>
      </c>
      <c r="V202" t="s">
        <v>167</v>
      </c>
      <c r="W202">
        <v>1502020074</v>
      </c>
      <c r="X202" t="s">
        <v>28</v>
      </c>
      <c r="Y202" t="str">
        <f>VLOOKUP(W202,Sheet4!$A$5:$B$71,2,0)</f>
        <v>MAX UG NEW</v>
      </c>
      <c r="Z202">
        <v>87082900</v>
      </c>
      <c r="AA202">
        <v>10</v>
      </c>
      <c r="AB202" t="s">
        <v>159</v>
      </c>
      <c r="AC202" s="24">
        <v>9397.5</v>
      </c>
      <c r="AD202" t="s">
        <v>160</v>
      </c>
      <c r="AE202" s="24">
        <v>93975</v>
      </c>
      <c r="AF202">
        <v>0</v>
      </c>
      <c r="AG202" s="24">
        <v>93975</v>
      </c>
      <c r="AH202">
        <v>0</v>
      </c>
      <c r="AI202">
        <v>0</v>
      </c>
      <c r="AJ202">
        <v>0</v>
      </c>
      <c r="AK202">
        <v>0</v>
      </c>
      <c r="AL202" s="24">
        <v>93975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s="24">
        <v>93975</v>
      </c>
      <c r="AV202">
        <v>0</v>
      </c>
      <c r="AW202">
        <v>0</v>
      </c>
      <c r="AX202">
        <v>311000</v>
      </c>
      <c r="AY202" t="s">
        <v>161</v>
      </c>
      <c r="AZ202">
        <v>69.5</v>
      </c>
      <c r="BA202">
        <v>69.5</v>
      </c>
      <c r="BB202">
        <v>0</v>
      </c>
      <c r="BC202" t="s">
        <v>176</v>
      </c>
      <c r="BD202">
        <v>1509</v>
      </c>
      <c r="BE202" t="s">
        <v>169</v>
      </c>
      <c r="BF202">
        <v>5094131365</v>
      </c>
      <c r="BG202" t="s">
        <v>335</v>
      </c>
    </row>
    <row r="203" spans="1:59">
      <c r="A203">
        <v>1115</v>
      </c>
      <c r="B203">
        <v>1115</v>
      </c>
      <c r="C203">
        <v>10</v>
      </c>
      <c r="D203">
        <v>2</v>
      </c>
      <c r="E203" t="s">
        <v>152</v>
      </c>
      <c r="F203" t="s">
        <v>153</v>
      </c>
      <c r="G203" t="s">
        <v>154</v>
      </c>
      <c r="H203">
        <v>1526006182</v>
      </c>
      <c r="I203">
        <v>1000006450</v>
      </c>
      <c r="L203" t="s">
        <v>334</v>
      </c>
      <c r="M203">
        <v>5100001227</v>
      </c>
      <c r="N203" t="s">
        <v>155</v>
      </c>
      <c r="O203" t="s">
        <v>156</v>
      </c>
      <c r="P203">
        <v>4110011319</v>
      </c>
      <c r="Q203" t="s">
        <v>175</v>
      </c>
      <c r="R203">
        <v>5000</v>
      </c>
      <c r="S203" t="s">
        <v>166</v>
      </c>
      <c r="V203" t="s">
        <v>167</v>
      </c>
      <c r="W203">
        <v>1502020074</v>
      </c>
      <c r="X203" t="s">
        <v>28</v>
      </c>
      <c r="Y203" t="str">
        <f>VLOOKUP(W203,Sheet4!$A$5:$B$71,2,0)</f>
        <v>MAX UG NEW</v>
      </c>
      <c r="Z203">
        <v>87082900</v>
      </c>
      <c r="AA203">
        <v>10</v>
      </c>
      <c r="AB203" t="s">
        <v>159</v>
      </c>
      <c r="AC203" s="24">
        <v>9397.5</v>
      </c>
      <c r="AD203" t="s">
        <v>160</v>
      </c>
      <c r="AE203" s="24">
        <v>93975</v>
      </c>
      <c r="AF203">
        <v>0</v>
      </c>
      <c r="AG203" s="24">
        <v>93975</v>
      </c>
      <c r="AH203">
        <v>0</v>
      </c>
      <c r="AI203">
        <v>0</v>
      </c>
      <c r="AJ203">
        <v>0</v>
      </c>
      <c r="AK203">
        <v>0</v>
      </c>
      <c r="AL203" s="24">
        <v>93975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s="24">
        <v>93975</v>
      </c>
      <c r="AV203">
        <v>0</v>
      </c>
      <c r="AW203">
        <v>0</v>
      </c>
      <c r="AX203">
        <v>311000</v>
      </c>
      <c r="AY203" t="s">
        <v>161</v>
      </c>
      <c r="AZ203">
        <v>69.5</v>
      </c>
      <c r="BA203">
        <v>69.5</v>
      </c>
      <c r="BB203">
        <v>0</v>
      </c>
      <c r="BC203" t="s">
        <v>176</v>
      </c>
      <c r="BD203">
        <v>1509</v>
      </c>
      <c r="BE203" t="s">
        <v>169</v>
      </c>
      <c r="BF203">
        <v>5094131506</v>
      </c>
      <c r="BG203" t="s">
        <v>335</v>
      </c>
    </row>
    <row r="204" spans="1:59">
      <c r="A204">
        <v>1115</v>
      </c>
      <c r="B204">
        <v>1115</v>
      </c>
      <c r="C204">
        <v>10</v>
      </c>
      <c r="D204">
        <v>2</v>
      </c>
      <c r="E204" t="s">
        <v>152</v>
      </c>
      <c r="F204" t="s">
        <v>153</v>
      </c>
      <c r="G204" t="s">
        <v>154</v>
      </c>
      <c r="H204">
        <v>1526006181</v>
      </c>
      <c r="I204">
        <v>1000006449</v>
      </c>
      <c r="L204" t="s">
        <v>334</v>
      </c>
      <c r="M204">
        <v>5100001934</v>
      </c>
      <c r="N204" t="s">
        <v>155</v>
      </c>
      <c r="O204" t="s">
        <v>156</v>
      </c>
      <c r="P204">
        <v>4110058649</v>
      </c>
      <c r="Q204" t="s">
        <v>196</v>
      </c>
      <c r="R204">
        <v>5000</v>
      </c>
      <c r="S204" t="s">
        <v>166</v>
      </c>
      <c r="V204" t="s">
        <v>167</v>
      </c>
      <c r="W204">
        <v>1502040217</v>
      </c>
      <c r="X204" t="s">
        <v>197</v>
      </c>
      <c r="Y204" t="str">
        <f>VLOOKUP(W204,Sheet4!$A$5:$B$71,2,0)</f>
        <v>FRONT MUDGARD GOGO</v>
      </c>
      <c r="Z204">
        <v>87082900</v>
      </c>
      <c r="AA204">
        <v>60</v>
      </c>
      <c r="AB204" t="s">
        <v>159</v>
      </c>
      <c r="AC204">
        <v>380.93</v>
      </c>
      <c r="AD204" t="s">
        <v>160</v>
      </c>
      <c r="AE204" s="24">
        <v>22855.8</v>
      </c>
      <c r="AF204">
        <v>0</v>
      </c>
      <c r="AG204" s="24">
        <v>22855.8</v>
      </c>
      <c r="AH204">
        <v>0</v>
      </c>
      <c r="AI204">
        <v>0</v>
      </c>
      <c r="AJ204">
        <v>0</v>
      </c>
      <c r="AK204">
        <v>0</v>
      </c>
      <c r="AL204" s="24">
        <v>22855.8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s="24">
        <v>22855.8</v>
      </c>
      <c r="AV204">
        <v>0</v>
      </c>
      <c r="AW204">
        <v>0</v>
      </c>
      <c r="AX204">
        <v>311000</v>
      </c>
      <c r="AY204" t="s">
        <v>161</v>
      </c>
      <c r="AZ204">
        <v>2.13</v>
      </c>
      <c r="BA204">
        <v>2.13</v>
      </c>
      <c r="BB204">
        <v>0</v>
      </c>
      <c r="BC204" t="s">
        <v>198</v>
      </c>
      <c r="BD204">
        <v>1511</v>
      </c>
      <c r="BE204" t="s">
        <v>174</v>
      </c>
      <c r="BF204">
        <v>5094131864</v>
      </c>
      <c r="BG204" t="s">
        <v>335</v>
      </c>
    </row>
    <row r="205" spans="1:59">
      <c r="A205">
        <v>1115</v>
      </c>
      <c r="B205">
        <v>1115</v>
      </c>
      <c r="C205">
        <v>10</v>
      </c>
      <c r="D205">
        <v>2</v>
      </c>
      <c r="E205" t="s">
        <v>152</v>
      </c>
      <c r="F205" t="s">
        <v>153</v>
      </c>
      <c r="G205" t="s">
        <v>154</v>
      </c>
      <c r="H205">
        <v>1526006180</v>
      </c>
      <c r="I205">
        <v>1000006448</v>
      </c>
      <c r="L205" t="s">
        <v>334</v>
      </c>
      <c r="M205">
        <v>5100001227</v>
      </c>
      <c r="N205" t="s">
        <v>155</v>
      </c>
      <c r="O205" t="s">
        <v>156</v>
      </c>
      <c r="P205">
        <v>4110011319</v>
      </c>
      <c r="Q205" t="s">
        <v>175</v>
      </c>
      <c r="R205">
        <v>5000</v>
      </c>
      <c r="S205" t="s">
        <v>166</v>
      </c>
      <c r="V205" t="s">
        <v>167</v>
      </c>
      <c r="W205">
        <v>1502020074</v>
      </c>
      <c r="X205" t="s">
        <v>28</v>
      </c>
      <c r="Y205" t="str">
        <f>VLOOKUP(W205,Sheet4!$A$5:$B$71,2,0)</f>
        <v>MAX UG NEW</v>
      </c>
      <c r="Z205">
        <v>87082900</v>
      </c>
      <c r="AA205">
        <v>10</v>
      </c>
      <c r="AB205" t="s">
        <v>159</v>
      </c>
      <c r="AC205" s="24">
        <v>9397.5</v>
      </c>
      <c r="AD205" t="s">
        <v>160</v>
      </c>
      <c r="AE205" s="24">
        <v>93975</v>
      </c>
      <c r="AF205">
        <v>0</v>
      </c>
      <c r="AG205" s="24">
        <v>93975</v>
      </c>
      <c r="AH205">
        <v>0</v>
      </c>
      <c r="AI205">
        <v>0</v>
      </c>
      <c r="AJ205">
        <v>0</v>
      </c>
      <c r="AK205">
        <v>0</v>
      </c>
      <c r="AL205" s="24">
        <v>93975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s="24">
        <v>93975</v>
      </c>
      <c r="AV205">
        <v>0</v>
      </c>
      <c r="AW205">
        <v>0</v>
      </c>
      <c r="AX205">
        <v>311000</v>
      </c>
      <c r="AY205" t="s">
        <v>161</v>
      </c>
      <c r="AZ205">
        <v>69.5</v>
      </c>
      <c r="BA205">
        <v>69.5</v>
      </c>
      <c r="BB205">
        <v>0</v>
      </c>
      <c r="BC205" t="s">
        <v>176</v>
      </c>
      <c r="BD205">
        <v>1509</v>
      </c>
      <c r="BE205" t="s">
        <v>169</v>
      </c>
      <c r="BF205" t="s">
        <v>163</v>
      </c>
      <c r="BG205" t="s">
        <v>164</v>
      </c>
    </row>
    <row r="206" spans="1:59">
      <c r="A206">
        <v>1115</v>
      </c>
      <c r="B206">
        <v>1115</v>
      </c>
      <c r="C206">
        <v>10</v>
      </c>
      <c r="D206">
        <v>2</v>
      </c>
      <c r="E206" t="s">
        <v>152</v>
      </c>
      <c r="F206" t="s">
        <v>153</v>
      </c>
      <c r="G206" t="s">
        <v>154</v>
      </c>
      <c r="H206">
        <v>1526006179</v>
      </c>
      <c r="I206">
        <v>1000006447</v>
      </c>
      <c r="L206" t="s">
        <v>334</v>
      </c>
      <c r="M206">
        <v>5100001227</v>
      </c>
      <c r="N206" t="s">
        <v>155</v>
      </c>
      <c r="O206" t="s">
        <v>156</v>
      </c>
      <c r="P206">
        <v>4110011319</v>
      </c>
      <c r="Q206" t="s">
        <v>175</v>
      </c>
      <c r="R206">
        <v>5000</v>
      </c>
      <c r="S206" t="s">
        <v>166</v>
      </c>
      <c r="V206" t="s">
        <v>167</v>
      </c>
      <c r="W206">
        <v>1502020074</v>
      </c>
      <c r="X206" t="s">
        <v>28</v>
      </c>
      <c r="Y206" t="str">
        <f>VLOOKUP(W206,Sheet4!$A$5:$B$71,2,0)</f>
        <v>MAX UG NEW</v>
      </c>
      <c r="Z206">
        <v>87082900</v>
      </c>
      <c r="AA206">
        <v>10</v>
      </c>
      <c r="AB206" t="s">
        <v>159</v>
      </c>
      <c r="AC206" s="24">
        <v>9397.5</v>
      </c>
      <c r="AD206" t="s">
        <v>160</v>
      </c>
      <c r="AE206" s="24">
        <v>93975</v>
      </c>
      <c r="AF206">
        <v>0</v>
      </c>
      <c r="AG206" s="24">
        <v>93975</v>
      </c>
      <c r="AH206">
        <v>0</v>
      </c>
      <c r="AI206">
        <v>0</v>
      </c>
      <c r="AJ206">
        <v>0</v>
      </c>
      <c r="AK206">
        <v>0</v>
      </c>
      <c r="AL206" s="24">
        <v>93975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s="24">
        <v>93975</v>
      </c>
      <c r="AV206">
        <v>0</v>
      </c>
      <c r="AW206">
        <v>0</v>
      </c>
      <c r="AX206">
        <v>311000</v>
      </c>
      <c r="AY206" t="s">
        <v>161</v>
      </c>
      <c r="AZ206">
        <v>69.5</v>
      </c>
      <c r="BA206">
        <v>69.5</v>
      </c>
      <c r="BB206">
        <v>0</v>
      </c>
      <c r="BC206" t="s">
        <v>176</v>
      </c>
      <c r="BD206">
        <v>1509</v>
      </c>
      <c r="BE206" t="s">
        <v>169</v>
      </c>
      <c r="BF206">
        <v>5094131666</v>
      </c>
      <c r="BG206" t="s">
        <v>335</v>
      </c>
    </row>
    <row r="207" spans="1:59">
      <c r="A207">
        <v>1115</v>
      </c>
      <c r="B207">
        <v>1115</v>
      </c>
      <c r="C207">
        <v>10</v>
      </c>
      <c r="D207">
        <v>2</v>
      </c>
      <c r="E207" t="s">
        <v>152</v>
      </c>
      <c r="F207" t="s">
        <v>153</v>
      </c>
      <c r="G207" t="s">
        <v>154</v>
      </c>
      <c r="H207">
        <v>1526006178</v>
      </c>
      <c r="I207">
        <v>1000006446</v>
      </c>
      <c r="L207" t="s">
        <v>334</v>
      </c>
      <c r="M207">
        <v>5100001227</v>
      </c>
      <c r="N207" t="s">
        <v>155</v>
      </c>
      <c r="O207" t="s">
        <v>156</v>
      </c>
      <c r="P207">
        <v>4110011319</v>
      </c>
      <c r="Q207" t="s">
        <v>175</v>
      </c>
      <c r="R207">
        <v>5000</v>
      </c>
      <c r="S207" t="s">
        <v>166</v>
      </c>
      <c r="V207" t="s">
        <v>167</v>
      </c>
      <c r="W207">
        <v>1502020074</v>
      </c>
      <c r="X207" t="s">
        <v>28</v>
      </c>
      <c r="Y207" t="str">
        <f>VLOOKUP(W207,Sheet4!$A$5:$B$71,2,0)</f>
        <v>MAX UG NEW</v>
      </c>
      <c r="Z207">
        <v>87082900</v>
      </c>
      <c r="AA207">
        <v>10</v>
      </c>
      <c r="AB207" t="s">
        <v>159</v>
      </c>
      <c r="AC207" s="24">
        <v>9397.5</v>
      </c>
      <c r="AD207" t="s">
        <v>160</v>
      </c>
      <c r="AE207" s="24">
        <v>93975</v>
      </c>
      <c r="AF207">
        <v>0</v>
      </c>
      <c r="AG207" s="24">
        <v>93975</v>
      </c>
      <c r="AH207">
        <v>0</v>
      </c>
      <c r="AI207">
        <v>0</v>
      </c>
      <c r="AJ207">
        <v>0</v>
      </c>
      <c r="AK207">
        <v>0</v>
      </c>
      <c r="AL207" s="24">
        <v>93975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s="24">
        <v>93975</v>
      </c>
      <c r="AV207">
        <v>0</v>
      </c>
      <c r="AW207">
        <v>0</v>
      </c>
      <c r="AX207">
        <v>311000</v>
      </c>
      <c r="AY207" t="s">
        <v>161</v>
      </c>
      <c r="AZ207">
        <v>69.5</v>
      </c>
      <c r="BA207">
        <v>69.5</v>
      </c>
      <c r="BB207">
        <v>0</v>
      </c>
      <c r="BC207" t="s">
        <v>176</v>
      </c>
      <c r="BD207">
        <v>1509</v>
      </c>
      <c r="BE207" t="s">
        <v>169</v>
      </c>
      <c r="BF207">
        <v>5094132176</v>
      </c>
      <c r="BG207" t="s">
        <v>335</v>
      </c>
    </row>
    <row r="208" spans="1:59">
      <c r="A208">
        <v>1115</v>
      </c>
      <c r="B208">
        <v>1115</v>
      </c>
      <c r="C208">
        <v>10</v>
      </c>
      <c r="D208">
        <v>2</v>
      </c>
      <c r="E208" t="s">
        <v>152</v>
      </c>
      <c r="F208" t="s">
        <v>153</v>
      </c>
      <c r="G208" t="s">
        <v>154</v>
      </c>
      <c r="H208">
        <v>1526006177</v>
      </c>
      <c r="I208">
        <v>1000006445</v>
      </c>
      <c r="L208" t="s">
        <v>334</v>
      </c>
      <c r="M208">
        <v>5100001227</v>
      </c>
      <c r="N208" t="s">
        <v>155</v>
      </c>
      <c r="O208" t="s">
        <v>156</v>
      </c>
      <c r="P208">
        <v>4110011319</v>
      </c>
      <c r="Q208" t="s">
        <v>175</v>
      </c>
      <c r="R208">
        <v>5000</v>
      </c>
      <c r="S208" t="s">
        <v>166</v>
      </c>
      <c r="V208" t="s">
        <v>167</v>
      </c>
      <c r="W208">
        <v>1502020074</v>
      </c>
      <c r="X208" t="s">
        <v>28</v>
      </c>
      <c r="Y208" t="str">
        <f>VLOOKUP(W208,Sheet4!$A$5:$B$71,2,0)</f>
        <v>MAX UG NEW</v>
      </c>
      <c r="Z208">
        <v>87082900</v>
      </c>
      <c r="AA208">
        <v>10</v>
      </c>
      <c r="AB208" t="s">
        <v>159</v>
      </c>
      <c r="AC208" s="24">
        <v>9397.5</v>
      </c>
      <c r="AD208" t="s">
        <v>160</v>
      </c>
      <c r="AE208" s="24">
        <v>93975</v>
      </c>
      <c r="AF208">
        <v>0</v>
      </c>
      <c r="AG208" s="24">
        <v>93975</v>
      </c>
      <c r="AH208">
        <v>0</v>
      </c>
      <c r="AI208">
        <v>0</v>
      </c>
      <c r="AJ208">
        <v>0</v>
      </c>
      <c r="AK208">
        <v>0</v>
      </c>
      <c r="AL208" s="24">
        <v>93975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s="24">
        <v>93975</v>
      </c>
      <c r="AV208">
        <v>0</v>
      </c>
      <c r="AW208">
        <v>0</v>
      </c>
      <c r="AX208">
        <v>311000</v>
      </c>
      <c r="AY208" t="s">
        <v>161</v>
      </c>
      <c r="AZ208">
        <v>69.5</v>
      </c>
      <c r="BA208">
        <v>69.5</v>
      </c>
      <c r="BB208">
        <v>0</v>
      </c>
      <c r="BC208" t="s">
        <v>176</v>
      </c>
      <c r="BD208">
        <v>1509</v>
      </c>
      <c r="BE208" t="s">
        <v>169</v>
      </c>
      <c r="BF208">
        <v>5094132175</v>
      </c>
      <c r="BG208" t="s">
        <v>335</v>
      </c>
    </row>
    <row r="209" spans="1:59">
      <c r="A209">
        <v>1115</v>
      </c>
      <c r="B209">
        <v>1115</v>
      </c>
      <c r="C209">
        <v>10</v>
      </c>
      <c r="D209">
        <v>2</v>
      </c>
      <c r="E209" t="s">
        <v>152</v>
      </c>
      <c r="F209" t="s">
        <v>153</v>
      </c>
      <c r="G209" t="s">
        <v>154</v>
      </c>
      <c r="H209">
        <v>1526006176</v>
      </c>
      <c r="I209">
        <v>1000006444</v>
      </c>
      <c r="L209" t="s">
        <v>334</v>
      </c>
      <c r="M209">
        <v>5100001636</v>
      </c>
      <c r="N209" t="s">
        <v>155</v>
      </c>
      <c r="O209" t="s">
        <v>156</v>
      </c>
      <c r="P209">
        <v>4110026445</v>
      </c>
      <c r="Q209" t="s">
        <v>170</v>
      </c>
      <c r="R209">
        <v>5000</v>
      </c>
      <c r="S209" t="s">
        <v>166</v>
      </c>
      <c r="V209" t="s">
        <v>167</v>
      </c>
      <c r="W209">
        <v>1502020104</v>
      </c>
      <c r="X209" t="s">
        <v>26</v>
      </c>
      <c r="Y209" t="str">
        <f>VLOOKUP(W209,Sheet4!$A$5:$B$71,2,0)</f>
        <v>RE STYLING</v>
      </c>
      <c r="Z209">
        <v>87082900</v>
      </c>
      <c r="AA209">
        <v>15</v>
      </c>
      <c r="AB209" t="s">
        <v>159</v>
      </c>
      <c r="AC209" s="24">
        <v>6585.55</v>
      </c>
      <c r="AD209" t="s">
        <v>160</v>
      </c>
      <c r="AE209" s="24">
        <v>98783.25</v>
      </c>
      <c r="AF209">
        <v>0</v>
      </c>
      <c r="AG209" s="24">
        <v>98783.25</v>
      </c>
      <c r="AH209">
        <v>0</v>
      </c>
      <c r="AI209">
        <v>0</v>
      </c>
      <c r="AJ209">
        <v>0</v>
      </c>
      <c r="AK209">
        <v>0</v>
      </c>
      <c r="AL209" s="24">
        <v>98783.25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s="24">
        <v>98783.25</v>
      </c>
      <c r="AV209">
        <v>0</v>
      </c>
      <c r="AW209">
        <v>0</v>
      </c>
      <c r="AX209">
        <v>311000</v>
      </c>
      <c r="AY209" t="s">
        <v>161</v>
      </c>
      <c r="AZ209">
        <v>49.75</v>
      </c>
      <c r="BA209">
        <v>49.75</v>
      </c>
      <c r="BB209">
        <v>0</v>
      </c>
      <c r="BC209" t="s">
        <v>171</v>
      </c>
      <c r="BD209">
        <v>1509</v>
      </c>
      <c r="BE209" t="s">
        <v>169</v>
      </c>
      <c r="BF209">
        <v>5094131588</v>
      </c>
      <c r="BG209" t="s">
        <v>335</v>
      </c>
    </row>
    <row r="210" spans="1:59">
      <c r="A210">
        <v>1115</v>
      </c>
      <c r="B210">
        <v>1115</v>
      </c>
      <c r="C210">
        <v>10</v>
      </c>
      <c r="D210">
        <v>2</v>
      </c>
      <c r="E210" t="s">
        <v>152</v>
      </c>
      <c r="F210" t="s">
        <v>153</v>
      </c>
      <c r="G210" t="s">
        <v>154</v>
      </c>
      <c r="H210">
        <v>1526006175</v>
      </c>
      <c r="I210">
        <v>1000006443</v>
      </c>
      <c r="L210" t="s">
        <v>334</v>
      </c>
      <c r="M210">
        <v>5100001636</v>
      </c>
      <c r="N210" t="s">
        <v>155</v>
      </c>
      <c r="O210" t="s">
        <v>156</v>
      </c>
      <c r="P210">
        <v>4110026445</v>
      </c>
      <c r="Q210" t="s">
        <v>170</v>
      </c>
      <c r="R210">
        <v>5000</v>
      </c>
      <c r="S210" t="s">
        <v>166</v>
      </c>
      <c r="V210" t="s">
        <v>167</v>
      </c>
      <c r="W210">
        <v>1502020104</v>
      </c>
      <c r="X210" t="s">
        <v>26</v>
      </c>
      <c r="Y210" t="str">
        <f>VLOOKUP(W210,Sheet4!$A$5:$B$71,2,0)</f>
        <v>RE STYLING</v>
      </c>
      <c r="Z210">
        <v>87082900</v>
      </c>
      <c r="AA210">
        <v>15</v>
      </c>
      <c r="AB210" t="s">
        <v>159</v>
      </c>
      <c r="AC210" s="24">
        <v>6585.55</v>
      </c>
      <c r="AD210" t="s">
        <v>160</v>
      </c>
      <c r="AE210" s="24">
        <v>98783.25</v>
      </c>
      <c r="AF210">
        <v>0</v>
      </c>
      <c r="AG210" s="24">
        <v>98783.25</v>
      </c>
      <c r="AH210">
        <v>0</v>
      </c>
      <c r="AI210">
        <v>0</v>
      </c>
      <c r="AJ210">
        <v>0</v>
      </c>
      <c r="AK210">
        <v>0</v>
      </c>
      <c r="AL210" s="24">
        <v>98783.25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s="24">
        <v>98783.25</v>
      </c>
      <c r="AV210">
        <v>0</v>
      </c>
      <c r="AW210">
        <v>0</v>
      </c>
      <c r="AX210">
        <v>311000</v>
      </c>
      <c r="AY210" t="s">
        <v>161</v>
      </c>
      <c r="AZ210">
        <v>49.75</v>
      </c>
      <c r="BA210">
        <v>49.75</v>
      </c>
      <c r="BB210">
        <v>0</v>
      </c>
      <c r="BC210" t="s">
        <v>171</v>
      </c>
      <c r="BD210">
        <v>1509</v>
      </c>
      <c r="BE210" t="s">
        <v>169</v>
      </c>
      <c r="BF210">
        <v>5094131582</v>
      </c>
      <c r="BG210" t="s">
        <v>335</v>
      </c>
    </row>
    <row r="211" spans="1:59">
      <c r="A211">
        <v>1115</v>
      </c>
      <c r="B211">
        <v>1115</v>
      </c>
      <c r="C211">
        <v>10</v>
      </c>
      <c r="D211">
        <v>2</v>
      </c>
      <c r="E211" t="s">
        <v>152</v>
      </c>
      <c r="F211" t="s">
        <v>153</v>
      </c>
      <c r="G211" t="s">
        <v>154</v>
      </c>
      <c r="H211">
        <v>1526006174</v>
      </c>
      <c r="I211">
        <v>1000006442</v>
      </c>
      <c r="L211" t="s">
        <v>334</v>
      </c>
      <c r="M211">
        <v>5100001636</v>
      </c>
      <c r="N211" t="s">
        <v>155</v>
      </c>
      <c r="O211" t="s">
        <v>156</v>
      </c>
      <c r="P211">
        <v>4110026445</v>
      </c>
      <c r="Q211" t="s">
        <v>170</v>
      </c>
      <c r="R211">
        <v>5000</v>
      </c>
      <c r="S211" t="s">
        <v>166</v>
      </c>
      <c r="V211" t="s">
        <v>167</v>
      </c>
      <c r="W211">
        <v>1502020104</v>
      </c>
      <c r="X211" t="s">
        <v>26</v>
      </c>
      <c r="Y211" t="str">
        <f>VLOOKUP(W211,Sheet4!$A$5:$B$71,2,0)</f>
        <v>RE STYLING</v>
      </c>
      <c r="Z211">
        <v>87082900</v>
      </c>
      <c r="AA211">
        <v>15</v>
      </c>
      <c r="AB211" t="s">
        <v>159</v>
      </c>
      <c r="AC211" s="24">
        <v>6585.55</v>
      </c>
      <c r="AD211" t="s">
        <v>160</v>
      </c>
      <c r="AE211" s="24">
        <v>98783.25</v>
      </c>
      <c r="AF211">
        <v>0</v>
      </c>
      <c r="AG211" s="24">
        <v>98783.25</v>
      </c>
      <c r="AH211">
        <v>0</v>
      </c>
      <c r="AI211">
        <v>0</v>
      </c>
      <c r="AJ211">
        <v>0</v>
      </c>
      <c r="AK211">
        <v>0</v>
      </c>
      <c r="AL211" s="24">
        <v>98783.25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s="24">
        <v>98783.25</v>
      </c>
      <c r="AV211">
        <v>0</v>
      </c>
      <c r="AW211">
        <v>0</v>
      </c>
      <c r="AX211">
        <v>311000</v>
      </c>
      <c r="AY211" t="s">
        <v>161</v>
      </c>
      <c r="AZ211">
        <v>49.75</v>
      </c>
      <c r="BA211">
        <v>49.75</v>
      </c>
      <c r="BB211">
        <v>0</v>
      </c>
      <c r="BC211" t="s">
        <v>171</v>
      </c>
      <c r="BD211">
        <v>1509</v>
      </c>
      <c r="BE211" t="s">
        <v>169</v>
      </c>
      <c r="BF211">
        <v>5094131565</v>
      </c>
      <c r="BG211" t="s">
        <v>335</v>
      </c>
    </row>
    <row r="212" spans="1:59">
      <c r="A212">
        <v>1115</v>
      </c>
      <c r="B212">
        <v>1115</v>
      </c>
      <c r="C212">
        <v>10</v>
      </c>
      <c r="D212">
        <v>2</v>
      </c>
      <c r="E212" t="s">
        <v>152</v>
      </c>
      <c r="F212" t="s">
        <v>153</v>
      </c>
      <c r="G212" t="s">
        <v>154</v>
      </c>
      <c r="H212">
        <v>1526006173</v>
      </c>
      <c r="I212">
        <v>1000006441</v>
      </c>
      <c r="L212" t="s">
        <v>334</v>
      </c>
      <c r="M212">
        <v>5100001636</v>
      </c>
      <c r="N212" t="s">
        <v>155</v>
      </c>
      <c r="O212" t="s">
        <v>156</v>
      </c>
      <c r="P212">
        <v>4110026445</v>
      </c>
      <c r="Q212" t="s">
        <v>170</v>
      </c>
      <c r="R212">
        <v>5000</v>
      </c>
      <c r="S212" t="s">
        <v>166</v>
      </c>
      <c r="V212" t="s">
        <v>167</v>
      </c>
      <c r="W212">
        <v>1502020104</v>
      </c>
      <c r="X212" t="s">
        <v>26</v>
      </c>
      <c r="Y212" t="str">
        <f>VLOOKUP(W212,Sheet4!$A$5:$B$71,2,0)</f>
        <v>RE STYLING</v>
      </c>
      <c r="Z212">
        <v>87082900</v>
      </c>
      <c r="AA212">
        <v>15</v>
      </c>
      <c r="AB212" t="s">
        <v>159</v>
      </c>
      <c r="AC212" s="24">
        <v>6585.55</v>
      </c>
      <c r="AD212" t="s">
        <v>160</v>
      </c>
      <c r="AE212" s="24">
        <v>98783.25</v>
      </c>
      <c r="AF212">
        <v>0</v>
      </c>
      <c r="AG212" s="24">
        <v>98783.25</v>
      </c>
      <c r="AH212">
        <v>0</v>
      </c>
      <c r="AI212">
        <v>0</v>
      </c>
      <c r="AJ212">
        <v>0</v>
      </c>
      <c r="AK212">
        <v>0</v>
      </c>
      <c r="AL212" s="24">
        <v>98783.25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 s="24">
        <v>98783.25</v>
      </c>
      <c r="AV212">
        <v>0</v>
      </c>
      <c r="AW212">
        <v>0</v>
      </c>
      <c r="AX212">
        <v>311000</v>
      </c>
      <c r="AY212" t="s">
        <v>161</v>
      </c>
      <c r="AZ212">
        <v>49.75</v>
      </c>
      <c r="BA212">
        <v>49.75</v>
      </c>
      <c r="BB212">
        <v>0</v>
      </c>
      <c r="BC212" t="s">
        <v>171</v>
      </c>
      <c r="BD212">
        <v>1509</v>
      </c>
      <c r="BE212" t="s">
        <v>169</v>
      </c>
      <c r="BF212">
        <v>5094131611</v>
      </c>
      <c r="BG212" t="s">
        <v>335</v>
      </c>
    </row>
    <row r="213" spans="1:59">
      <c r="A213">
        <v>1115</v>
      </c>
      <c r="B213">
        <v>1115</v>
      </c>
      <c r="C213">
        <v>10</v>
      </c>
      <c r="D213">
        <v>2</v>
      </c>
      <c r="E213" t="s">
        <v>152</v>
      </c>
      <c r="F213" t="s">
        <v>153</v>
      </c>
      <c r="G213" t="s">
        <v>154</v>
      </c>
      <c r="H213">
        <v>1526006172</v>
      </c>
      <c r="I213">
        <v>1000006440</v>
      </c>
      <c r="L213" t="s">
        <v>334</v>
      </c>
      <c r="M213">
        <v>5100001636</v>
      </c>
      <c r="N213" t="s">
        <v>155</v>
      </c>
      <c r="O213" t="s">
        <v>156</v>
      </c>
      <c r="P213">
        <v>4110026445</v>
      </c>
      <c r="Q213" t="s">
        <v>170</v>
      </c>
      <c r="R213">
        <v>5000</v>
      </c>
      <c r="S213" t="s">
        <v>166</v>
      </c>
      <c r="V213" t="s">
        <v>167</v>
      </c>
      <c r="W213">
        <v>1502020104</v>
      </c>
      <c r="X213" t="s">
        <v>26</v>
      </c>
      <c r="Y213" t="str">
        <f>VLOOKUP(W213,Sheet4!$A$5:$B$71,2,0)</f>
        <v>RE STYLING</v>
      </c>
      <c r="Z213">
        <v>87082900</v>
      </c>
      <c r="AA213">
        <v>15</v>
      </c>
      <c r="AB213" t="s">
        <v>159</v>
      </c>
      <c r="AC213" s="24">
        <v>6585.55</v>
      </c>
      <c r="AD213" t="s">
        <v>160</v>
      </c>
      <c r="AE213" s="24">
        <v>98783.25</v>
      </c>
      <c r="AF213">
        <v>0</v>
      </c>
      <c r="AG213" s="24">
        <v>98783.25</v>
      </c>
      <c r="AH213">
        <v>0</v>
      </c>
      <c r="AI213">
        <v>0</v>
      </c>
      <c r="AJ213">
        <v>0</v>
      </c>
      <c r="AK213">
        <v>0</v>
      </c>
      <c r="AL213" s="24">
        <v>98783.25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s="24">
        <v>98783.25</v>
      </c>
      <c r="AV213">
        <v>0</v>
      </c>
      <c r="AW213">
        <v>0</v>
      </c>
      <c r="AX213">
        <v>311000</v>
      </c>
      <c r="AY213" t="s">
        <v>161</v>
      </c>
      <c r="AZ213">
        <v>49.75</v>
      </c>
      <c r="BA213">
        <v>49.75</v>
      </c>
      <c r="BB213">
        <v>0</v>
      </c>
      <c r="BC213" t="s">
        <v>171</v>
      </c>
      <c r="BD213">
        <v>1509</v>
      </c>
      <c r="BE213" t="s">
        <v>169</v>
      </c>
      <c r="BF213">
        <v>5094131564</v>
      </c>
      <c r="BG213" t="s">
        <v>335</v>
      </c>
    </row>
    <row r="214" spans="1:59">
      <c r="A214">
        <v>1115</v>
      </c>
      <c r="B214">
        <v>1115</v>
      </c>
      <c r="C214">
        <v>10</v>
      </c>
      <c r="D214">
        <v>2</v>
      </c>
      <c r="E214" t="s">
        <v>152</v>
      </c>
      <c r="F214" t="s">
        <v>153</v>
      </c>
      <c r="G214" t="s">
        <v>154</v>
      </c>
      <c r="H214">
        <v>1526006171</v>
      </c>
      <c r="I214">
        <v>1000006439</v>
      </c>
      <c r="L214" t="s">
        <v>334</v>
      </c>
      <c r="M214">
        <v>5100001636</v>
      </c>
      <c r="N214" t="s">
        <v>155</v>
      </c>
      <c r="O214" t="s">
        <v>156</v>
      </c>
      <c r="P214">
        <v>4110026445</v>
      </c>
      <c r="Q214" t="s">
        <v>170</v>
      </c>
      <c r="R214">
        <v>5000</v>
      </c>
      <c r="S214" t="s">
        <v>166</v>
      </c>
      <c r="V214" t="s">
        <v>167</v>
      </c>
      <c r="W214">
        <v>1502020104</v>
      </c>
      <c r="X214" t="s">
        <v>26</v>
      </c>
      <c r="Y214" t="str">
        <f>VLOOKUP(W214,Sheet4!$A$5:$B$71,2,0)</f>
        <v>RE STYLING</v>
      </c>
      <c r="Z214">
        <v>87082900</v>
      </c>
      <c r="AA214">
        <v>15</v>
      </c>
      <c r="AB214" t="s">
        <v>159</v>
      </c>
      <c r="AC214" s="24">
        <v>6585.55</v>
      </c>
      <c r="AD214" t="s">
        <v>160</v>
      </c>
      <c r="AE214" s="24">
        <v>98783.25</v>
      </c>
      <c r="AF214">
        <v>0</v>
      </c>
      <c r="AG214" s="24">
        <v>98783.25</v>
      </c>
      <c r="AH214">
        <v>0</v>
      </c>
      <c r="AI214">
        <v>0</v>
      </c>
      <c r="AJ214">
        <v>0</v>
      </c>
      <c r="AK214">
        <v>0</v>
      </c>
      <c r="AL214" s="24">
        <v>98783.25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 s="24">
        <v>98783.25</v>
      </c>
      <c r="AV214">
        <v>0</v>
      </c>
      <c r="AW214">
        <v>0</v>
      </c>
      <c r="AX214">
        <v>311000</v>
      </c>
      <c r="AY214" t="s">
        <v>161</v>
      </c>
      <c r="AZ214">
        <v>49.75</v>
      </c>
      <c r="BA214">
        <v>49.75</v>
      </c>
      <c r="BB214">
        <v>0</v>
      </c>
      <c r="BC214" t="s">
        <v>171</v>
      </c>
      <c r="BD214">
        <v>1509</v>
      </c>
      <c r="BE214" t="s">
        <v>169</v>
      </c>
      <c r="BF214">
        <v>5094131556</v>
      </c>
      <c r="BG214" t="s">
        <v>335</v>
      </c>
    </row>
    <row r="215" spans="1:59">
      <c r="A215">
        <v>1115</v>
      </c>
      <c r="B215">
        <v>1115</v>
      </c>
      <c r="C215">
        <v>10</v>
      </c>
      <c r="D215">
        <v>2</v>
      </c>
      <c r="E215" t="s">
        <v>152</v>
      </c>
      <c r="F215" t="s">
        <v>153</v>
      </c>
      <c r="G215" t="s">
        <v>154</v>
      </c>
      <c r="H215">
        <v>1526006170</v>
      </c>
      <c r="I215">
        <v>1000006438</v>
      </c>
      <c r="L215" t="s">
        <v>334</v>
      </c>
      <c r="M215">
        <v>5100001227</v>
      </c>
      <c r="N215" t="s">
        <v>155</v>
      </c>
      <c r="O215" t="s">
        <v>156</v>
      </c>
      <c r="P215">
        <v>4110011319</v>
      </c>
      <c r="Q215" t="s">
        <v>175</v>
      </c>
      <c r="R215">
        <v>5000</v>
      </c>
      <c r="S215" t="s">
        <v>166</v>
      </c>
      <c r="V215" t="s">
        <v>167</v>
      </c>
      <c r="W215">
        <v>1502020074</v>
      </c>
      <c r="X215" t="s">
        <v>28</v>
      </c>
      <c r="Y215" t="str">
        <f>VLOOKUP(W215,Sheet4!$A$5:$B$71,2,0)</f>
        <v>MAX UG NEW</v>
      </c>
      <c r="Z215">
        <v>87082900</v>
      </c>
      <c r="AA215">
        <v>10</v>
      </c>
      <c r="AB215" t="s">
        <v>159</v>
      </c>
      <c r="AC215" s="24">
        <v>9397.5</v>
      </c>
      <c r="AD215" t="s">
        <v>160</v>
      </c>
      <c r="AE215" s="24">
        <v>93975</v>
      </c>
      <c r="AF215">
        <v>0</v>
      </c>
      <c r="AG215" s="24">
        <v>93975</v>
      </c>
      <c r="AH215">
        <v>0</v>
      </c>
      <c r="AI215">
        <v>0</v>
      </c>
      <c r="AJ215">
        <v>0</v>
      </c>
      <c r="AK215">
        <v>0</v>
      </c>
      <c r="AL215" s="24">
        <v>93975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s="24">
        <v>93975</v>
      </c>
      <c r="AV215">
        <v>0</v>
      </c>
      <c r="AW215">
        <v>0</v>
      </c>
      <c r="AX215">
        <v>311000</v>
      </c>
      <c r="AY215" t="s">
        <v>161</v>
      </c>
      <c r="AZ215">
        <v>69.5</v>
      </c>
      <c r="BA215">
        <v>69.5</v>
      </c>
      <c r="BB215">
        <v>0</v>
      </c>
      <c r="BC215" t="s">
        <v>176</v>
      </c>
      <c r="BD215">
        <v>1509</v>
      </c>
      <c r="BE215" t="s">
        <v>169</v>
      </c>
      <c r="BF215">
        <v>5094131505</v>
      </c>
      <c r="BG215" t="s">
        <v>335</v>
      </c>
    </row>
    <row r="216" spans="1:59">
      <c r="A216">
        <v>1115</v>
      </c>
      <c r="B216">
        <v>1115</v>
      </c>
      <c r="C216">
        <v>10</v>
      </c>
      <c r="D216">
        <v>2</v>
      </c>
      <c r="E216" t="s">
        <v>152</v>
      </c>
      <c r="F216" t="s">
        <v>153</v>
      </c>
      <c r="G216" t="s">
        <v>154</v>
      </c>
      <c r="H216">
        <v>1526006169</v>
      </c>
      <c r="I216">
        <v>1000006437</v>
      </c>
      <c r="L216" t="s">
        <v>334</v>
      </c>
      <c r="M216">
        <v>5100001227</v>
      </c>
      <c r="N216" t="s">
        <v>155</v>
      </c>
      <c r="O216" t="s">
        <v>156</v>
      </c>
      <c r="P216">
        <v>4110011319</v>
      </c>
      <c r="Q216" t="s">
        <v>175</v>
      </c>
      <c r="R216">
        <v>5000</v>
      </c>
      <c r="S216" t="s">
        <v>166</v>
      </c>
      <c r="V216" t="s">
        <v>167</v>
      </c>
      <c r="W216">
        <v>1502020074</v>
      </c>
      <c r="X216" t="s">
        <v>28</v>
      </c>
      <c r="Y216" t="str">
        <f>VLOOKUP(W216,Sheet4!$A$5:$B$71,2,0)</f>
        <v>MAX UG NEW</v>
      </c>
      <c r="Z216">
        <v>87082900</v>
      </c>
      <c r="AA216">
        <v>10</v>
      </c>
      <c r="AB216" t="s">
        <v>159</v>
      </c>
      <c r="AC216" s="24">
        <v>9397.5</v>
      </c>
      <c r="AD216" t="s">
        <v>160</v>
      </c>
      <c r="AE216" s="24">
        <v>93975</v>
      </c>
      <c r="AF216">
        <v>0</v>
      </c>
      <c r="AG216" s="24">
        <v>93975</v>
      </c>
      <c r="AH216">
        <v>0</v>
      </c>
      <c r="AI216">
        <v>0</v>
      </c>
      <c r="AJ216">
        <v>0</v>
      </c>
      <c r="AK216">
        <v>0</v>
      </c>
      <c r="AL216" s="24">
        <v>93975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s="24">
        <v>93975</v>
      </c>
      <c r="AV216">
        <v>0</v>
      </c>
      <c r="AW216">
        <v>0</v>
      </c>
      <c r="AX216">
        <v>311000</v>
      </c>
      <c r="AY216" t="s">
        <v>161</v>
      </c>
      <c r="AZ216">
        <v>69.5</v>
      </c>
      <c r="BA216">
        <v>69.5</v>
      </c>
      <c r="BB216">
        <v>0</v>
      </c>
      <c r="BC216" t="s">
        <v>176</v>
      </c>
      <c r="BD216">
        <v>1509</v>
      </c>
      <c r="BE216" t="s">
        <v>169</v>
      </c>
      <c r="BF216">
        <v>5094129407</v>
      </c>
      <c r="BG216" t="s">
        <v>334</v>
      </c>
    </row>
    <row r="217" spans="1:59">
      <c r="A217">
        <v>1115</v>
      </c>
      <c r="B217">
        <v>1115</v>
      </c>
      <c r="C217">
        <v>10</v>
      </c>
      <c r="D217">
        <v>2</v>
      </c>
      <c r="E217" t="s">
        <v>152</v>
      </c>
      <c r="F217" t="s">
        <v>153</v>
      </c>
      <c r="G217" t="s">
        <v>154</v>
      </c>
      <c r="H217">
        <v>1526006168</v>
      </c>
      <c r="I217">
        <v>1000006436</v>
      </c>
      <c r="L217" t="s">
        <v>334</v>
      </c>
      <c r="M217">
        <v>5100001227</v>
      </c>
      <c r="N217" t="s">
        <v>155</v>
      </c>
      <c r="O217" t="s">
        <v>156</v>
      </c>
      <c r="P217">
        <v>4110011319</v>
      </c>
      <c r="Q217" t="s">
        <v>175</v>
      </c>
      <c r="R217">
        <v>5000</v>
      </c>
      <c r="S217" t="s">
        <v>166</v>
      </c>
      <c r="V217" t="s">
        <v>167</v>
      </c>
      <c r="W217">
        <v>1502020074</v>
      </c>
      <c r="X217" t="s">
        <v>28</v>
      </c>
      <c r="Y217" t="str">
        <f>VLOOKUP(W217,Sheet4!$A$5:$B$71,2,0)</f>
        <v>MAX UG NEW</v>
      </c>
      <c r="Z217">
        <v>87082900</v>
      </c>
      <c r="AA217">
        <v>10</v>
      </c>
      <c r="AB217" t="s">
        <v>159</v>
      </c>
      <c r="AC217" s="24">
        <v>9397.5</v>
      </c>
      <c r="AD217" t="s">
        <v>160</v>
      </c>
      <c r="AE217" s="24">
        <v>93975</v>
      </c>
      <c r="AF217">
        <v>0</v>
      </c>
      <c r="AG217" s="24">
        <v>93975</v>
      </c>
      <c r="AH217">
        <v>0</v>
      </c>
      <c r="AI217">
        <v>0</v>
      </c>
      <c r="AJ217">
        <v>0</v>
      </c>
      <c r="AK217">
        <v>0</v>
      </c>
      <c r="AL217" s="24">
        <v>93975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s="24">
        <v>93975</v>
      </c>
      <c r="AV217">
        <v>0</v>
      </c>
      <c r="AW217">
        <v>0</v>
      </c>
      <c r="AX217">
        <v>311000</v>
      </c>
      <c r="AY217" t="s">
        <v>161</v>
      </c>
      <c r="AZ217">
        <v>69.5</v>
      </c>
      <c r="BA217">
        <v>69.5</v>
      </c>
      <c r="BB217">
        <v>0</v>
      </c>
      <c r="BC217" t="s">
        <v>176</v>
      </c>
      <c r="BD217">
        <v>1509</v>
      </c>
      <c r="BE217" t="s">
        <v>169</v>
      </c>
      <c r="BF217">
        <v>5094130338</v>
      </c>
      <c r="BG217" t="s">
        <v>335</v>
      </c>
    </row>
    <row r="218" spans="1:59">
      <c r="A218">
        <v>1115</v>
      </c>
      <c r="B218">
        <v>1115</v>
      </c>
      <c r="C218">
        <v>10</v>
      </c>
      <c r="D218">
        <v>2</v>
      </c>
      <c r="E218" t="s">
        <v>152</v>
      </c>
      <c r="F218" t="s">
        <v>153</v>
      </c>
      <c r="G218" t="s">
        <v>154</v>
      </c>
      <c r="H218">
        <v>1526006167</v>
      </c>
      <c r="I218">
        <v>1000006435</v>
      </c>
      <c r="L218" t="s">
        <v>334</v>
      </c>
      <c r="M218">
        <v>5100001227</v>
      </c>
      <c r="N218" t="s">
        <v>155</v>
      </c>
      <c r="O218" t="s">
        <v>156</v>
      </c>
      <c r="P218">
        <v>4110011319</v>
      </c>
      <c r="Q218" t="s">
        <v>175</v>
      </c>
      <c r="R218">
        <v>5000</v>
      </c>
      <c r="S218" t="s">
        <v>166</v>
      </c>
      <c r="V218" t="s">
        <v>167</v>
      </c>
      <c r="W218">
        <v>1502020074</v>
      </c>
      <c r="X218" t="s">
        <v>28</v>
      </c>
      <c r="Y218" t="str">
        <f>VLOOKUP(W218,Sheet4!$A$5:$B$71,2,0)</f>
        <v>MAX UG NEW</v>
      </c>
      <c r="Z218">
        <v>87082900</v>
      </c>
      <c r="AA218">
        <v>10</v>
      </c>
      <c r="AB218" t="s">
        <v>159</v>
      </c>
      <c r="AC218" s="24">
        <v>9397.5</v>
      </c>
      <c r="AD218" t="s">
        <v>160</v>
      </c>
      <c r="AE218" s="24">
        <v>93975</v>
      </c>
      <c r="AF218">
        <v>0</v>
      </c>
      <c r="AG218" s="24">
        <v>93975</v>
      </c>
      <c r="AH218">
        <v>0</v>
      </c>
      <c r="AI218">
        <v>0</v>
      </c>
      <c r="AJ218">
        <v>0</v>
      </c>
      <c r="AK218">
        <v>0</v>
      </c>
      <c r="AL218" s="24">
        <v>93975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s="24">
        <v>93975</v>
      </c>
      <c r="AV218">
        <v>0</v>
      </c>
      <c r="AW218">
        <v>0</v>
      </c>
      <c r="AX218">
        <v>311000</v>
      </c>
      <c r="AY218" t="s">
        <v>161</v>
      </c>
      <c r="AZ218">
        <v>69.5</v>
      </c>
      <c r="BA218">
        <v>69.5</v>
      </c>
      <c r="BB218">
        <v>0</v>
      </c>
      <c r="BC218" t="s">
        <v>176</v>
      </c>
      <c r="BD218">
        <v>1509</v>
      </c>
      <c r="BE218" t="s">
        <v>169</v>
      </c>
      <c r="BF218">
        <v>5094129643</v>
      </c>
      <c r="BG218" t="s">
        <v>334</v>
      </c>
    </row>
    <row r="219" spans="1:59">
      <c r="A219">
        <v>1115</v>
      </c>
      <c r="B219">
        <v>1115</v>
      </c>
      <c r="C219">
        <v>10</v>
      </c>
      <c r="D219">
        <v>2</v>
      </c>
      <c r="E219" t="s">
        <v>152</v>
      </c>
      <c r="F219" t="s">
        <v>153</v>
      </c>
      <c r="G219" t="s">
        <v>154</v>
      </c>
      <c r="H219">
        <v>1526006166</v>
      </c>
      <c r="I219">
        <v>1000006434</v>
      </c>
      <c r="L219" t="s">
        <v>334</v>
      </c>
      <c r="M219">
        <v>5100001949</v>
      </c>
      <c r="N219" t="s">
        <v>155</v>
      </c>
      <c r="O219" t="s">
        <v>156</v>
      </c>
      <c r="P219">
        <v>4110063766</v>
      </c>
      <c r="Q219" t="s">
        <v>252</v>
      </c>
      <c r="R219">
        <v>5000</v>
      </c>
      <c r="S219" t="s">
        <v>166</v>
      </c>
      <c r="V219" t="s">
        <v>167</v>
      </c>
      <c r="W219">
        <v>1502040322</v>
      </c>
      <c r="X219" t="s">
        <v>250</v>
      </c>
      <c r="Y219" t="str">
        <f>VLOOKUP(W219,Sheet4!$A$5:$B$71,2,0)</f>
        <v>DASH BOARD</v>
      </c>
      <c r="Z219">
        <v>87082900</v>
      </c>
      <c r="AA219">
        <v>90</v>
      </c>
      <c r="AB219" t="s">
        <v>159</v>
      </c>
      <c r="AC219">
        <v>291.27999999999997</v>
      </c>
      <c r="AD219" t="s">
        <v>160</v>
      </c>
      <c r="AE219" s="24">
        <v>26215.200000000001</v>
      </c>
      <c r="AF219">
        <v>0</v>
      </c>
      <c r="AG219" s="24">
        <v>26215.200000000001</v>
      </c>
      <c r="AH219">
        <v>0</v>
      </c>
      <c r="AI219">
        <v>0</v>
      </c>
      <c r="AJ219">
        <v>0</v>
      </c>
      <c r="AK219">
        <v>0</v>
      </c>
      <c r="AL219" s="24">
        <v>26215.200000000001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s="24">
        <v>26215.200000000001</v>
      </c>
      <c r="AV219">
        <v>0</v>
      </c>
      <c r="AW219">
        <v>0</v>
      </c>
      <c r="AX219">
        <v>311000</v>
      </c>
      <c r="AY219" t="s">
        <v>161</v>
      </c>
      <c r="AZ219">
        <v>2.37</v>
      </c>
      <c r="BA219">
        <v>2.37</v>
      </c>
      <c r="BB219">
        <v>0</v>
      </c>
      <c r="BC219" t="s">
        <v>251</v>
      </c>
      <c r="BD219">
        <v>1511</v>
      </c>
      <c r="BE219" t="s">
        <v>174</v>
      </c>
      <c r="BF219">
        <v>5094131522</v>
      </c>
      <c r="BG219" t="s">
        <v>335</v>
      </c>
    </row>
    <row r="220" spans="1:59">
      <c r="A220">
        <v>1115</v>
      </c>
      <c r="B220">
        <v>1115</v>
      </c>
      <c r="C220">
        <v>10</v>
      </c>
      <c r="D220">
        <v>2</v>
      </c>
      <c r="E220" t="s">
        <v>152</v>
      </c>
      <c r="F220" t="s">
        <v>153</v>
      </c>
      <c r="G220" t="s">
        <v>154</v>
      </c>
      <c r="H220">
        <v>1526006165</v>
      </c>
      <c r="I220">
        <v>1000006433</v>
      </c>
      <c r="L220" t="s">
        <v>334</v>
      </c>
      <c r="M220">
        <v>5100001899</v>
      </c>
      <c r="N220" t="s">
        <v>155</v>
      </c>
      <c r="O220" t="s">
        <v>156</v>
      </c>
      <c r="P220">
        <v>4110041854</v>
      </c>
      <c r="Q220" t="s">
        <v>172</v>
      </c>
      <c r="R220">
        <v>5000</v>
      </c>
      <c r="S220" t="s">
        <v>166</v>
      </c>
      <c r="V220" t="s">
        <v>167</v>
      </c>
      <c r="W220">
        <v>1502040267</v>
      </c>
      <c r="X220" t="s">
        <v>63</v>
      </c>
      <c r="Y220" t="str">
        <f>VLOOKUP(W220,Sheet4!$A$5:$B$71,2,0)</f>
        <v>DASH BOARD</v>
      </c>
      <c r="Z220">
        <v>87082900</v>
      </c>
      <c r="AA220">
        <v>310</v>
      </c>
      <c r="AB220" t="s">
        <v>159</v>
      </c>
      <c r="AC220">
        <v>290.89999999999998</v>
      </c>
      <c r="AD220" t="s">
        <v>160</v>
      </c>
      <c r="AE220" s="24">
        <v>90179</v>
      </c>
      <c r="AF220">
        <v>0</v>
      </c>
      <c r="AG220" s="24">
        <v>90179</v>
      </c>
      <c r="AH220">
        <v>0</v>
      </c>
      <c r="AI220">
        <v>0</v>
      </c>
      <c r="AJ220">
        <v>0</v>
      </c>
      <c r="AK220">
        <v>0</v>
      </c>
      <c r="AL220" s="24">
        <v>90179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s="24">
        <v>90179</v>
      </c>
      <c r="AV220">
        <v>0</v>
      </c>
      <c r="AW220">
        <v>0</v>
      </c>
      <c r="AX220">
        <v>311000</v>
      </c>
      <c r="AY220" t="s">
        <v>161</v>
      </c>
      <c r="AZ220">
        <v>4.5</v>
      </c>
      <c r="BA220">
        <v>4.5</v>
      </c>
      <c r="BB220">
        <v>0</v>
      </c>
      <c r="BC220" t="s">
        <v>173</v>
      </c>
      <c r="BD220">
        <v>1511</v>
      </c>
      <c r="BE220" t="s">
        <v>174</v>
      </c>
      <c r="BF220">
        <v>5094131693</v>
      </c>
      <c r="BG220" t="s">
        <v>335</v>
      </c>
    </row>
    <row r="221" spans="1:59">
      <c r="A221">
        <v>1115</v>
      </c>
      <c r="B221">
        <v>1115</v>
      </c>
      <c r="C221">
        <v>10</v>
      </c>
      <c r="D221">
        <v>2</v>
      </c>
      <c r="E221" t="s">
        <v>152</v>
      </c>
      <c r="F221" t="s">
        <v>153</v>
      </c>
      <c r="G221" t="s">
        <v>154</v>
      </c>
      <c r="H221">
        <v>1526006164</v>
      </c>
      <c r="I221">
        <v>1000006432</v>
      </c>
      <c r="L221" t="s">
        <v>334</v>
      </c>
      <c r="M221">
        <v>5100001636</v>
      </c>
      <c r="N221" t="s">
        <v>155</v>
      </c>
      <c r="O221" t="s">
        <v>156</v>
      </c>
      <c r="P221">
        <v>4110026445</v>
      </c>
      <c r="Q221" t="s">
        <v>170</v>
      </c>
      <c r="R221">
        <v>5000</v>
      </c>
      <c r="S221" t="s">
        <v>166</v>
      </c>
      <c r="V221" t="s">
        <v>167</v>
      </c>
      <c r="W221">
        <v>1502020104</v>
      </c>
      <c r="X221" t="s">
        <v>26</v>
      </c>
      <c r="Y221" t="str">
        <f>VLOOKUP(W221,Sheet4!$A$5:$B$71,2,0)</f>
        <v>RE STYLING</v>
      </c>
      <c r="Z221">
        <v>87082900</v>
      </c>
      <c r="AA221">
        <v>15</v>
      </c>
      <c r="AB221" t="s">
        <v>159</v>
      </c>
      <c r="AC221" s="24">
        <v>6585.55</v>
      </c>
      <c r="AD221" t="s">
        <v>160</v>
      </c>
      <c r="AE221" s="24">
        <v>98783.25</v>
      </c>
      <c r="AF221">
        <v>0</v>
      </c>
      <c r="AG221" s="24">
        <v>98783.25</v>
      </c>
      <c r="AH221">
        <v>0</v>
      </c>
      <c r="AI221">
        <v>0</v>
      </c>
      <c r="AJ221">
        <v>0</v>
      </c>
      <c r="AK221">
        <v>0</v>
      </c>
      <c r="AL221" s="24">
        <v>98783.25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s="24">
        <v>98783.25</v>
      </c>
      <c r="AV221">
        <v>0</v>
      </c>
      <c r="AW221">
        <v>0</v>
      </c>
      <c r="AX221">
        <v>311000</v>
      </c>
      <c r="AY221" t="s">
        <v>161</v>
      </c>
      <c r="AZ221">
        <v>49.75</v>
      </c>
      <c r="BA221">
        <v>49.75</v>
      </c>
      <c r="BB221">
        <v>0</v>
      </c>
      <c r="BC221" t="s">
        <v>171</v>
      </c>
      <c r="BD221">
        <v>1509</v>
      </c>
      <c r="BE221" t="s">
        <v>169</v>
      </c>
      <c r="BF221">
        <v>5094131444</v>
      </c>
      <c r="BG221" t="s">
        <v>335</v>
      </c>
    </row>
    <row r="222" spans="1:59">
      <c r="A222">
        <v>1115</v>
      </c>
      <c r="B222">
        <v>1115</v>
      </c>
      <c r="C222">
        <v>10</v>
      </c>
      <c r="D222">
        <v>2</v>
      </c>
      <c r="E222" t="s">
        <v>152</v>
      </c>
      <c r="F222" t="s">
        <v>153</v>
      </c>
      <c r="G222" t="s">
        <v>154</v>
      </c>
      <c r="H222">
        <v>1526006163</v>
      </c>
      <c r="I222">
        <v>1000006431</v>
      </c>
      <c r="L222" t="s">
        <v>334</v>
      </c>
      <c r="M222">
        <v>5100001636</v>
      </c>
      <c r="N222" t="s">
        <v>155</v>
      </c>
      <c r="O222" t="s">
        <v>156</v>
      </c>
      <c r="P222">
        <v>4110026445</v>
      </c>
      <c r="Q222" t="s">
        <v>170</v>
      </c>
      <c r="R222">
        <v>5000</v>
      </c>
      <c r="S222" t="s">
        <v>166</v>
      </c>
      <c r="V222" t="s">
        <v>167</v>
      </c>
      <c r="W222">
        <v>1502020104</v>
      </c>
      <c r="X222" t="s">
        <v>26</v>
      </c>
      <c r="Y222" t="str">
        <f>VLOOKUP(W222,Sheet4!$A$5:$B$71,2,0)</f>
        <v>RE STYLING</v>
      </c>
      <c r="Z222">
        <v>87082900</v>
      </c>
      <c r="AA222">
        <v>15</v>
      </c>
      <c r="AB222" t="s">
        <v>159</v>
      </c>
      <c r="AC222" s="24">
        <v>6585.55</v>
      </c>
      <c r="AD222" t="s">
        <v>160</v>
      </c>
      <c r="AE222" s="24">
        <v>98783.25</v>
      </c>
      <c r="AF222">
        <v>0</v>
      </c>
      <c r="AG222" s="24">
        <v>98783.25</v>
      </c>
      <c r="AH222">
        <v>0</v>
      </c>
      <c r="AI222">
        <v>0</v>
      </c>
      <c r="AJ222">
        <v>0</v>
      </c>
      <c r="AK222">
        <v>0</v>
      </c>
      <c r="AL222" s="24">
        <v>98783.25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s="24">
        <v>98783.25</v>
      </c>
      <c r="AV222">
        <v>0</v>
      </c>
      <c r="AW222">
        <v>0</v>
      </c>
      <c r="AX222">
        <v>311000</v>
      </c>
      <c r="AY222" t="s">
        <v>161</v>
      </c>
      <c r="AZ222">
        <v>49.75</v>
      </c>
      <c r="BA222">
        <v>49.75</v>
      </c>
      <c r="BB222">
        <v>0</v>
      </c>
      <c r="BC222" t="s">
        <v>171</v>
      </c>
      <c r="BD222">
        <v>1509</v>
      </c>
      <c r="BE222" t="s">
        <v>169</v>
      </c>
      <c r="BF222">
        <v>5094131447</v>
      </c>
      <c r="BG222" t="s">
        <v>335</v>
      </c>
    </row>
    <row r="223" spans="1:59">
      <c r="A223">
        <v>1115</v>
      </c>
      <c r="B223">
        <v>1115</v>
      </c>
      <c r="C223">
        <v>10</v>
      </c>
      <c r="D223">
        <v>2</v>
      </c>
      <c r="E223" t="s">
        <v>152</v>
      </c>
      <c r="F223" t="s">
        <v>153</v>
      </c>
      <c r="G223" t="s">
        <v>154</v>
      </c>
      <c r="H223">
        <v>1526006162</v>
      </c>
      <c r="I223">
        <v>1000006430</v>
      </c>
      <c r="L223" t="s">
        <v>334</v>
      </c>
      <c r="M223">
        <v>5100001636</v>
      </c>
      <c r="N223" t="s">
        <v>155</v>
      </c>
      <c r="O223" t="s">
        <v>156</v>
      </c>
      <c r="P223">
        <v>4110026445</v>
      </c>
      <c r="Q223" t="s">
        <v>170</v>
      </c>
      <c r="R223">
        <v>5000</v>
      </c>
      <c r="S223" t="s">
        <v>166</v>
      </c>
      <c r="V223" t="s">
        <v>167</v>
      </c>
      <c r="W223">
        <v>1502020104</v>
      </c>
      <c r="X223" t="s">
        <v>26</v>
      </c>
      <c r="Y223" t="str">
        <f>VLOOKUP(W223,Sheet4!$A$5:$B$71,2,0)</f>
        <v>RE STYLING</v>
      </c>
      <c r="Z223">
        <v>87082900</v>
      </c>
      <c r="AA223">
        <v>15</v>
      </c>
      <c r="AB223" t="s">
        <v>159</v>
      </c>
      <c r="AC223" s="24">
        <v>6585.55</v>
      </c>
      <c r="AD223" t="s">
        <v>160</v>
      </c>
      <c r="AE223" s="24">
        <v>98783.25</v>
      </c>
      <c r="AF223">
        <v>0</v>
      </c>
      <c r="AG223" s="24">
        <v>98783.25</v>
      </c>
      <c r="AH223">
        <v>0</v>
      </c>
      <c r="AI223">
        <v>0</v>
      </c>
      <c r="AJ223">
        <v>0</v>
      </c>
      <c r="AK223">
        <v>0</v>
      </c>
      <c r="AL223" s="24">
        <v>98783.25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 s="24">
        <v>98783.25</v>
      </c>
      <c r="AV223">
        <v>0</v>
      </c>
      <c r="AW223">
        <v>0</v>
      </c>
      <c r="AX223">
        <v>311000</v>
      </c>
      <c r="AY223" t="s">
        <v>161</v>
      </c>
      <c r="AZ223">
        <v>49.75</v>
      </c>
      <c r="BA223">
        <v>49.75</v>
      </c>
      <c r="BB223">
        <v>0</v>
      </c>
      <c r="BC223" t="s">
        <v>171</v>
      </c>
      <c r="BD223">
        <v>1509</v>
      </c>
      <c r="BE223" t="s">
        <v>169</v>
      </c>
      <c r="BF223">
        <v>5094131555</v>
      </c>
      <c r="BG223" t="s">
        <v>335</v>
      </c>
    </row>
    <row r="224" spans="1:59">
      <c r="A224">
        <v>1115</v>
      </c>
      <c r="B224">
        <v>1115</v>
      </c>
      <c r="C224">
        <v>10</v>
      </c>
      <c r="D224">
        <v>2</v>
      </c>
      <c r="E224" t="s">
        <v>152</v>
      </c>
      <c r="F224" t="s">
        <v>153</v>
      </c>
      <c r="G224" t="s">
        <v>154</v>
      </c>
      <c r="H224">
        <v>1526006161</v>
      </c>
      <c r="I224">
        <v>1000006429</v>
      </c>
      <c r="L224" t="s">
        <v>334</v>
      </c>
      <c r="M224">
        <v>5100001636</v>
      </c>
      <c r="N224" t="s">
        <v>155</v>
      </c>
      <c r="O224" t="s">
        <v>156</v>
      </c>
      <c r="P224">
        <v>4110026445</v>
      </c>
      <c r="Q224" t="s">
        <v>170</v>
      </c>
      <c r="R224">
        <v>5000</v>
      </c>
      <c r="S224" t="s">
        <v>166</v>
      </c>
      <c r="V224" t="s">
        <v>167</v>
      </c>
      <c r="W224">
        <v>1502020104</v>
      </c>
      <c r="X224" t="s">
        <v>26</v>
      </c>
      <c r="Y224" t="str">
        <f>VLOOKUP(W224,Sheet4!$A$5:$B$71,2,0)</f>
        <v>RE STYLING</v>
      </c>
      <c r="Z224">
        <v>87082900</v>
      </c>
      <c r="AA224">
        <v>15</v>
      </c>
      <c r="AB224" t="s">
        <v>159</v>
      </c>
      <c r="AC224" s="24">
        <v>6585.55</v>
      </c>
      <c r="AD224" t="s">
        <v>160</v>
      </c>
      <c r="AE224" s="24">
        <v>98783.25</v>
      </c>
      <c r="AF224">
        <v>0</v>
      </c>
      <c r="AG224" s="24">
        <v>98783.25</v>
      </c>
      <c r="AH224">
        <v>0</v>
      </c>
      <c r="AI224">
        <v>0</v>
      </c>
      <c r="AJ224">
        <v>0</v>
      </c>
      <c r="AK224">
        <v>0</v>
      </c>
      <c r="AL224" s="24">
        <v>98783.25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s="24">
        <v>98783.25</v>
      </c>
      <c r="AV224">
        <v>0</v>
      </c>
      <c r="AW224">
        <v>0</v>
      </c>
      <c r="AX224">
        <v>311000</v>
      </c>
      <c r="AY224" t="s">
        <v>161</v>
      </c>
      <c r="AZ224">
        <v>49.75</v>
      </c>
      <c r="BA224">
        <v>49.75</v>
      </c>
      <c r="BB224">
        <v>0</v>
      </c>
      <c r="BC224" t="s">
        <v>171</v>
      </c>
      <c r="BD224">
        <v>1509</v>
      </c>
      <c r="BE224" t="s">
        <v>169</v>
      </c>
      <c r="BF224">
        <v>5094131551</v>
      </c>
      <c r="BG224" t="s">
        <v>335</v>
      </c>
    </row>
    <row r="225" spans="1:59">
      <c r="A225">
        <v>1115</v>
      </c>
      <c r="B225">
        <v>1115</v>
      </c>
      <c r="C225">
        <v>10</v>
      </c>
      <c r="D225">
        <v>2</v>
      </c>
      <c r="E225" t="s">
        <v>152</v>
      </c>
      <c r="F225" t="s">
        <v>153</v>
      </c>
      <c r="G225" t="s">
        <v>154</v>
      </c>
      <c r="H225">
        <v>1526006160</v>
      </c>
      <c r="I225">
        <v>1000006428</v>
      </c>
      <c r="L225" t="s">
        <v>334</v>
      </c>
      <c r="M225">
        <v>5100001928</v>
      </c>
      <c r="N225" t="s">
        <v>155</v>
      </c>
      <c r="O225" t="s">
        <v>156</v>
      </c>
      <c r="P225">
        <v>4110057393</v>
      </c>
      <c r="Q225" t="s">
        <v>192</v>
      </c>
      <c r="R225">
        <v>5000</v>
      </c>
      <c r="S225" t="s">
        <v>166</v>
      </c>
      <c r="V225" t="s">
        <v>167</v>
      </c>
      <c r="W225">
        <v>1502020122</v>
      </c>
      <c r="X225" t="s">
        <v>70</v>
      </c>
      <c r="Y225" t="str">
        <f>VLOOKUP(W225,Sheet4!$A$5:$B$71,2,0)</f>
        <v>MAX UG NEW EV</v>
      </c>
      <c r="Z225">
        <v>87082900</v>
      </c>
      <c r="AA225">
        <v>10</v>
      </c>
      <c r="AB225" t="s">
        <v>159</v>
      </c>
      <c r="AC225" s="24">
        <v>9566.51</v>
      </c>
      <c r="AD225" t="s">
        <v>160</v>
      </c>
      <c r="AE225" s="24">
        <v>95665.1</v>
      </c>
      <c r="AF225">
        <v>0</v>
      </c>
      <c r="AG225" s="24">
        <v>95665.1</v>
      </c>
      <c r="AH225">
        <v>0</v>
      </c>
      <c r="AI225">
        <v>0</v>
      </c>
      <c r="AJ225">
        <v>0</v>
      </c>
      <c r="AK225">
        <v>0</v>
      </c>
      <c r="AL225" s="24">
        <v>95665.1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s="24">
        <v>95665.1</v>
      </c>
      <c r="AV225">
        <v>0</v>
      </c>
      <c r="AW225">
        <v>0</v>
      </c>
      <c r="AX225">
        <v>311000</v>
      </c>
      <c r="AY225" t="s">
        <v>161</v>
      </c>
      <c r="AZ225">
        <v>0</v>
      </c>
      <c r="BA225">
        <v>61</v>
      </c>
      <c r="BB225">
        <v>-61</v>
      </c>
      <c r="BC225" t="s">
        <v>193</v>
      </c>
      <c r="BD225">
        <v>1509</v>
      </c>
      <c r="BE225" t="s">
        <v>169</v>
      </c>
      <c r="BF225" t="s">
        <v>163</v>
      </c>
      <c r="BG225" t="s">
        <v>164</v>
      </c>
    </row>
    <row r="226" spans="1:59">
      <c r="A226">
        <v>1115</v>
      </c>
      <c r="B226">
        <v>1115</v>
      </c>
      <c r="C226">
        <v>10</v>
      </c>
      <c r="D226">
        <v>2</v>
      </c>
      <c r="E226" t="s">
        <v>152</v>
      </c>
      <c r="F226" t="s">
        <v>153</v>
      </c>
      <c r="G226" t="s">
        <v>154</v>
      </c>
      <c r="H226">
        <v>1526006159</v>
      </c>
      <c r="I226">
        <v>1000006427</v>
      </c>
      <c r="L226" t="s">
        <v>334</v>
      </c>
      <c r="M226">
        <v>5100001928</v>
      </c>
      <c r="N226" t="s">
        <v>155</v>
      </c>
      <c r="O226" t="s">
        <v>156</v>
      </c>
      <c r="P226">
        <v>4110057393</v>
      </c>
      <c r="Q226" t="s">
        <v>192</v>
      </c>
      <c r="R226">
        <v>5000</v>
      </c>
      <c r="S226" t="s">
        <v>166</v>
      </c>
      <c r="V226" t="s">
        <v>167</v>
      </c>
      <c r="W226">
        <v>1502020122</v>
      </c>
      <c r="X226" t="s">
        <v>70</v>
      </c>
      <c r="Y226" t="str">
        <f>VLOOKUP(W226,Sheet4!$A$5:$B$71,2,0)</f>
        <v>MAX UG NEW EV</v>
      </c>
      <c r="Z226">
        <v>87082900</v>
      </c>
      <c r="AA226">
        <v>10</v>
      </c>
      <c r="AB226" t="s">
        <v>159</v>
      </c>
      <c r="AC226" s="24">
        <v>9566.51</v>
      </c>
      <c r="AD226" t="s">
        <v>160</v>
      </c>
      <c r="AE226" s="24">
        <v>95665.1</v>
      </c>
      <c r="AF226">
        <v>0</v>
      </c>
      <c r="AG226" s="24">
        <v>95665.1</v>
      </c>
      <c r="AH226">
        <v>0</v>
      </c>
      <c r="AI226">
        <v>0</v>
      </c>
      <c r="AJ226">
        <v>0</v>
      </c>
      <c r="AK226">
        <v>0</v>
      </c>
      <c r="AL226" s="24">
        <v>95665.1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s="24">
        <v>95665.1</v>
      </c>
      <c r="AV226">
        <v>0</v>
      </c>
      <c r="AW226">
        <v>0</v>
      </c>
      <c r="AX226">
        <v>311000</v>
      </c>
      <c r="AY226" t="s">
        <v>161</v>
      </c>
      <c r="AZ226">
        <v>0</v>
      </c>
      <c r="BA226">
        <v>61</v>
      </c>
      <c r="BB226">
        <v>-61</v>
      </c>
      <c r="BC226" t="s">
        <v>193</v>
      </c>
      <c r="BD226">
        <v>1509</v>
      </c>
      <c r="BE226" t="s">
        <v>169</v>
      </c>
      <c r="BF226">
        <v>5094129327</v>
      </c>
      <c r="BG226" t="s">
        <v>334</v>
      </c>
    </row>
    <row r="227" spans="1:59">
      <c r="A227">
        <v>1115</v>
      </c>
      <c r="B227">
        <v>1115</v>
      </c>
      <c r="C227">
        <v>10</v>
      </c>
      <c r="D227">
        <v>2</v>
      </c>
      <c r="E227" t="s">
        <v>152</v>
      </c>
      <c r="F227" t="s">
        <v>153</v>
      </c>
      <c r="G227" t="s">
        <v>154</v>
      </c>
      <c r="H227">
        <v>1526006157</v>
      </c>
      <c r="I227">
        <v>1000006426</v>
      </c>
      <c r="L227" t="s">
        <v>334</v>
      </c>
      <c r="M227">
        <v>5100001636</v>
      </c>
      <c r="N227" t="s">
        <v>155</v>
      </c>
      <c r="O227" t="s">
        <v>156</v>
      </c>
      <c r="P227">
        <v>4110026445</v>
      </c>
      <c r="Q227" t="s">
        <v>170</v>
      </c>
      <c r="R227">
        <v>5000</v>
      </c>
      <c r="S227" t="s">
        <v>166</v>
      </c>
      <c r="V227" t="s">
        <v>167</v>
      </c>
      <c r="W227">
        <v>1502020104</v>
      </c>
      <c r="X227" t="s">
        <v>26</v>
      </c>
      <c r="Y227" t="str">
        <f>VLOOKUP(W227,Sheet4!$A$5:$B$71,2,0)</f>
        <v>RE STYLING</v>
      </c>
      <c r="Z227">
        <v>87082900</v>
      </c>
      <c r="AA227">
        <v>15</v>
      </c>
      <c r="AB227" t="s">
        <v>159</v>
      </c>
      <c r="AC227" s="24">
        <v>6585.55</v>
      </c>
      <c r="AD227" t="s">
        <v>160</v>
      </c>
      <c r="AE227" s="24">
        <v>98783.25</v>
      </c>
      <c r="AF227">
        <v>0</v>
      </c>
      <c r="AG227" s="24">
        <v>98783.25</v>
      </c>
      <c r="AH227">
        <v>0</v>
      </c>
      <c r="AI227">
        <v>0</v>
      </c>
      <c r="AJ227">
        <v>0</v>
      </c>
      <c r="AK227">
        <v>0</v>
      </c>
      <c r="AL227" s="24">
        <v>98783.25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s="24">
        <v>98783.25</v>
      </c>
      <c r="AV227">
        <v>0</v>
      </c>
      <c r="AW227">
        <v>0</v>
      </c>
      <c r="AX227">
        <v>311000</v>
      </c>
      <c r="AY227" t="s">
        <v>161</v>
      </c>
      <c r="AZ227">
        <v>49.75</v>
      </c>
      <c r="BA227">
        <v>49.75</v>
      </c>
      <c r="BB227">
        <v>0</v>
      </c>
      <c r="BC227" t="s">
        <v>171</v>
      </c>
      <c r="BD227">
        <v>1509</v>
      </c>
      <c r="BE227" t="s">
        <v>169</v>
      </c>
      <c r="BF227">
        <v>5094131466</v>
      </c>
      <c r="BG227" t="s">
        <v>335</v>
      </c>
    </row>
    <row r="228" spans="1:59">
      <c r="A228">
        <v>1115</v>
      </c>
      <c r="B228">
        <v>1115</v>
      </c>
      <c r="C228">
        <v>10</v>
      </c>
      <c r="D228">
        <v>2</v>
      </c>
      <c r="E228" t="s">
        <v>152</v>
      </c>
      <c r="F228" t="s">
        <v>153</v>
      </c>
      <c r="G228" t="s">
        <v>154</v>
      </c>
      <c r="H228">
        <v>1526006156</v>
      </c>
      <c r="I228">
        <v>1000006425</v>
      </c>
      <c r="L228" t="s">
        <v>334</v>
      </c>
      <c r="M228">
        <v>5100001636</v>
      </c>
      <c r="N228" t="s">
        <v>155</v>
      </c>
      <c r="O228" t="s">
        <v>156</v>
      </c>
      <c r="P228">
        <v>4110026445</v>
      </c>
      <c r="Q228" t="s">
        <v>170</v>
      </c>
      <c r="R228">
        <v>5000</v>
      </c>
      <c r="S228" t="s">
        <v>166</v>
      </c>
      <c r="V228" t="s">
        <v>167</v>
      </c>
      <c r="W228">
        <v>1502020104</v>
      </c>
      <c r="X228" t="s">
        <v>26</v>
      </c>
      <c r="Y228" t="str">
        <f>VLOOKUP(W228,Sheet4!$A$5:$B$71,2,0)</f>
        <v>RE STYLING</v>
      </c>
      <c r="Z228">
        <v>87082900</v>
      </c>
      <c r="AA228">
        <v>15</v>
      </c>
      <c r="AB228" t="s">
        <v>159</v>
      </c>
      <c r="AC228" s="24">
        <v>6585.55</v>
      </c>
      <c r="AD228" t="s">
        <v>160</v>
      </c>
      <c r="AE228" s="24">
        <v>98783.25</v>
      </c>
      <c r="AF228">
        <v>0</v>
      </c>
      <c r="AG228" s="24">
        <v>98783.25</v>
      </c>
      <c r="AH228">
        <v>0</v>
      </c>
      <c r="AI228">
        <v>0</v>
      </c>
      <c r="AJ228">
        <v>0</v>
      </c>
      <c r="AK228">
        <v>0</v>
      </c>
      <c r="AL228" s="24">
        <v>98783.25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s="24">
        <v>98783.25</v>
      </c>
      <c r="AV228">
        <v>0</v>
      </c>
      <c r="AW228">
        <v>0</v>
      </c>
      <c r="AX228">
        <v>311000</v>
      </c>
      <c r="AY228" t="s">
        <v>161</v>
      </c>
      <c r="AZ228">
        <v>49.75</v>
      </c>
      <c r="BA228">
        <v>49.75</v>
      </c>
      <c r="BB228">
        <v>0</v>
      </c>
      <c r="BC228" t="s">
        <v>171</v>
      </c>
      <c r="BD228">
        <v>1509</v>
      </c>
      <c r="BE228" t="s">
        <v>169</v>
      </c>
      <c r="BF228">
        <v>5094131476</v>
      </c>
      <c r="BG228" t="s">
        <v>335</v>
      </c>
    </row>
    <row r="229" spans="1:59">
      <c r="A229">
        <v>1115</v>
      </c>
      <c r="B229">
        <v>1115</v>
      </c>
      <c r="C229">
        <v>10</v>
      </c>
      <c r="D229">
        <v>2</v>
      </c>
      <c r="E229" t="s">
        <v>152</v>
      </c>
      <c r="F229" t="s">
        <v>153</v>
      </c>
      <c r="G229" t="s">
        <v>154</v>
      </c>
      <c r="H229">
        <v>1526006155</v>
      </c>
      <c r="I229">
        <v>1000006424</v>
      </c>
      <c r="L229" t="s">
        <v>334</v>
      </c>
      <c r="M229">
        <v>5100001636</v>
      </c>
      <c r="N229" t="s">
        <v>155</v>
      </c>
      <c r="O229" t="s">
        <v>156</v>
      </c>
      <c r="P229">
        <v>4110026445</v>
      </c>
      <c r="Q229" t="s">
        <v>170</v>
      </c>
      <c r="R229">
        <v>5000</v>
      </c>
      <c r="S229" t="s">
        <v>166</v>
      </c>
      <c r="V229" t="s">
        <v>167</v>
      </c>
      <c r="W229">
        <v>1502020104</v>
      </c>
      <c r="X229" t="s">
        <v>26</v>
      </c>
      <c r="Y229" t="str">
        <f>VLOOKUP(W229,Sheet4!$A$5:$B$71,2,0)</f>
        <v>RE STYLING</v>
      </c>
      <c r="Z229">
        <v>87082900</v>
      </c>
      <c r="AA229">
        <v>15</v>
      </c>
      <c r="AB229" t="s">
        <v>159</v>
      </c>
      <c r="AC229" s="24">
        <v>6585.55</v>
      </c>
      <c r="AD229" t="s">
        <v>160</v>
      </c>
      <c r="AE229" s="24">
        <v>98783.25</v>
      </c>
      <c r="AF229">
        <v>0</v>
      </c>
      <c r="AG229" s="24">
        <v>98783.25</v>
      </c>
      <c r="AH229">
        <v>0</v>
      </c>
      <c r="AI229">
        <v>0</v>
      </c>
      <c r="AJ229">
        <v>0</v>
      </c>
      <c r="AK229">
        <v>0</v>
      </c>
      <c r="AL229" s="24">
        <v>98783.25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s="24">
        <v>98783.25</v>
      </c>
      <c r="AV229">
        <v>0</v>
      </c>
      <c r="AW229">
        <v>0</v>
      </c>
      <c r="AX229">
        <v>311000</v>
      </c>
      <c r="AY229" t="s">
        <v>161</v>
      </c>
      <c r="AZ229">
        <v>49.75</v>
      </c>
      <c r="BA229">
        <v>49.75</v>
      </c>
      <c r="BB229">
        <v>0</v>
      </c>
      <c r="BC229" t="s">
        <v>171</v>
      </c>
      <c r="BD229">
        <v>1509</v>
      </c>
      <c r="BE229" t="s">
        <v>169</v>
      </c>
      <c r="BF229">
        <v>5094131486</v>
      </c>
      <c r="BG229" t="s">
        <v>335</v>
      </c>
    </row>
    <row r="230" spans="1:59">
      <c r="A230">
        <v>1115</v>
      </c>
      <c r="B230">
        <v>1115</v>
      </c>
      <c r="C230">
        <v>10</v>
      </c>
      <c r="D230">
        <v>2</v>
      </c>
      <c r="E230" t="s">
        <v>152</v>
      </c>
      <c r="F230" t="s">
        <v>153</v>
      </c>
      <c r="G230" t="s">
        <v>154</v>
      </c>
      <c r="H230">
        <v>1526006154</v>
      </c>
      <c r="I230">
        <v>1000006423</v>
      </c>
      <c r="L230" t="s">
        <v>334</v>
      </c>
      <c r="M230">
        <v>5100001636</v>
      </c>
      <c r="N230" t="s">
        <v>155</v>
      </c>
      <c r="O230" t="s">
        <v>156</v>
      </c>
      <c r="P230">
        <v>4110026445</v>
      </c>
      <c r="Q230" t="s">
        <v>170</v>
      </c>
      <c r="R230">
        <v>5000</v>
      </c>
      <c r="S230" t="s">
        <v>166</v>
      </c>
      <c r="V230" t="s">
        <v>167</v>
      </c>
      <c r="W230">
        <v>1502020104</v>
      </c>
      <c r="X230" t="s">
        <v>26</v>
      </c>
      <c r="Y230" t="str">
        <f>VLOOKUP(W230,Sheet4!$A$5:$B$71,2,0)</f>
        <v>RE STYLING</v>
      </c>
      <c r="Z230">
        <v>87082900</v>
      </c>
      <c r="AA230">
        <v>15</v>
      </c>
      <c r="AB230" t="s">
        <v>159</v>
      </c>
      <c r="AC230" s="24">
        <v>6585.55</v>
      </c>
      <c r="AD230" t="s">
        <v>160</v>
      </c>
      <c r="AE230" s="24">
        <v>98783.25</v>
      </c>
      <c r="AF230">
        <v>0</v>
      </c>
      <c r="AG230" s="24">
        <v>98783.25</v>
      </c>
      <c r="AH230">
        <v>0</v>
      </c>
      <c r="AI230">
        <v>0</v>
      </c>
      <c r="AJ230">
        <v>0</v>
      </c>
      <c r="AK230">
        <v>0</v>
      </c>
      <c r="AL230" s="24">
        <v>98783.25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s="24">
        <v>98783.25</v>
      </c>
      <c r="AV230">
        <v>0</v>
      </c>
      <c r="AW230">
        <v>0</v>
      </c>
      <c r="AX230">
        <v>311000</v>
      </c>
      <c r="AY230" t="s">
        <v>161</v>
      </c>
      <c r="AZ230">
        <v>49.75</v>
      </c>
      <c r="BA230">
        <v>49.75</v>
      </c>
      <c r="BB230">
        <v>0</v>
      </c>
      <c r="BC230" t="s">
        <v>171</v>
      </c>
      <c r="BD230">
        <v>1509</v>
      </c>
      <c r="BE230" t="s">
        <v>169</v>
      </c>
      <c r="BF230">
        <v>5094131471</v>
      </c>
      <c r="BG230" t="s">
        <v>335</v>
      </c>
    </row>
    <row r="231" spans="1:59">
      <c r="A231">
        <v>1115</v>
      </c>
      <c r="B231">
        <v>1115</v>
      </c>
      <c r="C231">
        <v>10</v>
      </c>
      <c r="D231">
        <v>2</v>
      </c>
      <c r="E231" t="s">
        <v>152</v>
      </c>
      <c r="F231" t="s">
        <v>153</v>
      </c>
      <c r="G231" t="s">
        <v>154</v>
      </c>
      <c r="H231">
        <v>1526006153</v>
      </c>
      <c r="I231">
        <v>1000006422</v>
      </c>
      <c r="L231" t="s">
        <v>334</v>
      </c>
      <c r="M231">
        <v>5100001939</v>
      </c>
      <c r="N231" t="s">
        <v>155</v>
      </c>
      <c r="O231" t="s">
        <v>156</v>
      </c>
      <c r="P231">
        <v>4110059608</v>
      </c>
      <c r="Q231" t="s">
        <v>240</v>
      </c>
      <c r="R231">
        <v>5000</v>
      </c>
      <c r="S231" t="s">
        <v>166</v>
      </c>
      <c r="V231" t="s">
        <v>167</v>
      </c>
      <c r="W231">
        <v>1502020129</v>
      </c>
      <c r="X231" t="s">
        <v>241</v>
      </c>
      <c r="Y231" t="str">
        <f>VLOOKUP(W231,Sheet4!$A$5:$B$71,2,0)</f>
        <v>RE STYLING</v>
      </c>
      <c r="Z231">
        <v>87082900</v>
      </c>
      <c r="AA231">
        <v>15</v>
      </c>
      <c r="AB231" t="s">
        <v>159</v>
      </c>
      <c r="AC231" s="24">
        <v>6500.18</v>
      </c>
      <c r="AD231" t="s">
        <v>160</v>
      </c>
      <c r="AE231" s="24">
        <v>97502.7</v>
      </c>
      <c r="AF231">
        <v>0</v>
      </c>
      <c r="AG231" s="24">
        <v>97502.7</v>
      </c>
      <c r="AH231">
        <v>0</v>
      </c>
      <c r="AI231">
        <v>0</v>
      </c>
      <c r="AJ231">
        <v>0</v>
      </c>
      <c r="AK231">
        <v>0</v>
      </c>
      <c r="AL231" s="24">
        <v>97502.7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s="24">
        <v>97502.7</v>
      </c>
      <c r="AV231">
        <v>0</v>
      </c>
      <c r="AW231">
        <v>0</v>
      </c>
      <c r="AX231">
        <v>311000</v>
      </c>
      <c r="AY231" t="s">
        <v>161</v>
      </c>
      <c r="AZ231">
        <v>0</v>
      </c>
      <c r="BA231">
        <v>0</v>
      </c>
      <c r="BB231">
        <v>0</v>
      </c>
      <c r="BC231" t="s">
        <v>242</v>
      </c>
      <c r="BD231">
        <v>1509</v>
      </c>
      <c r="BE231" t="s">
        <v>169</v>
      </c>
      <c r="BF231" t="s">
        <v>163</v>
      </c>
      <c r="BG231" t="s">
        <v>164</v>
      </c>
    </row>
    <row r="232" spans="1:59">
      <c r="A232">
        <v>1115</v>
      </c>
      <c r="B232">
        <v>1115</v>
      </c>
      <c r="C232">
        <v>10</v>
      </c>
      <c r="D232">
        <v>2</v>
      </c>
      <c r="E232" t="s">
        <v>152</v>
      </c>
      <c r="F232" t="s">
        <v>153</v>
      </c>
      <c r="G232" t="s">
        <v>154</v>
      </c>
      <c r="H232">
        <v>1526006152</v>
      </c>
      <c r="I232">
        <v>1000006421</v>
      </c>
      <c r="L232" t="s">
        <v>334</v>
      </c>
      <c r="M232">
        <v>5100001939</v>
      </c>
      <c r="N232" t="s">
        <v>155</v>
      </c>
      <c r="O232" t="s">
        <v>156</v>
      </c>
      <c r="P232">
        <v>4110059608</v>
      </c>
      <c r="Q232" t="s">
        <v>240</v>
      </c>
      <c r="R232">
        <v>5000</v>
      </c>
      <c r="S232" t="s">
        <v>166</v>
      </c>
      <c r="V232" t="s">
        <v>167</v>
      </c>
      <c r="W232">
        <v>1502020129</v>
      </c>
      <c r="X232" t="s">
        <v>241</v>
      </c>
      <c r="Y232" t="str">
        <f>VLOOKUP(W232,Sheet4!$A$5:$B$71,2,0)</f>
        <v>RE STYLING</v>
      </c>
      <c r="Z232">
        <v>87082900</v>
      </c>
      <c r="AA232">
        <v>15</v>
      </c>
      <c r="AB232" t="s">
        <v>159</v>
      </c>
      <c r="AC232" s="24">
        <v>6500.18</v>
      </c>
      <c r="AD232" t="s">
        <v>160</v>
      </c>
      <c r="AE232" s="24">
        <v>97502.7</v>
      </c>
      <c r="AF232">
        <v>0</v>
      </c>
      <c r="AG232" s="24">
        <v>97502.7</v>
      </c>
      <c r="AH232">
        <v>0</v>
      </c>
      <c r="AI232">
        <v>0</v>
      </c>
      <c r="AJ232">
        <v>0</v>
      </c>
      <c r="AK232">
        <v>0</v>
      </c>
      <c r="AL232" s="24">
        <v>97502.7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s="24">
        <v>97502.7</v>
      </c>
      <c r="AV232">
        <v>0</v>
      </c>
      <c r="AW232">
        <v>0</v>
      </c>
      <c r="AX232">
        <v>311000</v>
      </c>
      <c r="AY232" t="s">
        <v>161</v>
      </c>
      <c r="AZ232">
        <v>0</v>
      </c>
      <c r="BA232">
        <v>0</v>
      </c>
      <c r="BB232">
        <v>0</v>
      </c>
      <c r="BC232" t="s">
        <v>242</v>
      </c>
      <c r="BD232">
        <v>1509</v>
      </c>
      <c r="BE232" t="s">
        <v>169</v>
      </c>
      <c r="BF232" t="s">
        <v>163</v>
      </c>
      <c r="BG232" t="s">
        <v>164</v>
      </c>
    </row>
    <row r="233" spans="1:59">
      <c r="A233">
        <v>1115</v>
      </c>
      <c r="B233">
        <v>1115</v>
      </c>
      <c r="C233">
        <v>10</v>
      </c>
      <c r="D233">
        <v>2</v>
      </c>
      <c r="E233" t="s">
        <v>152</v>
      </c>
      <c r="F233" t="s">
        <v>153</v>
      </c>
      <c r="G233" t="s">
        <v>154</v>
      </c>
      <c r="H233">
        <v>1526006151</v>
      </c>
      <c r="I233">
        <v>1000006420</v>
      </c>
      <c r="L233" t="s">
        <v>334</v>
      </c>
      <c r="M233">
        <v>5100001939</v>
      </c>
      <c r="N233" t="s">
        <v>155</v>
      </c>
      <c r="O233" t="s">
        <v>156</v>
      </c>
      <c r="P233">
        <v>4110059608</v>
      </c>
      <c r="Q233" t="s">
        <v>240</v>
      </c>
      <c r="R233">
        <v>5000</v>
      </c>
      <c r="S233" t="s">
        <v>166</v>
      </c>
      <c r="V233" t="s">
        <v>167</v>
      </c>
      <c r="W233">
        <v>1502020129</v>
      </c>
      <c r="X233" t="s">
        <v>241</v>
      </c>
      <c r="Y233" t="str">
        <f>VLOOKUP(W233,Sheet4!$A$5:$B$71,2,0)</f>
        <v>RE STYLING</v>
      </c>
      <c r="Z233">
        <v>87082900</v>
      </c>
      <c r="AA233">
        <v>15</v>
      </c>
      <c r="AB233" t="s">
        <v>159</v>
      </c>
      <c r="AC233" s="24">
        <v>6500.18</v>
      </c>
      <c r="AD233" t="s">
        <v>160</v>
      </c>
      <c r="AE233" s="24">
        <v>97502.7</v>
      </c>
      <c r="AF233">
        <v>0</v>
      </c>
      <c r="AG233" s="24">
        <v>97502.7</v>
      </c>
      <c r="AH233">
        <v>0</v>
      </c>
      <c r="AI233">
        <v>0</v>
      </c>
      <c r="AJ233">
        <v>0</v>
      </c>
      <c r="AK233">
        <v>0</v>
      </c>
      <c r="AL233" s="24">
        <v>97502.7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s="24">
        <v>97502.7</v>
      </c>
      <c r="AV233">
        <v>0</v>
      </c>
      <c r="AW233">
        <v>0</v>
      </c>
      <c r="AX233">
        <v>311000</v>
      </c>
      <c r="AY233" t="s">
        <v>161</v>
      </c>
      <c r="AZ233">
        <v>0</v>
      </c>
      <c r="BA233">
        <v>0</v>
      </c>
      <c r="BB233">
        <v>0</v>
      </c>
      <c r="BC233" t="s">
        <v>242</v>
      </c>
      <c r="BD233">
        <v>1509</v>
      </c>
      <c r="BE233" t="s">
        <v>169</v>
      </c>
      <c r="BF233">
        <v>5094130413</v>
      </c>
      <c r="BG233" t="s">
        <v>335</v>
      </c>
    </row>
    <row r="234" spans="1:59">
      <c r="A234">
        <v>1115</v>
      </c>
      <c r="B234">
        <v>1115</v>
      </c>
      <c r="C234">
        <v>10</v>
      </c>
      <c r="D234">
        <v>2</v>
      </c>
      <c r="E234" t="s">
        <v>152</v>
      </c>
      <c r="F234" t="s">
        <v>153</v>
      </c>
      <c r="G234" t="s">
        <v>154</v>
      </c>
      <c r="H234">
        <v>1526006150</v>
      </c>
      <c r="I234">
        <v>1000006419</v>
      </c>
      <c r="L234" t="s">
        <v>334</v>
      </c>
      <c r="M234">
        <v>5100001603</v>
      </c>
      <c r="N234" t="s">
        <v>155</v>
      </c>
      <c r="O234" t="s">
        <v>156</v>
      </c>
      <c r="P234">
        <v>4110025468</v>
      </c>
      <c r="Q234" t="s">
        <v>165</v>
      </c>
      <c r="R234">
        <v>5000</v>
      </c>
      <c r="S234" t="s">
        <v>166</v>
      </c>
      <c r="V234" t="s">
        <v>167</v>
      </c>
      <c r="W234">
        <v>1502020102</v>
      </c>
      <c r="X234" t="s">
        <v>58</v>
      </c>
      <c r="Y234" t="str">
        <f>VLOOKUP(W234,Sheet4!$A$5:$B$71,2,0)</f>
        <v>MAXIMA HD</v>
      </c>
      <c r="Z234">
        <v>87082900</v>
      </c>
      <c r="AA234">
        <v>8</v>
      </c>
      <c r="AB234" t="s">
        <v>159</v>
      </c>
      <c r="AC234" s="24">
        <v>8593.51</v>
      </c>
      <c r="AD234" t="s">
        <v>160</v>
      </c>
      <c r="AE234" s="24">
        <v>68748.08</v>
      </c>
      <c r="AF234">
        <v>0</v>
      </c>
      <c r="AG234" s="24">
        <v>68748.08</v>
      </c>
      <c r="AH234">
        <v>0</v>
      </c>
      <c r="AI234">
        <v>0</v>
      </c>
      <c r="AJ234">
        <v>0</v>
      </c>
      <c r="AK234">
        <v>0</v>
      </c>
      <c r="AL234" s="24">
        <v>68748.08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s="24">
        <v>68748.08</v>
      </c>
      <c r="AV234">
        <v>0</v>
      </c>
      <c r="AW234">
        <v>0</v>
      </c>
      <c r="AX234">
        <v>311000</v>
      </c>
      <c r="AY234" t="s">
        <v>161</v>
      </c>
      <c r="AZ234">
        <v>93.34</v>
      </c>
      <c r="BA234">
        <v>75.430000000000007</v>
      </c>
      <c r="BB234">
        <v>17.91</v>
      </c>
      <c r="BC234" t="s">
        <v>168</v>
      </c>
      <c r="BD234">
        <v>1509</v>
      </c>
      <c r="BE234" t="s">
        <v>169</v>
      </c>
      <c r="BF234">
        <v>5094126001</v>
      </c>
      <c r="BG234" t="s">
        <v>334</v>
      </c>
    </row>
    <row r="235" spans="1:59">
      <c r="A235">
        <v>1115</v>
      </c>
      <c r="B235">
        <v>1115</v>
      </c>
      <c r="C235">
        <v>10</v>
      </c>
      <c r="D235">
        <v>2</v>
      </c>
      <c r="E235" t="s">
        <v>152</v>
      </c>
      <c r="F235" t="s">
        <v>153</v>
      </c>
      <c r="G235" t="s">
        <v>154</v>
      </c>
      <c r="H235">
        <v>1526006149</v>
      </c>
      <c r="I235">
        <v>1000006418</v>
      </c>
      <c r="L235" t="s">
        <v>334</v>
      </c>
      <c r="M235">
        <v>5100001939</v>
      </c>
      <c r="N235" t="s">
        <v>155</v>
      </c>
      <c r="O235" t="s">
        <v>156</v>
      </c>
      <c r="P235">
        <v>4110059608</v>
      </c>
      <c r="Q235" t="s">
        <v>240</v>
      </c>
      <c r="R235">
        <v>5000</v>
      </c>
      <c r="S235" t="s">
        <v>166</v>
      </c>
      <c r="V235" t="s">
        <v>167</v>
      </c>
      <c r="W235">
        <v>1502020129</v>
      </c>
      <c r="X235" t="s">
        <v>241</v>
      </c>
      <c r="Y235" t="str">
        <f>VLOOKUP(W235,Sheet4!$A$5:$B$71,2,0)</f>
        <v>RE STYLING</v>
      </c>
      <c r="Z235">
        <v>87082900</v>
      </c>
      <c r="AA235">
        <v>15</v>
      </c>
      <c r="AB235" t="s">
        <v>159</v>
      </c>
      <c r="AC235" s="24">
        <v>6500.18</v>
      </c>
      <c r="AD235" t="s">
        <v>160</v>
      </c>
      <c r="AE235" s="24">
        <v>97502.7</v>
      </c>
      <c r="AF235">
        <v>0</v>
      </c>
      <c r="AG235" s="24">
        <v>97502.7</v>
      </c>
      <c r="AH235">
        <v>0</v>
      </c>
      <c r="AI235">
        <v>0</v>
      </c>
      <c r="AJ235">
        <v>0</v>
      </c>
      <c r="AK235">
        <v>0</v>
      </c>
      <c r="AL235" s="24">
        <v>97502.7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s="24">
        <v>97502.7</v>
      </c>
      <c r="AV235">
        <v>0</v>
      </c>
      <c r="AW235">
        <v>0</v>
      </c>
      <c r="AX235">
        <v>311000</v>
      </c>
      <c r="AY235" t="s">
        <v>161</v>
      </c>
      <c r="AZ235">
        <v>0</v>
      </c>
      <c r="BA235">
        <v>0</v>
      </c>
      <c r="BB235">
        <v>0</v>
      </c>
      <c r="BC235" t="s">
        <v>242</v>
      </c>
      <c r="BD235">
        <v>1509</v>
      </c>
      <c r="BE235" t="s">
        <v>169</v>
      </c>
      <c r="BF235">
        <v>5094130489</v>
      </c>
      <c r="BG235" t="s">
        <v>335</v>
      </c>
    </row>
    <row r="236" spans="1:59">
      <c r="A236">
        <v>1115</v>
      </c>
      <c r="B236">
        <v>1115</v>
      </c>
      <c r="C236">
        <v>10</v>
      </c>
      <c r="D236">
        <v>2</v>
      </c>
      <c r="E236" t="s">
        <v>152</v>
      </c>
      <c r="F236" t="s">
        <v>153</v>
      </c>
      <c r="G236" t="s">
        <v>154</v>
      </c>
      <c r="H236">
        <v>1526006148</v>
      </c>
      <c r="I236">
        <v>1000006417</v>
      </c>
      <c r="L236" t="s">
        <v>334</v>
      </c>
      <c r="M236">
        <v>5100001899</v>
      </c>
      <c r="N236" t="s">
        <v>155</v>
      </c>
      <c r="O236" t="s">
        <v>156</v>
      </c>
      <c r="P236">
        <v>4110041854</v>
      </c>
      <c r="Q236" t="s">
        <v>172</v>
      </c>
      <c r="R236">
        <v>5000</v>
      </c>
      <c r="S236" t="s">
        <v>166</v>
      </c>
      <c r="V236" t="s">
        <v>167</v>
      </c>
      <c r="W236">
        <v>1502040267</v>
      </c>
      <c r="X236" t="s">
        <v>63</v>
      </c>
      <c r="Y236" t="str">
        <f>VLOOKUP(W236,Sheet4!$A$5:$B$71,2,0)</f>
        <v>DASH BOARD</v>
      </c>
      <c r="Z236">
        <v>87082900</v>
      </c>
      <c r="AA236">
        <v>416</v>
      </c>
      <c r="AB236" t="s">
        <v>159</v>
      </c>
      <c r="AC236">
        <v>290.89999999999998</v>
      </c>
      <c r="AD236" t="s">
        <v>160</v>
      </c>
      <c r="AE236" s="24">
        <v>121014.39999999999</v>
      </c>
      <c r="AF236">
        <v>0</v>
      </c>
      <c r="AG236" s="24">
        <v>121014.39999999999</v>
      </c>
      <c r="AH236">
        <v>0</v>
      </c>
      <c r="AI236">
        <v>0</v>
      </c>
      <c r="AJ236">
        <v>0</v>
      </c>
      <c r="AK236">
        <v>0</v>
      </c>
      <c r="AL236" s="24">
        <v>121014.39999999999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s="24">
        <v>121014.39999999999</v>
      </c>
      <c r="AV236">
        <v>0</v>
      </c>
      <c r="AW236">
        <v>0</v>
      </c>
      <c r="AX236">
        <v>311000</v>
      </c>
      <c r="AY236" t="s">
        <v>161</v>
      </c>
      <c r="AZ236">
        <v>4.5</v>
      </c>
      <c r="BA236">
        <v>4.5</v>
      </c>
      <c r="BB236">
        <v>0</v>
      </c>
      <c r="BC236" t="s">
        <v>173</v>
      </c>
      <c r="BD236">
        <v>1511</v>
      </c>
      <c r="BE236" t="s">
        <v>174</v>
      </c>
      <c r="BF236" t="s">
        <v>163</v>
      </c>
      <c r="BG236" t="s">
        <v>164</v>
      </c>
    </row>
    <row r="237" spans="1:59">
      <c r="A237">
        <v>1115</v>
      </c>
      <c r="B237">
        <v>1115</v>
      </c>
      <c r="C237">
        <v>10</v>
      </c>
      <c r="D237">
        <v>2</v>
      </c>
      <c r="E237" t="s">
        <v>152</v>
      </c>
      <c r="F237" t="s">
        <v>153</v>
      </c>
      <c r="G237" t="s">
        <v>154</v>
      </c>
      <c r="H237">
        <v>1526006147</v>
      </c>
      <c r="I237">
        <v>1000006416</v>
      </c>
      <c r="L237" t="s">
        <v>334</v>
      </c>
      <c r="M237">
        <v>5100001939</v>
      </c>
      <c r="N237" t="s">
        <v>155</v>
      </c>
      <c r="O237" t="s">
        <v>156</v>
      </c>
      <c r="P237">
        <v>4110059608</v>
      </c>
      <c r="Q237" t="s">
        <v>240</v>
      </c>
      <c r="R237">
        <v>5000</v>
      </c>
      <c r="S237" t="s">
        <v>166</v>
      </c>
      <c r="V237" t="s">
        <v>167</v>
      </c>
      <c r="W237">
        <v>1502020129</v>
      </c>
      <c r="X237" t="s">
        <v>241</v>
      </c>
      <c r="Y237" t="str">
        <f>VLOOKUP(W237,Sheet4!$A$5:$B$71,2,0)</f>
        <v>RE STYLING</v>
      </c>
      <c r="Z237">
        <v>87082900</v>
      </c>
      <c r="AA237">
        <v>15</v>
      </c>
      <c r="AB237" t="s">
        <v>159</v>
      </c>
      <c r="AC237" s="24">
        <v>6500.18</v>
      </c>
      <c r="AD237" t="s">
        <v>160</v>
      </c>
      <c r="AE237" s="24">
        <v>97502.7</v>
      </c>
      <c r="AF237">
        <v>0</v>
      </c>
      <c r="AG237" s="24">
        <v>97502.7</v>
      </c>
      <c r="AH237">
        <v>0</v>
      </c>
      <c r="AI237">
        <v>0</v>
      </c>
      <c r="AJ237">
        <v>0</v>
      </c>
      <c r="AK237">
        <v>0</v>
      </c>
      <c r="AL237" s="24">
        <v>97502.7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 s="24">
        <v>97502.7</v>
      </c>
      <c r="AV237">
        <v>0</v>
      </c>
      <c r="AW237">
        <v>0</v>
      </c>
      <c r="AX237">
        <v>311000</v>
      </c>
      <c r="AY237" t="s">
        <v>161</v>
      </c>
      <c r="AZ237">
        <v>0</v>
      </c>
      <c r="BA237">
        <v>0</v>
      </c>
      <c r="BB237">
        <v>0</v>
      </c>
      <c r="BC237" t="s">
        <v>242</v>
      </c>
      <c r="BD237">
        <v>1509</v>
      </c>
      <c r="BE237" t="s">
        <v>169</v>
      </c>
      <c r="BF237">
        <v>5094130383</v>
      </c>
      <c r="BG237" t="s">
        <v>335</v>
      </c>
    </row>
    <row r="238" spans="1:59">
      <c r="A238">
        <v>1115</v>
      </c>
      <c r="B238">
        <v>1115</v>
      </c>
      <c r="C238">
        <v>10</v>
      </c>
      <c r="D238">
        <v>2</v>
      </c>
      <c r="E238" t="s">
        <v>152</v>
      </c>
      <c r="F238" t="s">
        <v>153</v>
      </c>
      <c r="G238" t="s">
        <v>154</v>
      </c>
      <c r="H238">
        <v>1526006146</v>
      </c>
      <c r="I238">
        <v>1000006415</v>
      </c>
      <c r="L238" t="s">
        <v>334</v>
      </c>
      <c r="M238">
        <v>5100001899</v>
      </c>
      <c r="N238" t="s">
        <v>155</v>
      </c>
      <c r="O238" t="s">
        <v>156</v>
      </c>
      <c r="P238">
        <v>4110041854</v>
      </c>
      <c r="Q238" t="s">
        <v>172</v>
      </c>
      <c r="R238">
        <v>5000</v>
      </c>
      <c r="S238" t="s">
        <v>166</v>
      </c>
      <c r="V238" t="s">
        <v>167</v>
      </c>
      <c r="W238">
        <v>1502040267</v>
      </c>
      <c r="X238" t="s">
        <v>63</v>
      </c>
      <c r="Y238" t="str">
        <f>VLOOKUP(W238,Sheet4!$A$5:$B$71,2,0)</f>
        <v>DASH BOARD</v>
      </c>
      <c r="Z238">
        <v>87082900</v>
      </c>
      <c r="AA238">
        <v>384</v>
      </c>
      <c r="AB238" t="s">
        <v>159</v>
      </c>
      <c r="AC238">
        <v>290.89999999999998</v>
      </c>
      <c r="AD238" t="s">
        <v>160</v>
      </c>
      <c r="AE238" s="24">
        <v>111705.60000000001</v>
      </c>
      <c r="AF238">
        <v>0</v>
      </c>
      <c r="AG238" s="24">
        <v>111705.60000000001</v>
      </c>
      <c r="AH238">
        <v>0</v>
      </c>
      <c r="AI238">
        <v>0</v>
      </c>
      <c r="AJ238">
        <v>0</v>
      </c>
      <c r="AK238">
        <v>0</v>
      </c>
      <c r="AL238" s="24">
        <v>111705.60000000001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s="24">
        <v>111705.60000000001</v>
      </c>
      <c r="AV238">
        <v>0</v>
      </c>
      <c r="AW238">
        <v>0</v>
      </c>
      <c r="AX238">
        <v>311000</v>
      </c>
      <c r="AY238" t="s">
        <v>161</v>
      </c>
      <c r="AZ238">
        <v>4.5</v>
      </c>
      <c r="BA238">
        <v>4.5</v>
      </c>
      <c r="BB238">
        <v>0</v>
      </c>
      <c r="BC238" t="s">
        <v>173</v>
      </c>
      <c r="BD238">
        <v>1511</v>
      </c>
      <c r="BE238" t="s">
        <v>174</v>
      </c>
      <c r="BF238">
        <v>5094130200</v>
      </c>
      <c r="BG238" t="s">
        <v>335</v>
      </c>
    </row>
    <row r="239" spans="1:59">
      <c r="A239">
        <v>1115</v>
      </c>
      <c r="B239">
        <v>1115</v>
      </c>
      <c r="C239">
        <v>10</v>
      </c>
      <c r="D239">
        <v>2</v>
      </c>
      <c r="E239" t="s">
        <v>152</v>
      </c>
      <c r="F239" t="s">
        <v>153</v>
      </c>
      <c r="G239" t="s">
        <v>154</v>
      </c>
      <c r="H239">
        <v>1526006091</v>
      </c>
      <c r="I239">
        <v>1000006362</v>
      </c>
      <c r="L239" t="s">
        <v>334</v>
      </c>
      <c r="M239">
        <v>5100001924</v>
      </c>
      <c r="N239" t="s">
        <v>155</v>
      </c>
      <c r="O239" t="s">
        <v>156</v>
      </c>
      <c r="P239">
        <v>4110055642</v>
      </c>
      <c r="Q239" t="s">
        <v>199</v>
      </c>
      <c r="R239">
        <v>5000</v>
      </c>
      <c r="S239" t="s">
        <v>166</v>
      </c>
      <c r="V239" t="s">
        <v>167</v>
      </c>
      <c r="W239">
        <v>1502040313</v>
      </c>
      <c r="X239" t="s">
        <v>246</v>
      </c>
      <c r="Y239" t="str">
        <f>VLOOKUP(W239,Sheet4!$A$5:$B$71,2,0)</f>
        <v>Re Side Door</v>
      </c>
      <c r="Z239">
        <v>87082900</v>
      </c>
      <c r="AA239">
        <v>120</v>
      </c>
      <c r="AB239" t="s">
        <v>159</v>
      </c>
      <c r="AC239">
        <v>504.46</v>
      </c>
      <c r="AD239" t="s">
        <v>160</v>
      </c>
      <c r="AE239" s="24">
        <v>60535.199999999997</v>
      </c>
      <c r="AF239">
        <v>0</v>
      </c>
      <c r="AG239" s="24">
        <v>60535.199999999997</v>
      </c>
      <c r="AH239">
        <v>0</v>
      </c>
      <c r="AI239">
        <v>0</v>
      </c>
      <c r="AJ239">
        <v>0</v>
      </c>
      <c r="AK239">
        <v>0</v>
      </c>
      <c r="AL239" s="24">
        <v>60535.199999999997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s="24">
        <v>60535.199999999997</v>
      </c>
      <c r="AV239">
        <v>0</v>
      </c>
      <c r="AW239">
        <v>0</v>
      </c>
      <c r="AX239">
        <v>311000</v>
      </c>
      <c r="AY239" t="s">
        <v>161</v>
      </c>
      <c r="AZ239">
        <v>2.27</v>
      </c>
      <c r="BA239">
        <v>2.27</v>
      </c>
      <c r="BB239">
        <v>0</v>
      </c>
      <c r="BC239" t="s">
        <v>247</v>
      </c>
      <c r="BD239">
        <v>1511</v>
      </c>
      <c r="BE239" t="s">
        <v>174</v>
      </c>
      <c r="BF239">
        <v>5094124112</v>
      </c>
      <c r="BG239" t="s">
        <v>334</v>
      </c>
    </row>
    <row r="240" spans="1:59">
      <c r="A240">
        <v>1115</v>
      </c>
      <c r="B240">
        <v>1115</v>
      </c>
      <c r="C240">
        <v>10</v>
      </c>
      <c r="D240">
        <v>2</v>
      </c>
      <c r="E240" t="s">
        <v>152</v>
      </c>
      <c r="F240" t="s">
        <v>153</v>
      </c>
      <c r="G240" t="s">
        <v>154</v>
      </c>
      <c r="H240">
        <v>1526006045</v>
      </c>
      <c r="I240">
        <v>1000006308</v>
      </c>
      <c r="L240" t="s">
        <v>334</v>
      </c>
      <c r="M240">
        <v>5100001603</v>
      </c>
      <c r="N240" t="s">
        <v>155</v>
      </c>
      <c r="O240" t="s">
        <v>156</v>
      </c>
      <c r="P240">
        <v>4110025468</v>
      </c>
      <c r="Q240" t="s">
        <v>165</v>
      </c>
      <c r="R240">
        <v>5000</v>
      </c>
      <c r="S240" t="s">
        <v>166</v>
      </c>
      <c r="V240" t="s">
        <v>167</v>
      </c>
      <c r="W240">
        <v>1502020102</v>
      </c>
      <c r="X240" t="s">
        <v>58</v>
      </c>
      <c r="Y240" t="str">
        <f>VLOOKUP(W240,Sheet4!$A$5:$B$71,2,0)</f>
        <v>MAXIMA HD</v>
      </c>
      <c r="Z240">
        <v>87082900</v>
      </c>
      <c r="AA240">
        <v>8</v>
      </c>
      <c r="AB240" t="s">
        <v>159</v>
      </c>
      <c r="AC240" s="24">
        <v>8593.51</v>
      </c>
      <c r="AD240" t="s">
        <v>160</v>
      </c>
      <c r="AE240" s="24">
        <v>68748.08</v>
      </c>
      <c r="AF240">
        <v>0</v>
      </c>
      <c r="AG240" s="24">
        <v>68748.08</v>
      </c>
      <c r="AH240">
        <v>0</v>
      </c>
      <c r="AI240">
        <v>0</v>
      </c>
      <c r="AJ240">
        <v>0</v>
      </c>
      <c r="AK240">
        <v>0</v>
      </c>
      <c r="AL240" s="24">
        <v>68748.08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s="24">
        <v>68748.08</v>
      </c>
      <c r="AV240">
        <v>0</v>
      </c>
      <c r="AW240">
        <v>0</v>
      </c>
      <c r="AX240">
        <v>311000</v>
      </c>
      <c r="AY240" t="s">
        <v>161</v>
      </c>
      <c r="AZ240">
        <v>93.34</v>
      </c>
      <c r="BA240">
        <v>75.430000000000007</v>
      </c>
      <c r="BB240">
        <v>17.91</v>
      </c>
      <c r="BC240" t="s">
        <v>168</v>
      </c>
      <c r="BD240">
        <v>1509</v>
      </c>
      <c r="BE240" t="s">
        <v>169</v>
      </c>
      <c r="BF240">
        <v>5094114897</v>
      </c>
      <c r="BG240" t="s">
        <v>334</v>
      </c>
    </row>
    <row r="241" spans="1:59">
      <c r="A241">
        <v>1115</v>
      </c>
      <c r="B241">
        <v>1115</v>
      </c>
      <c r="C241">
        <v>10</v>
      </c>
      <c r="D241">
        <v>2</v>
      </c>
      <c r="E241" t="s">
        <v>152</v>
      </c>
      <c r="F241" t="s">
        <v>153</v>
      </c>
      <c r="G241" t="s">
        <v>154</v>
      </c>
      <c r="H241">
        <v>1526006044</v>
      </c>
      <c r="I241">
        <v>1000006307</v>
      </c>
      <c r="L241" t="s">
        <v>334</v>
      </c>
      <c r="M241">
        <v>5100001603</v>
      </c>
      <c r="N241" t="s">
        <v>155</v>
      </c>
      <c r="O241" t="s">
        <v>156</v>
      </c>
      <c r="P241">
        <v>4110025468</v>
      </c>
      <c r="Q241" t="s">
        <v>165</v>
      </c>
      <c r="R241">
        <v>5000</v>
      </c>
      <c r="S241" t="s">
        <v>166</v>
      </c>
      <c r="V241" t="s">
        <v>167</v>
      </c>
      <c r="W241">
        <v>1502020102</v>
      </c>
      <c r="X241" t="s">
        <v>58</v>
      </c>
      <c r="Y241" t="str">
        <f>VLOOKUP(W241,Sheet4!$A$5:$B$71,2,0)</f>
        <v>MAXIMA HD</v>
      </c>
      <c r="Z241">
        <v>87082900</v>
      </c>
      <c r="AA241">
        <v>8</v>
      </c>
      <c r="AB241" t="s">
        <v>159</v>
      </c>
      <c r="AC241" s="24">
        <v>8593.51</v>
      </c>
      <c r="AD241" t="s">
        <v>160</v>
      </c>
      <c r="AE241" s="24">
        <v>68748.08</v>
      </c>
      <c r="AF241">
        <v>0</v>
      </c>
      <c r="AG241" s="24">
        <v>68748.08</v>
      </c>
      <c r="AH241">
        <v>0</v>
      </c>
      <c r="AI241">
        <v>0</v>
      </c>
      <c r="AJ241">
        <v>0</v>
      </c>
      <c r="AK241">
        <v>0</v>
      </c>
      <c r="AL241" s="24">
        <v>68748.08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s="24">
        <v>68748.08</v>
      </c>
      <c r="AV241">
        <v>0</v>
      </c>
      <c r="AW241">
        <v>0</v>
      </c>
      <c r="AX241">
        <v>311000</v>
      </c>
      <c r="AY241" t="s">
        <v>161</v>
      </c>
      <c r="AZ241">
        <v>93.34</v>
      </c>
      <c r="BA241">
        <v>75.430000000000007</v>
      </c>
      <c r="BB241">
        <v>17.91</v>
      </c>
      <c r="BC241" t="s">
        <v>168</v>
      </c>
      <c r="BD241">
        <v>1509</v>
      </c>
      <c r="BE241" t="s">
        <v>169</v>
      </c>
      <c r="BF241">
        <v>5094117183</v>
      </c>
      <c r="BG241" t="s">
        <v>334</v>
      </c>
    </row>
    <row r="242" spans="1:59">
      <c r="A242">
        <v>1115</v>
      </c>
      <c r="B242">
        <v>1115</v>
      </c>
      <c r="C242">
        <v>10</v>
      </c>
      <c r="D242">
        <v>2</v>
      </c>
      <c r="E242" t="s">
        <v>152</v>
      </c>
      <c r="F242" t="s">
        <v>153</v>
      </c>
      <c r="G242" t="s">
        <v>154</v>
      </c>
      <c r="H242">
        <v>1526006043</v>
      </c>
      <c r="I242">
        <v>1000006306</v>
      </c>
      <c r="L242" t="s">
        <v>334</v>
      </c>
      <c r="M242">
        <v>5100001603</v>
      </c>
      <c r="N242" t="s">
        <v>155</v>
      </c>
      <c r="O242" t="s">
        <v>156</v>
      </c>
      <c r="P242">
        <v>4110025468</v>
      </c>
      <c r="Q242" t="s">
        <v>165</v>
      </c>
      <c r="R242">
        <v>5000</v>
      </c>
      <c r="S242" t="s">
        <v>166</v>
      </c>
      <c r="V242" t="s">
        <v>167</v>
      </c>
      <c r="W242">
        <v>1502020102</v>
      </c>
      <c r="X242" t="s">
        <v>58</v>
      </c>
      <c r="Y242" t="str">
        <f>VLOOKUP(W242,Sheet4!$A$5:$B$71,2,0)</f>
        <v>MAXIMA HD</v>
      </c>
      <c r="Z242">
        <v>87082900</v>
      </c>
      <c r="AA242">
        <v>8</v>
      </c>
      <c r="AB242" t="s">
        <v>159</v>
      </c>
      <c r="AC242" s="24">
        <v>8593.51</v>
      </c>
      <c r="AD242" t="s">
        <v>160</v>
      </c>
      <c r="AE242" s="24">
        <v>68748.08</v>
      </c>
      <c r="AF242">
        <v>0</v>
      </c>
      <c r="AG242" s="24">
        <v>68748.08</v>
      </c>
      <c r="AH242">
        <v>0</v>
      </c>
      <c r="AI242">
        <v>0</v>
      </c>
      <c r="AJ242">
        <v>0</v>
      </c>
      <c r="AK242">
        <v>0</v>
      </c>
      <c r="AL242" s="24">
        <v>68748.08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s="24">
        <v>68748.08</v>
      </c>
      <c r="AV242">
        <v>0</v>
      </c>
      <c r="AW242">
        <v>0</v>
      </c>
      <c r="AX242">
        <v>311000</v>
      </c>
      <c r="AY242" t="s">
        <v>161</v>
      </c>
      <c r="AZ242">
        <v>93.34</v>
      </c>
      <c r="BA242">
        <v>75.430000000000007</v>
      </c>
      <c r="BB242">
        <v>17.91</v>
      </c>
      <c r="BC242" t="s">
        <v>168</v>
      </c>
      <c r="BD242">
        <v>1509</v>
      </c>
      <c r="BE242" t="s">
        <v>169</v>
      </c>
      <c r="BF242">
        <v>5094114931</v>
      </c>
      <c r="BG242" t="s">
        <v>334</v>
      </c>
    </row>
    <row r="243" spans="1:59">
      <c r="A243">
        <v>1115</v>
      </c>
      <c r="B243">
        <v>1115</v>
      </c>
      <c r="C243">
        <v>10</v>
      </c>
      <c r="D243">
        <v>2</v>
      </c>
      <c r="E243" t="s">
        <v>152</v>
      </c>
      <c r="F243" t="s">
        <v>153</v>
      </c>
      <c r="G243" t="s">
        <v>154</v>
      </c>
      <c r="H243">
        <v>1526006041</v>
      </c>
      <c r="I243">
        <v>1000006304</v>
      </c>
      <c r="L243" t="s">
        <v>334</v>
      </c>
      <c r="M243">
        <v>5100001928</v>
      </c>
      <c r="N243" t="s">
        <v>155</v>
      </c>
      <c r="O243" t="s">
        <v>156</v>
      </c>
      <c r="P243">
        <v>4110057393</v>
      </c>
      <c r="Q243" t="s">
        <v>192</v>
      </c>
      <c r="R243">
        <v>5000</v>
      </c>
      <c r="S243" t="s">
        <v>166</v>
      </c>
      <c r="V243" t="s">
        <v>167</v>
      </c>
      <c r="W243">
        <v>1502020122</v>
      </c>
      <c r="X243" t="s">
        <v>70</v>
      </c>
      <c r="Y243" t="str">
        <f>VLOOKUP(W243,Sheet4!$A$5:$B$71,2,0)</f>
        <v>MAX UG NEW EV</v>
      </c>
      <c r="Z243">
        <v>87082900</v>
      </c>
      <c r="AA243">
        <v>10</v>
      </c>
      <c r="AB243" t="s">
        <v>159</v>
      </c>
      <c r="AC243" s="24">
        <v>9566.51</v>
      </c>
      <c r="AD243" t="s">
        <v>160</v>
      </c>
      <c r="AE243" s="24">
        <v>95665.1</v>
      </c>
      <c r="AF243">
        <v>0</v>
      </c>
      <c r="AG243" s="24">
        <v>95665.1</v>
      </c>
      <c r="AH243">
        <v>0</v>
      </c>
      <c r="AI243">
        <v>0</v>
      </c>
      <c r="AJ243">
        <v>0</v>
      </c>
      <c r="AK243">
        <v>0</v>
      </c>
      <c r="AL243" s="24">
        <v>95665.1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s="24">
        <v>95665.1</v>
      </c>
      <c r="AV243">
        <v>0</v>
      </c>
      <c r="AW243">
        <v>0</v>
      </c>
      <c r="AX243">
        <v>311000</v>
      </c>
      <c r="AY243" t="s">
        <v>161</v>
      </c>
      <c r="AZ243">
        <v>0</v>
      </c>
      <c r="BA243">
        <v>61</v>
      </c>
      <c r="BB243">
        <v>-61</v>
      </c>
      <c r="BC243" t="s">
        <v>193</v>
      </c>
      <c r="BD243">
        <v>1509</v>
      </c>
      <c r="BE243" t="s">
        <v>169</v>
      </c>
      <c r="BF243">
        <v>5094114798</v>
      </c>
      <c r="BG243" t="s">
        <v>334</v>
      </c>
    </row>
    <row r="244" spans="1:59">
      <c r="A244">
        <v>1115</v>
      </c>
      <c r="B244">
        <v>1115</v>
      </c>
      <c r="C244">
        <v>10</v>
      </c>
      <c r="D244">
        <v>2</v>
      </c>
      <c r="E244" t="s">
        <v>152</v>
      </c>
      <c r="F244" t="s">
        <v>153</v>
      </c>
      <c r="G244" t="s">
        <v>154</v>
      </c>
      <c r="H244">
        <v>1526006040</v>
      </c>
      <c r="I244">
        <v>1000006300</v>
      </c>
      <c r="L244" t="s">
        <v>334</v>
      </c>
      <c r="M244">
        <v>5100001928</v>
      </c>
      <c r="N244" t="s">
        <v>155</v>
      </c>
      <c r="O244" t="s">
        <v>156</v>
      </c>
      <c r="P244">
        <v>4110057393</v>
      </c>
      <c r="Q244" t="s">
        <v>192</v>
      </c>
      <c r="R244">
        <v>5000</v>
      </c>
      <c r="S244" t="s">
        <v>166</v>
      </c>
      <c r="V244" t="s">
        <v>167</v>
      </c>
      <c r="W244">
        <v>1502020122</v>
      </c>
      <c r="X244" t="s">
        <v>70</v>
      </c>
      <c r="Y244" t="str">
        <f>VLOOKUP(W244,Sheet4!$A$5:$B$71,2,0)</f>
        <v>MAX UG NEW EV</v>
      </c>
      <c r="Z244">
        <v>87082900</v>
      </c>
      <c r="AA244">
        <v>10</v>
      </c>
      <c r="AB244" t="s">
        <v>159</v>
      </c>
      <c r="AC244" s="24">
        <v>9566.51</v>
      </c>
      <c r="AD244" t="s">
        <v>160</v>
      </c>
      <c r="AE244" s="24">
        <v>95665.1</v>
      </c>
      <c r="AF244">
        <v>0</v>
      </c>
      <c r="AG244" s="24">
        <v>95665.1</v>
      </c>
      <c r="AH244">
        <v>0</v>
      </c>
      <c r="AI244">
        <v>0</v>
      </c>
      <c r="AJ244">
        <v>0</v>
      </c>
      <c r="AK244">
        <v>0</v>
      </c>
      <c r="AL244" s="24">
        <v>95665.1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s="24">
        <v>95665.1</v>
      </c>
      <c r="AV244">
        <v>0</v>
      </c>
      <c r="AW244">
        <v>0</v>
      </c>
      <c r="AX244">
        <v>311000</v>
      </c>
      <c r="AY244" t="s">
        <v>161</v>
      </c>
      <c r="AZ244">
        <v>0</v>
      </c>
      <c r="BA244">
        <v>61</v>
      </c>
      <c r="BB244">
        <v>-61</v>
      </c>
      <c r="BC244" t="s">
        <v>193</v>
      </c>
      <c r="BD244">
        <v>1509</v>
      </c>
      <c r="BE244" t="s">
        <v>169</v>
      </c>
      <c r="BF244">
        <v>5094116987</v>
      </c>
      <c r="BG244" t="s">
        <v>334</v>
      </c>
    </row>
    <row r="245" spans="1:59">
      <c r="A245">
        <v>1115</v>
      </c>
      <c r="B245">
        <v>1115</v>
      </c>
      <c r="C245">
        <v>10</v>
      </c>
      <c r="D245">
        <v>2</v>
      </c>
      <c r="E245" t="s">
        <v>152</v>
      </c>
      <c r="F245" t="s">
        <v>153</v>
      </c>
      <c r="G245" t="s">
        <v>154</v>
      </c>
      <c r="H245">
        <v>1526006039</v>
      </c>
      <c r="I245">
        <v>1000006299</v>
      </c>
      <c r="L245" t="s">
        <v>334</v>
      </c>
      <c r="M245">
        <v>5100001928</v>
      </c>
      <c r="N245" t="s">
        <v>155</v>
      </c>
      <c r="O245" t="s">
        <v>156</v>
      </c>
      <c r="P245">
        <v>4110057393</v>
      </c>
      <c r="Q245" t="s">
        <v>192</v>
      </c>
      <c r="R245">
        <v>5000</v>
      </c>
      <c r="S245" t="s">
        <v>166</v>
      </c>
      <c r="V245" t="s">
        <v>167</v>
      </c>
      <c r="W245">
        <v>1502020122</v>
      </c>
      <c r="X245" t="s">
        <v>70</v>
      </c>
      <c r="Y245" t="str">
        <f>VLOOKUP(W245,Sheet4!$A$5:$B$71,2,0)</f>
        <v>MAX UG NEW EV</v>
      </c>
      <c r="Z245">
        <v>87082900</v>
      </c>
      <c r="AA245">
        <v>10</v>
      </c>
      <c r="AB245" t="s">
        <v>159</v>
      </c>
      <c r="AC245" s="24">
        <v>9566.51</v>
      </c>
      <c r="AD245" t="s">
        <v>160</v>
      </c>
      <c r="AE245" s="24">
        <v>95665.1</v>
      </c>
      <c r="AF245">
        <v>0</v>
      </c>
      <c r="AG245" s="24">
        <v>95665.1</v>
      </c>
      <c r="AH245">
        <v>0</v>
      </c>
      <c r="AI245">
        <v>0</v>
      </c>
      <c r="AJ245">
        <v>0</v>
      </c>
      <c r="AK245">
        <v>0</v>
      </c>
      <c r="AL245" s="24">
        <v>95665.1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s="24">
        <v>95665.1</v>
      </c>
      <c r="AV245">
        <v>0</v>
      </c>
      <c r="AW245">
        <v>0</v>
      </c>
      <c r="AX245">
        <v>311000</v>
      </c>
      <c r="AY245" t="s">
        <v>161</v>
      </c>
      <c r="AZ245">
        <v>0</v>
      </c>
      <c r="BA245">
        <v>61</v>
      </c>
      <c r="BB245">
        <v>-61</v>
      </c>
      <c r="BC245" t="s">
        <v>193</v>
      </c>
      <c r="BD245">
        <v>1509</v>
      </c>
      <c r="BE245" t="s">
        <v>169</v>
      </c>
      <c r="BF245">
        <v>5094115450</v>
      </c>
      <c r="BG245" t="s">
        <v>334</v>
      </c>
    </row>
    <row r="246" spans="1:59">
      <c r="A246">
        <v>1115</v>
      </c>
      <c r="B246">
        <v>1115</v>
      </c>
      <c r="C246">
        <v>10</v>
      </c>
      <c r="D246">
        <v>2</v>
      </c>
      <c r="E246" t="s">
        <v>152</v>
      </c>
      <c r="F246" t="s">
        <v>153</v>
      </c>
      <c r="G246" t="s">
        <v>154</v>
      </c>
      <c r="H246">
        <v>1526006038</v>
      </c>
      <c r="I246">
        <v>1000006298</v>
      </c>
      <c r="L246" t="s">
        <v>334</v>
      </c>
      <c r="M246">
        <v>5100001928</v>
      </c>
      <c r="N246" t="s">
        <v>155</v>
      </c>
      <c r="O246" t="s">
        <v>156</v>
      </c>
      <c r="P246">
        <v>4110057393</v>
      </c>
      <c r="Q246" t="s">
        <v>192</v>
      </c>
      <c r="R246">
        <v>5000</v>
      </c>
      <c r="S246" t="s">
        <v>166</v>
      </c>
      <c r="V246" t="s">
        <v>167</v>
      </c>
      <c r="W246">
        <v>1502020122</v>
      </c>
      <c r="X246" t="s">
        <v>70</v>
      </c>
      <c r="Y246" t="str">
        <f>VLOOKUP(W246,Sheet4!$A$5:$B$71,2,0)</f>
        <v>MAX UG NEW EV</v>
      </c>
      <c r="Z246">
        <v>87082900</v>
      </c>
      <c r="AA246">
        <v>10</v>
      </c>
      <c r="AB246" t="s">
        <v>159</v>
      </c>
      <c r="AC246" s="24">
        <v>9566.51</v>
      </c>
      <c r="AD246" t="s">
        <v>160</v>
      </c>
      <c r="AE246" s="24">
        <v>95665.1</v>
      </c>
      <c r="AF246">
        <v>0</v>
      </c>
      <c r="AG246" s="24">
        <v>95665.1</v>
      </c>
      <c r="AH246">
        <v>0</v>
      </c>
      <c r="AI246">
        <v>0</v>
      </c>
      <c r="AJ246">
        <v>0</v>
      </c>
      <c r="AK246">
        <v>0</v>
      </c>
      <c r="AL246" s="24">
        <v>95665.1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s="24">
        <v>95665.1</v>
      </c>
      <c r="AV246">
        <v>0</v>
      </c>
      <c r="AW246">
        <v>0</v>
      </c>
      <c r="AX246">
        <v>311000</v>
      </c>
      <c r="AY246" t="s">
        <v>161</v>
      </c>
      <c r="AZ246">
        <v>0</v>
      </c>
      <c r="BA246">
        <v>61</v>
      </c>
      <c r="BB246">
        <v>-61</v>
      </c>
      <c r="BC246" t="s">
        <v>193</v>
      </c>
      <c r="BD246">
        <v>1509</v>
      </c>
      <c r="BE246" t="s">
        <v>169</v>
      </c>
      <c r="BF246">
        <v>5094114953</v>
      </c>
      <c r="BG246" t="s">
        <v>334</v>
      </c>
    </row>
    <row r="247" spans="1:59">
      <c r="A247">
        <v>1115</v>
      </c>
      <c r="B247">
        <v>1115</v>
      </c>
      <c r="C247">
        <v>10</v>
      </c>
      <c r="D247">
        <v>2</v>
      </c>
      <c r="E247" t="s">
        <v>152</v>
      </c>
      <c r="F247" t="s">
        <v>153</v>
      </c>
      <c r="G247" t="s">
        <v>154</v>
      </c>
      <c r="H247">
        <v>1526006037</v>
      </c>
      <c r="I247">
        <v>1000006297</v>
      </c>
      <c r="L247" t="s">
        <v>334</v>
      </c>
      <c r="M247">
        <v>5100001928</v>
      </c>
      <c r="N247" t="s">
        <v>155</v>
      </c>
      <c r="O247" t="s">
        <v>156</v>
      </c>
      <c r="P247">
        <v>4110057393</v>
      </c>
      <c r="Q247" t="s">
        <v>192</v>
      </c>
      <c r="R247">
        <v>5000</v>
      </c>
      <c r="S247" t="s">
        <v>166</v>
      </c>
      <c r="V247" t="s">
        <v>167</v>
      </c>
      <c r="W247">
        <v>1502020122</v>
      </c>
      <c r="X247" t="s">
        <v>70</v>
      </c>
      <c r="Y247" t="str">
        <f>VLOOKUP(W247,Sheet4!$A$5:$B$71,2,0)</f>
        <v>MAX UG NEW EV</v>
      </c>
      <c r="Z247">
        <v>87082900</v>
      </c>
      <c r="AA247">
        <v>10</v>
      </c>
      <c r="AB247" t="s">
        <v>159</v>
      </c>
      <c r="AC247" s="24">
        <v>9566.51</v>
      </c>
      <c r="AD247" t="s">
        <v>160</v>
      </c>
      <c r="AE247" s="24">
        <v>95665.1</v>
      </c>
      <c r="AF247">
        <v>0</v>
      </c>
      <c r="AG247" s="24">
        <v>95665.1</v>
      </c>
      <c r="AH247">
        <v>0</v>
      </c>
      <c r="AI247">
        <v>0</v>
      </c>
      <c r="AJ247">
        <v>0</v>
      </c>
      <c r="AK247">
        <v>0</v>
      </c>
      <c r="AL247" s="24">
        <v>95665.1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s="24">
        <v>95665.1</v>
      </c>
      <c r="AV247">
        <v>0</v>
      </c>
      <c r="AW247">
        <v>0</v>
      </c>
      <c r="AX247">
        <v>311000</v>
      </c>
      <c r="AY247" t="s">
        <v>161</v>
      </c>
      <c r="AZ247">
        <v>0</v>
      </c>
      <c r="BA247">
        <v>61</v>
      </c>
      <c r="BB247">
        <v>-61</v>
      </c>
      <c r="BC247" t="s">
        <v>193</v>
      </c>
      <c r="BD247">
        <v>1509</v>
      </c>
      <c r="BE247" t="s">
        <v>169</v>
      </c>
      <c r="BF247">
        <v>5094115362</v>
      </c>
      <c r="BG247" t="s">
        <v>334</v>
      </c>
    </row>
    <row r="248" spans="1:59">
      <c r="A248">
        <v>1115</v>
      </c>
      <c r="B248">
        <v>1115</v>
      </c>
      <c r="C248">
        <v>10</v>
      </c>
      <c r="D248">
        <v>2</v>
      </c>
      <c r="E248" t="s">
        <v>152</v>
      </c>
      <c r="F248" t="s">
        <v>153</v>
      </c>
      <c r="G248" t="s">
        <v>154</v>
      </c>
      <c r="H248">
        <v>1526006035</v>
      </c>
      <c r="I248">
        <v>1000006296</v>
      </c>
      <c r="L248" t="s">
        <v>334</v>
      </c>
      <c r="M248">
        <v>5100001928</v>
      </c>
      <c r="N248" t="s">
        <v>155</v>
      </c>
      <c r="O248" t="s">
        <v>156</v>
      </c>
      <c r="P248">
        <v>4110057393</v>
      </c>
      <c r="Q248" t="s">
        <v>192</v>
      </c>
      <c r="R248">
        <v>5000</v>
      </c>
      <c r="S248" t="s">
        <v>166</v>
      </c>
      <c r="V248" t="s">
        <v>167</v>
      </c>
      <c r="W248">
        <v>1502020122</v>
      </c>
      <c r="X248" t="s">
        <v>70</v>
      </c>
      <c r="Y248" t="str">
        <f>VLOOKUP(W248,Sheet4!$A$5:$B$71,2,0)</f>
        <v>MAX UG NEW EV</v>
      </c>
      <c r="Z248">
        <v>87082900</v>
      </c>
      <c r="AA248">
        <v>10</v>
      </c>
      <c r="AB248" t="s">
        <v>159</v>
      </c>
      <c r="AC248" s="24">
        <v>9566.51</v>
      </c>
      <c r="AD248" t="s">
        <v>160</v>
      </c>
      <c r="AE248" s="24">
        <v>95665.1</v>
      </c>
      <c r="AF248">
        <v>0</v>
      </c>
      <c r="AG248" s="24">
        <v>95665.1</v>
      </c>
      <c r="AH248">
        <v>0</v>
      </c>
      <c r="AI248">
        <v>0</v>
      </c>
      <c r="AJ248">
        <v>0</v>
      </c>
      <c r="AK248">
        <v>0</v>
      </c>
      <c r="AL248" s="24">
        <v>95665.1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s="24">
        <v>95665.1</v>
      </c>
      <c r="AV248">
        <v>0</v>
      </c>
      <c r="AW248">
        <v>0</v>
      </c>
      <c r="AX248">
        <v>311000</v>
      </c>
      <c r="AY248" t="s">
        <v>161</v>
      </c>
      <c r="AZ248">
        <v>0</v>
      </c>
      <c r="BA248">
        <v>61</v>
      </c>
      <c r="BB248">
        <v>-61</v>
      </c>
      <c r="BC248" t="s">
        <v>193</v>
      </c>
      <c r="BD248">
        <v>1509</v>
      </c>
      <c r="BE248" t="s">
        <v>169</v>
      </c>
      <c r="BF248">
        <v>5094113775</v>
      </c>
      <c r="BG248" t="s">
        <v>334</v>
      </c>
    </row>
    <row r="249" spans="1:59">
      <c r="A249">
        <v>1115</v>
      </c>
      <c r="B249">
        <v>1115</v>
      </c>
      <c r="C249">
        <v>10</v>
      </c>
      <c r="D249">
        <v>2</v>
      </c>
      <c r="E249" t="s">
        <v>152</v>
      </c>
      <c r="F249" t="s">
        <v>153</v>
      </c>
      <c r="G249" t="s">
        <v>154</v>
      </c>
      <c r="H249">
        <v>1526006034</v>
      </c>
      <c r="I249">
        <v>1000006295</v>
      </c>
      <c r="L249" t="s">
        <v>334</v>
      </c>
      <c r="M249">
        <v>5100001636</v>
      </c>
      <c r="N249" t="s">
        <v>155</v>
      </c>
      <c r="O249" t="s">
        <v>156</v>
      </c>
      <c r="P249">
        <v>4110026445</v>
      </c>
      <c r="Q249" t="s">
        <v>170</v>
      </c>
      <c r="R249">
        <v>5000</v>
      </c>
      <c r="S249" t="s">
        <v>166</v>
      </c>
      <c r="V249" t="s">
        <v>167</v>
      </c>
      <c r="W249">
        <v>1502020104</v>
      </c>
      <c r="X249" t="s">
        <v>26</v>
      </c>
      <c r="Y249" t="str">
        <f>VLOOKUP(W249,Sheet4!$A$5:$B$71,2,0)</f>
        <v>RE STYLING</v>
      </c>
      <c r="Z249">
        <v>87082900</v>
      </c>
      <c r="AA249">
        <v>15</v>
      </c>
      <c r="AB249" t="s">
        <v>159</v>
      </c>
      <c r="AC249" s="24">
        <v>6585.55</v>
      </c>
      <c r="AD249" t="s">
        <v>160</v>
      </c>
      <c r="AE249" s="24">
        <v>98783.25</v>
      </c>
      <c r="AF249">
        <v>0</v>
      </c>
      <c r="AG249" s="24">
        <v>98783.25</v>
      </c>
      <c r="AH249">
        <v>0</v>
      </c>
      <c r="AI249">
        <v>0</v>
      </c>
      <c r="AJ249">
        <v>0</v>
      </c>
      <c r="AK249">
        <v>0</v>
      </c>
      <c r="AL249" s="24">
        <v>98783.25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s="24">
        <v>98783.25</v>
      </c>
      <c r="AV249">
        <v>0</v>
      </c>
      <c r="AW249">
        <v>0</v>
      </c>
      <c r="AX249">
        <v>311000</v>
      </c>
      <c r="AY249" t="s">
        <v>161</v>
      </c>
      <c r="AZ249">
        <v>49.75</v>
      </c>
      <c r="BA249">
        <v>49.75</v>
      </c>
      <c r="BB249">
        <v>0</v>
      </c>
      <c r="BC249" t="s">
        <v>171</v>
      </c>
      <c r="BD249">
        <v>1509</v>
      </c>
      <c r="BE249" t="s">
        <v>169</v>
      </c>
      <c r="BF249">
        <v>5094129815</v>
      </c>
      <c r="BG249" t="s">
        <v>334</v>
      </c>
    </row>
    <row r="250" spans="1:59">
      <c r="A250">
        <v>1115</v>
      </c>
      <c r="B250">
        <v>1115</v>
      </c>
      <c r="C250">
        <v>10</v>
      </c>
      <c r="D250">
        <v>2</v>
      </c>
      <c r="E250" t="s">
        <v>152</v>
      </c>
      <c r="F250" t="s">
        <v>153</v>
      </c>
      <c r="G250" t="s">
        <v>154</v>
      </c>
      <c r="H250">
        <v>1526006033</v>
      </c>
      <c r="I250">
        <v>1000006294</v>
      </c>
      <c r="L250" t="s">
        <v>334</v>
      </c>
      <c r="M250">
        <v>5100001636</v>
      </c>
      <c r="N250" t="s">
        <v>155</v>
      </c>
      <c r="O250" t="s">
        <v>156</v>
      </c>
      <c r="P250">
        <v>4110026445</v>
      </c>
      <c r="Q250" t="s">
        <v>170</v>
      </c>
      <c r="R250">
        <v>5000</v>
      </c>
      <c r="S250" t="s">
        <v>166</v>
      </c>
      <c r="V250" t="s">
        <v>167</v>
      </c>
      <c r="W250">
        <v>1502020104</v>
      </c>
      <c r="X250" t="s">
        <v>26</v>
      </c>
      <c r="Y250" t="str">
        <f>VLOOKUP(W250,Sheet4!$A$5:$B$71,2,0)</f>
        <v>RE STYLING</v>
      </c>
      <c r="Z250">
        <v>87082900</v>
      </c>
      <c r="AA250">
        <v>15</v>
      </c>
      <c r="AB250" t="s">
        <v>159</v>
      </c>
      <c r="AC250" s="24">
        <v>6585.55</v>
      </c>
      <c r="AD250" t="s">
        <v>160</v>
      </c>
      <c r="AE250" s="24">
        <v>98783.25</v>
      </c>
      <c r="AF250">
        <v>0</v>
      </c>
      <c r="AG250" s="24">
        <v>98783.25</v>
      </c>
      <c r="AH250">
        <v>0</v>
      </c>
      <c r="AI250">
        <v>0</v>
      </c>
      <c r="AJ250">
        <v>0</v>
      </c>
      <c r="AK250">
        <v>0</v>
      </c>
      <c r="AL250" s="24">
        <v>98783.25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s="24">
        <v>98783.25</v>
      </c>
      <c r="AV250">
        <v>0</v>
      </c>
      <c r="AW250">
        <v>0</v>
      </c>
      <c r="AX250">
        <v>311000</v>
      </c>
      <c r="AY250" t="s">
        <v>161</v>
      </c>
      <c r="AZ250">
        <v>49.75</v>
      </c>
      <c r="BA250">
        <v>49.75</v>
      </c>
      <c r="BB250">
        <v>0</v>
      </c>
      <c r="BC250" t="s">
        <v>171</v>
      </c>
      <c r="BD250">
        <v>1509</v>
      </c>
      <c r="BE250" t="s">
        <v>169</v>
      </c>
      <c r="BF250">
        <v>5094115575</v>
      </c>
      <c r="BG250" t="s">
        <v>334</v>
      </c>
    </row>
    <row r="251" spans="1:59">
      <c r="A251">
        <v>1115</v>
      </c>
      <c r="B251">
        <v>1115</v>
      </c>
      <c r="C251">
        <v>10</v>
      </c>
      <c r="D251">
        <v>2</v>
      </c>
      <c r="E251" t="s">
        <v>152</v>
      </c>
      <c r="F251" t="s">
        <v>153</v>
      </c>
      <c r="G251" t="s">
        <v>154</v>
      </c>
      <c r="H251">
        <v>1526006032</v>
      </c>
      <c r="I251">
        <v>1000006293</v>
      </c>
      <c r="L251" t="s">
        <v>334</v>
      </c>
      <c r="M251">
        <v>5100001636</v>
      </c>
      <c r="N251" t="s">
        <v>155</v>
      </c>
      <c r="O251" t="s">
        <v>156</v>
      </c>
      <c r="P251">
        <v>4110026445</v>
      </c>
      <c r="Q251" t="s">
        <v>170</v>
      </c>
      <c r="R251">
        <v>5000</v>
      </c>
      <c r="S251" t="s">
        <v>166</v>
      </c>
      <c r="V251" t="s">
        <v>167</v>
      </c>
      <c r="W251">
        <v>1502020104</v>
      </c>
      <c r="X251" t="s">
        <v>26</v>
      </c>
      <c r="Y251" t="str">
        <f>VLOOKUP(W251,Sheet4!$A$5:$B$71,2,0)</f>
        <v>RE STYLING</v>
      </c>
      <c r="Z251">
        <v>87082900</v>
      </c>
      <c r="AA251">
        <v>15</v>
      </c>
      <c r="AB251" t="s">
        <v>159</v>
      </c>
      <c r="AC251" s="24">
        <v>6585.55</v>
      </c>
      <c r="AD251" t="s">
        <v>160</v>
      </c>
      <c r="AE251" s="24">
        <v>98783.25</v>
      </c>
      <c r="AF251">
        <v>0</v>
      </c>
      <c r="AG251" s="24">
        <v>98783.25</v>
      </c>
      <c r="AH251">
        <v>0</v>
      </c>
      <c r="AI251">
        <v>0</v>
      </c>
      <c r="AJ251">
        <v>0</v>
      </c>
      <c r="AK251">
        <v>0</v>
      </c>
      <c r="AL251" s="24">
        <v>98783.25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s="24">
        <v>98783.25</v>
      </c>
      <c r="AV251">
        <v>0</v>
      </c>
      <c r="AW251">
        <v>0</v>
      </c>
      <c r="AX251">
        <v>311000</v>
      </c>
      <c r="AY251" t="s">
        <v>161</v>
      </c>
      <c r="AZ251">
        <v>49.75</v>
      </c>
      <c r="BA251">
        <v>49.75</v>
      </c>
      <c r="BB251">
        <v>0</v>
      </c>
      <c r="BC251" t="s">
        <v>171</v>
      </c>
      <c r="BD251">
        <v>1509</v>
      </c>
      <c r="BE251" t="s">
        <v>169</v>
      </c>
      <c r="BF251">
        <v>5094129814</v>
      </c>
      <c r="BG251" t="s">
        <v>334</v>
      </c>
    </row>
    <row r="252" spans="1:59">
      <c r="A252">
        <v>1115</v>
      </c>
      <c r="B252">
        <v>1115</v>
      </c>
      <c r="C252">
        <v>10</v>
      </c>
      <c r="D252">
        <v>2</v>
      </c>
      <c r="E252" t="s">
        <v>152</v>
      </c>
      <c r="F252" t="s">
        <v>153</v>
      </c>
      <c r="G252" t="s">
        <v>154</v>
      </c>
      <c r="H252">
        <v>1526006031</v>
      </c>
      <c r="I252">
        <v>1000006292</v>
      </c>
      <c r="L252" t="s">
        <v>334</v>
      </c>
      <c r="M252">
        <v>5100001636</v>
      </c>
      <c r="N252" t="s">
        <v>155</v>
      </c>
      <c r="O252" t="s">
        <v>156</v>
      </c>
      <c r="P252">
        <v>4110026445</v>
      </c>
      <c r="Q252" t="s">
        <v>170</v>
      </c>
      <c r="R252">
        <v>5000</v>
      </c>
      <c r="S252" t="s">
        <v>166</v>
      </c>
      <c r="V252" t="s">
        <v>167</v>
      </c>
      <c r="W252">
        <v>1502020104</v>
      </c>
      <c r="X252" t="s">
        <v>26</v>
      </c>
      <c r="Y252" t="str">
        <f>VLOOKUP(W252,Sheet4!$A$5:$B$71,2,0)</f>
        <v>RE STYLING</v>
      </c>
      <c r="Z252">
        <v>87082900</v>
      </c>
      <c r="AA252">
        <v>15</v>
      </c>
      <c r="AB252" t="s">
        <v>159</v>
      </c>
      <c r="AC252" s="24">
        <v>6585.55</v>
      </c>
      <c r="AD252" t="s">
        <v>160</v>
      </c>
      <c r="AE252" s="24">
        <v>98783.25</v>
      </c>
      <c r="AF252">
        <v>0</v>
      </c>
      <c r="AG252" s="24">
        <v>98783.25</v>
      </c>
      <c r="AH252">
        <v>0</v>
      </c>
      <c r="AI252">
        <v>0</v>
      </c>
      <c r="AJ252">
        <v>0</v>
      </c>
      <c r="AK252">
        <v>0</v>
      </c>
      <c r="AL252" s="24">
        <v>98783.25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s="24">
        <v>98783.25</v>
      </c>
      <c r="AV252">
        <v>0</v>
      </c>
      <c r="AW252">
        <v>0</v>
      </c>
      <c r="AX252">
        <v>311000</v>
      </c>
      <c r="AY252" t="s">
        <v>161</v>
      </c>
      <c r="AZ252">
        <v>49.75</v>
      </c>
      <c r="BA252">
        <v>49.75</v>
      </c>
      <c r="BB252">
        <v>0</v>
      </c>
      <c r="BC252" t="s">
        <v>171</v>
      </c>
      <c r="BD252">
        <v>1509</v>
      </c>
      <c r="BE252" t="s">
        <v>169</v>
      </c>
      <c r="BF252">
        <v>5094129816</v>
      </c>
      <c r="BG252" t="s">
        <v>334</v>
      </c>
    </row>
    <row r="253" spans="1:59">
      <c r="A253">
        <v>1115</v>
      </c>
      <c r="B253">
        <v>1115</v>
      </c>
      <c r="C253">
        <v>10</v>
      </c>
      <c r="D253">
        <v>2</v>
      </c>
      <c r="E253" t="s">
        <v>152</v>
      </c>
      <c r="F253" t="s">
        <v>153</v>
      </c>
      <c r="G253" t="s">
        <v>154</v>
      </c>
      <c r="H253">
        <v>1526006030</v>
      </c>
      <c r="I253">
        <v>1000006291</v>
      </c>
      <c r="L253" t="s">
        <v>334</v>
      </c>
      <c r="M253">
        <v>5100001636</v>
      </c>
      <c r="N253" t="s">
        <v>155</v>
      </c>
      <c r="O253" t="s">
        <v>156</v>
      </c>
      <c r="P253">
        <v>4110026445</v>
      </c>
      <c r="Q253" t="s">
        <v>170</v>
      </c>
      <c r="R253">
        <v>5000</v>
      </c>
      <c r="S253" t="s">
        <v>166</v>
      </c>
      <c r="V253" t="s">
        <v>167</v>
      </c>
      <c r="W253">
        <v>1502020104</v>
      </c>
      <c r="X253" t="s">
        <v>26</v>
      </c>
      <c r="Y253" t="str">
        <f>VLOOKUP(W253,Sheet4!$A$5:$B$71,2,0)</f>
        <v>RE STYLING</v>
      </c>
      <c r="Z253">
        <v>87082900</v>
      </c>
      <c r="AA253">
        <v>15</v>
      </c>
      <c r="AB253" t="s">
        <v>159</v>
      </c>
      <c r="AC253" s="24">
        <v>6585.55</v>
      </c>
      <c r="AD253" t="s">
        <v>160</v>
      </c>
      <c r="AE253" s="24">
        <v>98783.25</v>
      </c>
      <c r="AF253">
        <v>0</v>
      </c>
      <c r="AG253" s="24">
        <v>98783.25</v>
      </c>
      <c r="AH253">
        <v>0</v>
      </c>
      <c r="AI253">
        <v>0</v>
      </c>
      <c r="AJ253">
        <v>0</v>
      </c>
      <c r="AK253">
        <v>0</v>
      </c>
      <c r="AL253" s="24">
        <v>98783.25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s="24">
        <v>98783.25</v>
      </c>
      <c r="AV253">
        <v>0</v>
      </c>
      <c r="AW253">
        <v>0</v>
      </c>
      <c r="AX253">
        <v>311000</v>
      </c>
      <c r="AY253" t="s">
        <v>161</v>
      </c>
      <c r="AZ253">
        <v>49.75</v>
      </c>
      <c r="BA253">
        <v>49.75</v>
      </c>
      <c r="BB253">
        <v>0</v>
      </c>
      <c r="BC253" t="s">
        <v>171</v>
      </c>
      <c r="BD253">
        <v>1509</v>
      </c>
      <c r="BE253" t="s">
        <v>169</v>
      </c>
      <c r="BF253">
        <v>5094129254</v>
      </c>
      <c r="BG253" t="s">
        <v>334</v>
      </c>
    </row>
    <row r="254" spans="1:59">
      <c r="A254">
        <v>1115</v>
      </c>
      <c r="B254">
        <v>1115</v>
      </c>
      <c r="C254">
        <v>10</v>
      </c>
      <c r="D254">
        <v>2</v>
      </c>
      <c r="E254" t="s">
        <v>152</v>
      </c>
      <c r="F254" t="s">
        <v>153</v>
      </c>
      <c r="G254" t="s">
        <v>154</v>
      </c>
      <c r="H254">
        <v>1526006029</v>
      </c>
      <c r="I254">
        <v>1000006290</v>
      </c>
      <c r="L254" t="s">
        <v>334</v>
      </c>
      <c r="M254">
        <v>5100001603</v>
      </c>
      <c r="N254" t="s">
        <v>155</v>
      </c>
      <c r="O254" t="s">
        <v>156</v>
      </c>
      <c r="P254">
        <v>4110025468</v>
      </c>
      <c r="Q254" t="s">
        <v>165</v>
      </c>
      <c r="R254">
        <v>5000</v>
      </c>
      <c r="S254" t="s">
        <v>166</v>
      </c>
      <c r="V254" t="s">
        <v>167</v>
      </c>
      <c r="W254">
        <v>1502020102</v>
      </c>
      <c r="X254" t="s">
        <v>58</v>
      </c>
      <c r="Y254" t="str">
        <f>VLOOKUP(W254,Sheet4!$A$5:$B$71,2,0)</f>
        <v>MAXIMA HD</v>
      </c>
      <c r="Z254">
        <v>87082900</v>
      </c>
      <c r="AA254">
        <v>8</v>
      </c>
      <c r="AB254" t="s">
        <v>159</v>
      </c>
      <c r="AC254" s="24">
        <v>8593.51</v>
      </c>
      <c r="AD254" t="s">
        <v>160</v>
      </c>
      <c r="AE254" s="24">
        <v>68748.08</v>
      </c>
      <c r="AF254">
        <v>0</v>
      </c>
      <c r="AG254" s="24">
        <v>68748.08</v>
      </c>
      <c r="AH254">
        <v>0</v>
      </c>
      <c r="AI254">
        <v>0</v>
      </c>
      <c r="AJ254">
        <v>0</v>
      </c>
      <c r="AK254">
        <v>0</v>
      </c>
      <c r="AL254" s="24">
        <v>68748.08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 s="24">
        <v>68748.08</v>
      </c>
      <c r="AV254">
        <v>0</v>
      </c>
      <c r="AW254">
        <v>0</v>
      </c>
      <c r="AX254">
        <v>311000</v>
      </c>
      <c r="AY254" t="s">
        <v>161</v>
      </c>
      <c r="AZ254">
        <v>93.34</v>
      </c>
      <c r="BA254">
        <v>75.430000000000007</v>
      </c>
      <c r="BB254">
        <v>17.91</v>
      </c>
      <c r="BC254" t="s">
        <v>168</v>
      </c>
      <c r="BD254">
        <v>1509</v>
      </c>
      <c r="BE254" t="s">
        <v>169</v>
      </c>
      <c r="BF254">
        <v>5094122785</v>
      </c>
      <c r="BG254" t="s">
        <v>334</v>
      </c>
    </row>
    <row r="255" spans="1:59">
      <c r="A255">
        <v>1115</v>
      </c>
      <c r="B255">
        <v>1115</v>
      </c>
      <c r="C255">
        <v>10</v>
      </c>
      <c r="D255">
        <v>2</v>
      </c>
      <c r="E255" t="s">
        <v>152</v>
      </c>
      <c r="F255" t="s">
        <v>153</v>
      </c>
      <c r="G255" t="s">
        <v>154</v>
      </c>
      <c r="H255">
        <v>1526006028</v>
      </c>
      <c r="I255">
        <v>1000006288</v>
      </c>
      <c r="L255" t="s">
        <v>334</v>
      </c>
      <c r="M255">
        <v>5100001603</v>
      </c>
      <c r="N255" t="s">
        <v>155</v>
      </c>
      <c r="O255" t="s">
        <v>156</v>
      </c>
      <c r="P255">
        <v>4110025468</v>
      </c>
      <c r="Q255" t="s">
        <v>165</v>
      </c>
      <c r="R255">
        <v>5000</v>
      </c>
      <c r="S255" t="s">
        <v>166</v>
      </c>
      <c r="V255" t="s">
        <v>167</v>
      </c>
      <c r="W255">
        <v>1502020102</v>
      </c>
      <c r="X255" t="s">
        <v>58</v>
      </c>
      <c r="Y255" t="str">
        <f>VLOOKUP(W255,Sheet4!$A$5:$B$71,2,0)</f>
        <v>MAXIMA HD</v>
      </c>
      <c r="Z255">
        <v>87082900</v>
      </c>
      <c r="AA255">
        <v>8</v>
      </c>
      <c r="AB255" t="s">
        <v>159</v>
      </c>
      <c r="AC255" s="24">
        <v>8593.51</v>
      </c>
      <c r="AD255" t="s">
        <v>160</v>
      </c>
      <c r="AE255" s="24">
        <v>68748.08</v>
      </c>
      <c r="AF255">
        <v>0</v>
      </c>
      <c r="AG255" s="24">
        <v>68748.08</v>
      </c>
      <c r="AH255">
        <v>0</v>
      </c>
      <c r="AI255">
        <v>0</v>
      </c>
      <c r="AJ255">
        <v>0</v>
      </c>
      <c r="AK255">
        <v>0</v>
      </c>
      <c r="AL255" s="24">
        <v>68748.08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s="24">
        <v>68748.08</v>
      </c>
      <c r="AV255">
        <v>0</v>
      </c>
      <c r="AW255">
        <v>0</v>
      </c>
      <c r="AX255">
        <v>311000</v>
      </c>
      <c r="AY255" t="s">
        <v>161</v>
      </c>
      <c r="AZ255">
        <v>93.34</v>
      </c>
      <c r="BA255">
        <v>75.430000000000007</v>
      </c>
      <c r="BB255">
        <v>17.91</v>
      </c>
      <c r="BC255" t="s">
        <v>168</v>
      </c>
      <c r="BD255">
        <v>1509</v>
      </c>
      <c r="BE255" t="s">
        <v>169</v>
      </c>
      <c r="BF255">
        <v>5094115301</v>
      </c>
      <c r="BG255" t="s">
        <v>334</v>
      </c>
    </row>
    <row r="256" spans="1:59">
      <c r="A256">
        <v>1115</v>
      </c>
      <c r="B256">
        <v>1115</v>
      </c>
      <c r="C256">
        <v>10</v>
      </c>
      <c r="D256">
        <v>2</v>
      </c>
      <c r="E256" t="s">
        <v>152</v>
      </c>
      <c r="F256" t="s">
        <v>153</v>
      </c>
      <c r="G256" t="s">
        <v>154</v>
      </c>
      <c r="H256">
        <v>1526006027</v>
      </c>
      <c r="I256">
        <v>1000006287</v>
      </c>
      <c r="L256" t="s">
        <v>334</v>
      </c>
      <c r="M256">
        <v>5100001603</v>
      </c>
      <c r="N256" t="s">
        <v>155</v>
      </c>
      <c r="O256" t="s">
        <v>156</v>
      </c>
      <c r="P256">
        <v>4110025468</v>
      </c>
      <c r="Q256" t="s">
        <v>165</v>
      </c>
      <c r="R256">
        <v>5000</v>
      </c>
      <c r="S256" t="s">
        <v>166</v>
      </c>
      <c r="V256" t="s">
        <v>167</v>
      </c>
      <c r="W256">
        <v>1502020102</v>
      </c>
      <c r="X256" t="s">
        <v>58</v>
      </c>
      <c r="Y256" t="str">
        <f>VLOOKUP(W256,Sheet4!$A$5:$B$71,2,0)</f>
        <v>MAXIMA HD</v>
      </c>
      <c r="Z256">
        <v>87082900</v>
      </c>
      <c r="AA256">
        <v>8</v>
      </c>
      <c r="AB256" t="s">
        <v>159</v>
      </c>
      <c r="AC256" s="24">
        <v>8593.51</v>
      </c>
      <c r="AD256" t="s">
        <v>160</v>
      </c>
      <c r="AE256" s="24">
        <v>68748.08</v>
      </c>
      <c r="AF256">
        <v>0</v>
      </c>
      <c r="AG256" s="24">
        <v>68748.08</v>
      </c>
      <c r="AH256">
        <v>0</v>
      </c>
      <c r="AI256">
        <v>0</v>
      </c>
      <c r="AJ256">
        <v>0</v>
      </c>
      <c r="AK256">
        <v>0</v>
      </c>
      <c r="AL256" s="24">
        <v>68748.08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s="24">
        <v>68748.08</v>
      </c>
      <c r="AV256">
        <v>0</v>
      </c>
      <c r="AW256">
        <v>0</v>
      </c>
      <c r="AX256">
        <v>311000</v>
      </c>
      <c r="AY256" t="s">
        <v>161</v>
      </c>
      <c r="AZ256">
        <v>93.34</v>
      </c>
      <c r="BA256">
        <v>75.430000000000007</v>
      </c>
      <c r="BB256">
        <v>17.91</v>
      </c>
      <c r="BC256" t="s">
        <v>168</v>
      </c>
      <c r="BD256">
        <v>1509</v>
      </c>
      <c r="BE256" t="s">
        <v>169</v>
      </c>
      <c r="BF256">
        <v>5094115272</v>
      </c>
      <c r="BG256" t="s">
        <v>334</v>
      </c>
    </row>
    <row r="257" spans="1:59">
      <c r="A257">
        <v>1115</v>
      </c>
      <c r="B257">
        <v>1115</v>
      </c>
      <c r="C257">
        <v>10</v>
      </c>
      <c r="D257">
        <v>2</v>
      </c>
      <c r="E257" t="s">
        <v>152</v>
      </c>
      <c r="F257" t="s">
        <v>153</v>
      </c>
      <c r="G257" t="s">
        <v>154</v>
      </c>
      <c r="H257">
        <v>1526006025</v>
      </c>
      <c r="I257">
        <v>1000006285</v>
      </c>
      <c r="L257" t="s">
        <v>334</v>
      </c>
      <c r="M257">
        <v>5100001636</v>
      </c>
      <c r="N257" t="s">
        <v>155</v>
      </c>
      <c r="O257" t="s">
        <v>156</v>
      </c>
      <c r="P257">
        <v>4110026445</v>
      </c>
      <c r="Q257" t="s">
        <v>170</v>
      </c>
      <c r="R257">
        <v>5000</v>
      </c>
      <c r="S257" t="s">
        <v>166</v>
      </c>
      <c r="V257" t="s">
        <v>167</v>
      </c>
      <c r="W257">
        <v>1502020104</v>
      </c>
      <c r="X257" t="s">
        <v>26</v>
      </c>
      <c r="Y257" t="str">
        <f>VLOOKUP(W257,Sheet4!$A$5:$B$71,2,0)</f>
        <v>RE STYLING</v>
      </c>
      <c r="Z257">
        <v>87082900</v>
      </c>
      <c r="AA257">
        <v>15</v>
      </c>
      <c r="AB257" t="s">
        <v>159</v>
      </c>
      <c r="AC257" s="24">
        <v>6585.55</v>
      </c>
      <c r="AD257" t="s">
        <v>160</v>
      </c>
      <c r="AE257" s="24">
        <v>98783.25</v>
      </c>
      <c r="AF257">
        <v>0</v>
      </c>
      <c r="AG257" s="24">
        <v>98783.25</v>
      </c>
      <c r="AH257">
        <v>0</v>
      </c>
      <c r="AI257">
        <v>0</v>
      </c>
      <c r="AJ257">
        <v>0</v>
      </c>
      <c r="AK257">
        <v>0</v>
      </c>
      <c r="AL257" s="24">
        <v>98783.25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s="24">
        <v>98783.25</v>
      </c>
      <c r="AV257">
        <v>0</v>
      </c>
      <c r="AW257">
        <v>0</v>
      </c>
      <c r="AX257">
        <v>311000</v>
      </c>
      <c r="AY257" t="s">
        <v>161</v>
      </c>
      <c r="AZ257">
        <v>49.75</v>
      </c>
      <c r="BA257">
        <v>49.75</v>
      </c>
      <c r="BB257">
        <v>0</v>
      </c>
      <c r="BC257" t="s">
        <v>171</v>
      </c>
      <c r="BD257">
        <v>1509</v>
      </c>
      <c r="BE257" t="s">
        <v>169</v>
      </c>
      <c r="BF257">
        <v>5094128908</v>
      </c>
      <c r="BG257" t="s">
        <v>334</v>
      </c>
    </row>
    <row r="258" spans="1:59">
      <c r="A258">
        <v>1115</v>
      </c>
      <c r="B258">
        <v>1115</v>
      </c>
      <c r="C258">
        <v>10</v>
      </c>
      <c r="D258">
        <v>2</v>
      </c>
      <c r="E258" t="s">
        <v>152</v>
      </c>
      <c r="F258" t="s">
        <v>153</v>
      </c>
      <c r="G258" t="s">
        <v>154</v>
      </c>
      <c r="H258">
        <v>1526006024</v>
      </c>
      <c r="I258">
        <v>1000006284</v>
      </c>
      <c r="L258" t="s">
        <v>334</v>
      </c>
      <c r="M258">
        <v>5100001636</v>
      </c>
      <c r="N258" t="s">
        <v>155</v>
      </c>
      <c r="O258" t="s">
        <v>156</v>
      </c>
      <c r="P258">
        <v>4110026445</v>
      </c>
      <c r="Q258" t="s">
        <v>170</v>
      </c>
      <c r="R258">
        <v>5000</v>
      </c>
      <c r="S258" t="s">
        <v>166</v>
      </c>
      <c r="V258" t="s">
        <v>167</v>
      </c>
      <c r="W258">
        <v>1502020104</v>
      </c>
      <c r="X258" t="s">
        <v>26</v>
      </c>
      <c r="Y258" t="str">
        <f>VLOOKUP(W258,Sheet4!$A$5:$B$71,2,0)</f>
        <v>RE STYLING</v>
      </c>
      <c r="Z258">
        <v>87082900</v>
      </c>
      <c r="AA258">
        <v>15</v>
      </c>
      <c r="AB258" t="s">
        <v>159</v>
      </c>
      <c r="AC258" s="24">
        <v>6585.55</v>
      </c>
      <c r="AD258" t="s">
        <v>160</v>
      </c>
      <c r="AE258" s="24">
        <v>98783.25</v>
      </c>
      <c r="AF258">
        <v>0</v>
      </c>
      <c r="AG258" s="24">
        <v>98783.25</v>
      </c>
      <c r="AH258">
        <v>0</v>
      </c>
      <c r="AI258">
        <v>0</v>
      </c>
      <c r="AJ258">
        <v>0</v>
      </c>
      <c r="AK258">
        <v>0</v>
      </c>
      <c r="AL258" s="24">
        <v>98783.25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s="24">
        <v>98783.25</v>
      </c>
      <c r="AV258">
        <v>0</v>
      </c>
      <c r="AW258">
        <v>0</v>
      </c>
      <c r="AX258">
        <v>311000</v>
      </c>
      <c r="AY258" t="s">
        <v>161</v>
      </c>
      <c r="AZ258">
        <v>49.75</v>
      </c>
      <c r="BA258">
        <v>49.75</v>
      </c>
      <c r="BB258">
        <v>0</v>
      </c>
      <c r="BC258" t="s">
        <v>171</v>
      </c>
      <c r="BD258">
        <v>1509</v>
      </c>
      <c r="BE258" t="s">
        <v>169</v>
      </c>
      <c r="BF258">
        <v>5094128903</v>
      </c>
      <c r="BG258" t="s">
        <v>334</v>
      </c>
    </row>
    <row r="259" spans="1:59">
      <c r="A259">
        <v>1115</v>
      </c>
      <c r="B259">
        <v>1115</v>
      </c>
      <c r="C259">
        <v>10</v>
      </c>
      <c r="D259">
        <v>2</v>
      </c>
      <c r="E259" t="s">
        <v>152</v>
      </c>
      <c r="F259" t="s">
        <v>153</v>
      </c>
      <c r="G259" t="s">
        <v>154</v>
      </c>
      <c r="H259">
        <v>1526006023</v>
      </c>
      <c r="I259">
        <v>1000006283</v>
      </c>
      <c r="L259" t="s">
        <v>334</v>
      </c>
      <c r="M259">
        <v>5100001636</v>
      </c>
      <c r="N259" t="s">
        <v>155</v>
      </c>
      <c r="O259" t="s">
        <v>156</v>
      </c>
      <c r="P259">
        <v>4110026445</v>
      </c>
      <c r="Q259" t="s">
        <v>170</v>
      </c>
      <c r="R259">
        <v>5000</v>
      </c>
      <c r="S259" t="s">
        <v>166</v>
      </c>
      <c r="V259" t="s">
        <v>167</v>
      </c>
      <c r="W259">
        <v>1502020104</v>
      </c>
      <c r="X259" t="s">
        <v>26</v>
      </c>
      <c r="Y259" t="str">
        <f>VLOOKUP(W259,Sheet4!$A$5:$B$71,2,0)</f>
        <v>RE STYLING</v>
      </c>
      <c r="Z259">
        <v>87082900</v>
      </c>
      <c r="AA259">
        <v>15</v>
      </c>
      <c r="AB259" t="s">
        <v>159</v>
      </c>
      <c r="AC259" s="24">
        <v>6585.55</v>
      </c>
      <c r="AD259" t="s">
        <v>160</v>
      </c>
      <c r="AE259" s="24">
        <v>98783.25</v>
      </c>
      <c r="AF259">
        <v>0</v>
      </c>
      <c r="AG259" s="24">
        <v>98783.25</v>
      </c>
      <c r="AH259">
        <v>0</v>
      </c>
      <c r="AI259">
        <v>0</v>
      </c>
      <c r="AJ259">
        <v>0</v>
      </c>
      <c r="AK259">
        <v>0</v>
      </c>
      <c r="AL259" s="24">
        <v>98783.25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s="24">
        <v>98783.25</v>
      </c>
      <c r="AV259">
        <v>0</v>
      </c>
      <c r="AW259">
        <v>0</v>
      </c>
      <c r="AX259">
        <v>311000</v>
      </c>
      <c r="AY259" t="s">
        <v>161</v>
      </c>
      <c r="AZ259">
        <v>49.75</v>
      </c>
      <c r="BA259">
        <v>49.75</v>
      </c>
      <c r="BB259">
        <v>0</v>
      </c>
      <c r="BC259" t="s">
        <v>171</v>
      </c>
      <c r="BD259">
        <v>1509</v>
      </c>
      <c r="BE259" t="s">
        <v>169</v>
      </c>
      <c r="BF259">
        <v>5094128815</v>
      </c>
      <c r="BG259" t="s">
        <v>334</v>
      </c>
    </row>
    <row r="260" spans="1:59">
      <c r="A260">
        <v>1115</v>
      </c>
      <c r="B260">
        <v>1115</v>
      </c>
      <c r="C260">
        <v>10</v>
      </c>
      <c r="D260">
        <v>2</v>
      </c>
      <c r="E260" t="s">
        <v>152</v>
      </c>
      <c r="F260" t="s">
        <v>153</v>
      </c>
      <c r="G260" t="s">
        <v>154</v>
      </c>
      <c r="H260">
        <v>1526006021</v>
      </c>
      <c r="I260">
        <v>1000006282</v>
      </c>
      <c r="L260" t="s">
        <v>334</v>
      </c>
      <c r="M260">
        <v>5100001924</v>
      </c>
      <c r="N260" t="s">
        <v>155</v>
      </c>
      <c r="O260" t="s">
        <v>156</v>
      </c>
      <c r="P260">
        <v>4110055642</v>
      </c>
      <c r="Q260" t="s">
        <v>199</v>
      </c>
      <c r="R260">
        <v>5000</v>
      </c>
      <c r="S260" t="s">
        <v>166</v>
      </c>
      <c r="V260" t="s">
        <v>167</v>
      </c>
      <c r="W260">
        <v>1502040314</v>
      </c>
      <c r="X260" t="s">
        <v>248</v>
      </c>
      <c r="Y260" t="str">
        <f>VLOOKUP(W260,Sheet4!$A$5:$B$71,2,0)</f>
        <v>Re Side Door</v>
      </c>
      <c r="Z260">
        <v>87082900</v>
      </c>
      <c r="AA260">
        <v>120</v>
      </c>
      <c r="AB260" t="s">
        <v>159</v>
      </c>
      <c r="AC260">
        <v>504.46</v>
      </c>
      <c r="AD260" t="s">
        <v>160</v>
      </c>
      <c r="AE260" s="24">
        <v>60535.199999999997</v>
      </c>
      <c r="AF260">
        <v>0</v>
      </c>
      <c r="AG260" s="24">
        <v>60535.199999999997</v>
      </c>
      <c r="AH260">
        <v>0</v>
      </c>
      <c r="AI260">
        <v>0</v>
      </c>
      <c r="AJ260">
        <v>0</v>
      </c>
      <c r="AK260">
        <v>0</v>
      </c>
      <c r="AL260" s="24">
        <v>60535.199999999997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 s="24">
        <v>60535.199999999997</v>
      </c>
      <c r="AV260">
        <v>0</v>
      </c>
      <c r="AW260">
        <v>0</v>
      </c>
      <c r="AX260">
        <v>311000</v>
      </c>
      <c r="AY260" t="s">
        <v>161</v>
      </c>
      <c r="AZ260">
        <v>2.27</v>
      </c>
      <c r="BA260">
        <v>2.27</v>
      </c>
      <c r="BB260">
        <v>0</v>
      </c>
      <c r="BC260" t="s">
        <v>249</v>
      </c>
      <c r="BD260">
        <v>1511</v>
      </c>
      <c r="BE260" t="s">
        <v>174</v>
      </c>
      <c r="BF260">
        <v>5094113640</v>
      </c>
      <c r="BG260" t="s">
        <v>334</v>
      </c>
    </row>
    <row r="261" spans="1:59">
      <c r="A261">
        <v>1115</v>
      </c>
      <c r="B261">
        <v>1115</v>
      </c>
      <c r="C261">
        <v>10</v>
      </c>
      <c r="D261">
        <v>2</v>
      </c>
      <c r="E261" t="s">
        <v>152</v>
      </c>
      <c r="F261" t="s">
        <v>153</v>
      </c>
      <c r="G261" t="s">
        <v>154</v>
      </c>
      <c r="H261">
        <v>1526006020</v>
      </c>
      <c r="I261">
        <v>1000006281</v>
      </c>
      <c r="L261" t="s">
        <v>334</v>
      </c>
      <c r="M261">
        <v>5100001924</v>
      </c>
      <c r="N261" t="s">
        <v>155</v>
      </c>
      <c r="O261" t="s">
        <v>156</v>
      </c>
      <c r="P261">
        <v>4110055642</v>
      </c>
      <c r="Q261" t="s">
        <v>199</v>
      </c>
      <c r="R261">
        <v>5000</v>
      </c>
      <c r="S261" t="s">
        <v>166</v>
      </c>
      <c r="V261" t="s">
        <v>167</v>
      </c>
      <c r="W261">
        <v>1502040313</v>
      </c>
      <c r="X261" t="s">
        <v>246</v>
      </c>
      <c r="Y261" t="str">
        <f>VLOOKUP(W261,Sheet4!$A$5:$B$71,2,0)</f>
        <v>Re Side Door</v>
      </c>
      <c r="Z261">
        <v>87082900</v>
      </c>
      <c r="AA261">
        <v>120</v>
      </c>
      <c r="AB261" t="s">
        <v>159</v>
      </c>
      <c r="AC261">
        <v>504.46</v>
      </c>
      <c r="AD261" t="s">
        <v>160</v>
      </c>
      <c r="AE261" s="24">
        <v>60535.199999999997</v>
      </c>
      <c r="AF261">
        <v>0</v>
      </c>
      <c r="AG261" s="24">
        <v>60535.199999999997</v>
      </c>
      <c r="AH261">
        <v>0</v>
      </c>
      <c r="AI261">
        <v>0</v>
      </c>
      <c r="AJ261">
        <v>0</v>
      </c>
      <c r="AK261">
        <v>0</v>
      </c>
      <c r="AL261" s="24">
        <v>60535.199999999997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s="24">
        <v>60535.199999999997</v>
      </c>
      <c r="AV261">
        <v>0</v>
      </c>
      <c r="AW261">
        <v>0</v>
      </c>
      <c r="AX261">
        <v>311000</v>
      </c>
      <c r="AY261" t="s">
        <v>161</v>
      </c>
      <c r="AZ261">
        <v>2.27</v>
      </c>
      <c r="BA261">
        <v>2.27</v>
      </c>
      <c r="BB261">
        <v>0</v>
      </c>
      <c r="BC261" t="s">
        <v>247</v>
      </c>
      <c r="BD261">
        <v>1511</v>
      </c>
      <c r="BE261" t="s">
        <v>174</v>
      </c>
      <c r="BF261">
        <v>5094113642</v>
      </c>
      <c r="BG261" t="s">
        <v>334</v>
      </c>
    </row>
    <row r="262" spans="1:59">
      <c r="A262">
        <v>1115</v>
      </c>
      <c r="B262">
        <v>1115</v>
      </c>
      <c r="C262">
        <v>10</v>
      </c>
      <c r="D262">
        <v>2</v>
      </c>
      <c r="E262" t="s">
        <v>152</v>
      </c>
      <c r="F262" t="s">
        <v>153</v>
      </c>
      <c r="G262" t="s">
        <v>154</v>
      </c>
      <c r="H262">
        <v>1526006019</v>
      </c>
      <c r="I262">
        <v>1000006280</v>
      </c>
      <c r="L262" t="s">
        <v>334</v>
      </c>
      <c r="M262">
        <v>5100001636</v>
      </c>
      <c r="N262" t="s">
        <v>155</v>
      </c>
      <c r="O262" t="s">
        <v>156</v>
      </c>
      <c r="P262">
        <v>4110026445</v>
      </c>
      <c r="Q262" t="s">
        <v>170</v>
      </c>
      <c r="R262">
        <v>5000</v>
      </c>
      <c r="S262" t="s">
        <v>166</v>
      </c>
      <c r="V262" t="s">
        <v>167</v>
      </c>
      <c r="W262">
        <v>1502020101</v>
      </c>
      <c r="X262" t="s">
        <v>25</v>
      </c>
      <c r="Y262" t="str">
        <f>VLOOKUP(W262,Sheet4!$A$5:$B$71,2,0)</f>
        <v>RE STYLING</v>
      </c>
      <c r="Z262">
        <v>87082900</v>
      </c>
      <c r="AA262">
        <v>15</v>
      </c>
      <c r="AB262" t="s">
        <v>159</v>
      </c>
      <c r="AC262" s="24">
        <v>6240.88</v>
      </c>
      <c r="AD262" t="s">
        <v>160</v>
      </c>
      <c r="AE262" s="24">
        <v>93613.2</v>
      </c>
      <c r="AF262">
        <v>0</v>
      </c>
      <c r="AG262" s="24">
        <v>93613.2</v>
      </c>
      <c r="AH262">
        <v>0</v>
      </c>
      <c r="AI262">
        <v>0</v>
      </c>
      <c r="AJ262">
        <v>0</v>
      </c>
      <c r="AK262">
        <v>0</v>
      </c>
      <c r="AL262" s="24">
        <v>93613.2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s="24">
        <v>93613.2</v>
      </c>
      <c r="AV262">
        <v>0</v>
      </c>
      <c r="AW262">
        <v>0</v>
      </c>
      <c r="AX262">
        <v>311000</v>
      </c>
      <c r="AY262" t="s">
        <v>161</v>
      </c>
      <c r="AZ262">
        <v>58</v>
      </c>
      <c r="BA262">
        <v>58</v>
      </c>
      <c r="BB262">
        <v>0</v>
      </c>
      <c r="BC262" t="s">
        <v>208</v>
      </c>
      <c r="BD262">
        <v>1509</v>
      </c>
      <c r="BE262" t="s">
        <v>169</v>
      </c>
      <c r="BF262" t="s">
        <v>163</v>
      </c>
      <c r="BG262" t="s">
        <v>164</v>
      </c>
    </row>
    <row r="263" spans="1:59">
      <c r="A263">
        <v>1115</v>
      </c>
      <c r="B263">
        <v>1115</v>
      </c>
      <c r="C263">
        <v>10</v>
      </c>
      <c r="D263">
        <v>2</v>
      </c>
      <c r="E263" t="s">
        <v>152</v>
      </c>
      <c r="F263" t="s">
        <v>153</v>
      </c>
      <c r="G263" t="s">
        <v>154</v>
      </c>
      <c r="H263">
        <v>1526006018</v>
      </c>
      <c r="I263">
        <v>1000006279</v>
      </c>
      <c r="L263" t="s">
        <v>334</v>
      </c>
      <c r="M263">
        <v>5100001636</v>
      </c>
      <c r="N263" t="s">
        <v>155</v>
      </c>
      <c r="O263" t="s">
        <v>156</v>
      </c>
      <c r="P263">
        <v>4110026445</v>
      </c>
      <c r="Q263" t="s">
        <v>170</v>
      </c>
      <c r="R263">
        <v>5000</v>
      </c>
      <c r="S263" t="s">
        <v>166</v>
      </c>
      <c r="V263" t="s">
        <v>167</v>
      </c>
      <c r="W263">
        <v>1502020101</v>
      </c>
      <c r="X263" t="s">
        <v>25</v>
      </c>
      <c r="Y263" t="str">
        <f>VLOOKUP(W263,Sheet4!$A$5:$B$71,2,0)</f>
        <v>RE STYLING</v>
      </c>
      <c r="Z263">
        <v>87082900</v>
      </c>
      <c r="AA263">
        <v>15</v>
      </c>
      <c r="AB263" t="s">
        <v>159</v>
      </c>
      <c r="AC263" s="24">
        <v>6240.88</v>
      </c>
      <c r="AD263" t="s">
        <v>160</v>
      </c>
      <c r="AE263" s="24">
        <v>93613.2</v>
      </c>
      <c r="AF263">
        <v>0</v>
      </c>
      <c r="AG263" s="24">
        <v>93613.2</v>
      </c>
      <c r="AH263">
        <v>0</v>
      </c>
      <c r="AI263">
        <v>0</v>
      </c>
      <c r="AJ263">
        <v>0</v>
      </c>
      <c r="AK263">
        <v>0</v>
      </c>
      <c r="AL263" s="24">
        <v>93613.2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s="24">
        <v>93613.2</v>
      </c>
      <c r="AV263">
        <v>0</v>
      </c>
      <c r="AW263">
        <v>0</v>
      </c>
      <c r="AX263">
        <v>311000</v>
      </c>
      <c r="AY263" t="s">
        <v>161</v>
      </c>
      <c r="AZ263">
        <v>58</v>
      </c>
      <c r="BA263">
        <v>58</v>
      </c>
      <c r="BB263">
        <v>0</v>
      </c>
      <c r="BC263" t="s">
        <v>208</v>
      </c>
      <c r="BD263">
        <v>1509</v>
      </c>
      <c r="BE263" t="s">
        <v>169</v>
      </c>
      <c r="BF263">
        <v>5094129224</v>
      </c>
      <c r="BG263" t="s">
        <v>334</v>
      </c>
    </row>
    <row r="264" spans="1:59">
      <c r="A264">
        <v>1115</v>
      </c>
      <c r="B264">
        <v>1115</v>
      </c>
      <c r="C264">
        <v>10</v>
      </c>
      <c r="D264">
        <v>2</v>
      </c>
      <c r="E264" t="s">
        <v>152</v>
      </c>
      <c r="F264" t="s">
        <v>153</v>
      </c>
      <c r="G264" t="s">
        <v>154</v>
      </c>
      <c r="H264">
        <v>1526006016</v>
      </c>
      <c r="I264">
        <v>1000006278</v>
      </c>
      <c r="L264" t="s">
        <v>334</v>
      </c>
      <c r="M264">
        <v>5100001603</v>
      </c>
      <c r="N264" t="s">
        <v>155</v>
      </c>
      <c r="O264" t="s">
        <v>156</v>
      </c>
      <c r="P264">
        <v>4110025468</v>
      </c>
      <c r="Q264" t="s">
        <v>165</v>
      </c>
      <c r="R264">
        <v>5000</v>
      </c>
      <c r="S264" t="s">
        <v>166</v>
      </c>
      <c r="V264" t="s">
        <v>167</v>
      </c>
      <c r="W264">
        <v>1502020102</v>
      </c>
      <c r="X264" t="s">
        <v>58</v>
      </c>
      <c r="Y264" t="str">
        <f>VLOOKUP(W264,Sheet4!$A$5:$B$71,2,0)</f>
        <v>MAXIMA HD</v>
      </c>
      <c r="Z264">
        <v>87082900</v>
      </c>
      <c r="AA264">
        <v>8</v>
      </c>
      <c r="AB264" t="s">
        <v>159</v>
      </c>
      <c r="AC264" s="24">
        <v>8593.51</v>
      </c>
      <c r="AD264" t="s">
        <v>160</v>
      </c>
      <c r="AE264" s="24">
        <v>68748.08</v>
      </c>
      <c r="AF264">
        <v>0</v>
      </c>
      <c r="AG264" s="24">
        <v>68748.08</v>
      </c>
      <c r="AH264">
        <v>0</v>
      </c>
      <c r="AI264">
        <v>0</v>
      </c>
      <c r="AJ264">
        <v>0</v>
      </c>
      <c r="AK264">
        <v>0</v>
      </c>
      <c r="AL264" s="24">
        <v>68748.08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s="24">
        <v>68748.08</v>
      </c>
      <c r="AV264">
        <v>0</v>
      </c>
      <c r="AW264">
        <v>0</v>
      </c>
      <c r="AX264">
        <v>311000</v>
      </c>
      <c r="AY264" t="s">
        <v>161</v>
      </c>
      <c r="AZ264">
        <v>93.34</v>
      </c>
      <c r="BA264">
        <v>75.430000000000007</v>
      </c>
      <c r="BB264">
        <v>17.91</v>
      </c>
      <c r="BC264" t="s">
        <v>168</v>
      </c>
      <c r="BD264">
        <v>1509</v>
      </c>
      <c r="BE264" t="s">
        <v>169</v>
      </c>
      <c r="BF264">
        <v>5094113268</v>
      </c>
      <c r="BG264" t="s">
        <v>334</v>
      </c>
    </row>
    <row r="265" spans="1:59">
      <c r="A265">
        <v>1115</v>
      </c>
      <c r="B265">
        <v>1115</v>
      </c>
      <c r="C265">
        <v>10</v>
      </c>
      <c r="D265">
        <v>2</v>
      </c>
      <c r="E265" t="s">
        <v>152</v>
      </c>
      <c r="F265" t="s">
        <v>153</v>
      </c>
      <c r="G265" t="s">
        <v>154</v>
      </c>
      <c r="H265">
        <v>1526006015</v>
      </c>
      <c r="I265">
        <v>1000006277</v>
      </c>
      <c r="L265" t="s">
        <v>334</v>
      </c>
      <c r="M265">
        <v>5100001603</v>
      </c>
      <c r="N265" t="s">
        <v>155</v>
      </c>
      <c r="O265" t="s">
        <v>156</v>
      </c>
      <c r="P265">
        <v>4110025468</v>
      </c>
      <c r="Q265" t="s">
        <v>165</v>
      </c>
      <c r="R265">
        <v>5000</v>
      </c>
      <c r="S265" t="s">
        <v>166</v>
      </c>
      <c r="V265" t="s">
        <v>167</v>
      </c>
      <c r="W265">
        <v>1502020102</v>
      </c>
      <c r="X265" t="s">
        <v>58</v>
      </c>
      <c r="Y265" t="str">
        <f>VLOOKUP(W265,Sheet4!$A$5:$B$71,2,0)</f>
        <v>MAXIMA HD</v>
      </c>
      <c r="Z265">
        <v>87082900</v>
      </c>
      <c r="AA265">
        <v>8</v>
      </c>
      <c r="AB265" t="s">
        <v>159</v>
      </c>
      <c r="AC265" s="24">
        <v>8593.51</v>
      </c>
      <c r="AD265" t="s">
        <v>160</v>
      </c>
      <c r="AE265" s="24">
        <v>68748.08</v>
      </c>
      <c r="AF265">
        <v>0</v>
      </c>
      <c r="AG265" s="24">
        <v>68748.08</v>
      </c>
      <c r="AH265">
        <v>0</v>
      </c>
      <c r="AI265">
        <v>0</v>
      </c>
      <c r="AJ265">
        <v>0</v>
      </c>
      <c r="AK265">
        <v>0</v>
      </c>
      <c r="AL265" s="24">
        <v>68748.08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s="24">
        <v>68748.08</v>
      </c>
      <c r="AV265">
        <v>0</v>
      </c>
      <c r="AW265">
        <v>0</v>
      </c>
      <c r="AX265">
        <v>311000</v>
      </c>
      <c r="AY265" t="s">
        <v>161</v>
      </c>
      <c r="AZ265">
        <v>93.34</v>
      </c>
      <c r="BA265">
        <v>75.430000000000007</v>
      </c>
      <c r="BB265">
        <v>17.91</v>
      </c>
      <c r="BC265" t="s">
        <v>168</v>
      </c>
      <c r="BD265">
        <v>1509</v>
      </c>
      <c r="BE265" t="s">
        <v>169</v>
      </c>
      <c r="BF265">
        <v>5094113266</v>
      </c>
      <c r="BG265" t="s">
        <v>334</v>
      </c>
    </row>
    <row r="266" spans="1:59">
      <c r="A266">
        <v>1115</v>
      </c>
      <c r="B266">
        <v>1115</v>
      </c>
      <c r="C266">
        <v>10</v>
      </c>
      <c r="D266">
        <v>2</v>
      </c>
      <c r="E266" t="s">
        <v>152</v>
      </c>
      <c r="F266" t="s">
        <v>153</v>
      </c>
      <c r="G266" t="s">
        <v>154</v>
      </c>
      <c r="H266">
        <v>1526006014</v>
      </c>
      <c r="I266">
        <v>1000006276</v>
      </c>
      <c r="L266" t="s">
        <v>334</v>
      </c>
      <c r="M266">
        <v>5100001636</v>
      </c>
      <c r="N266" t="s">
        <v>155</v>
      </c>
      <c r="O266" t="s">
        <v>156</v>
      </c>
      <c r="P266">
        <v>4110026445</v>
      </c>
      <c r="Q266" t="s">
        <v>170</v>
      </c>
      <c r="R266">
        <v>5000</v>
      </c>
      <c r="S266" t="s">
        <v>166</v>
      </c>
      <c r="V266" t="s">
        <v>167</v>
      </c>
      <c r="W266">
        <v>1502020101</v>
      </c>
      <c r="X266" t="s">
        <v>25</v>
      </c>
      <c r="Y266" t="str">
        <f>VLOOKUP(W266,Sheet4!$A$5:$B$71,2,0)</f>
        <v>RE STYLING</v>
      </c>
      <c r="Z266">
        <v>87082900</v>
      </c>
      <c r="AA266">
        <v>15</v>
      </c>
      <c r="AB266" t="s">
        <v>159</v>
      </c>
      <c r="AC266" s="24">
        <v>6240.88</v>
      </c>
      <c r="AD266" t="s">
        <v>160</v>
      </c>
      <c r="AE266" s="24">
        <v>93613.2</v>
      </c>
      <c r="AF266">
        <v>0</v>
      </c>
      <c r="AG266" s="24">
        <v>93613.2</v>
      </c>
      <c r="AH266">
        <v>0</v>
      </c>
      <c r="AI266">
        <v>0</v>
      </c>
      <c r="AJ266">
        <v>0</v>
      </c>
      <c r="AK266">
        <v>0</v>
      </c>
      <c r="AL266" s="24">
        <v>93613.2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s="24">
        <v>93613.2</v>
      </c>
      <c r="AV266">
        <v>0</v>
      </c>
      <c r="AW266">
        <v>0</v>
      </c>
      <c r="AX266">
        <v>311000</v>
      </c>
      <c r="AY266" t="s">
        <v>161</v>
      </c>
      <c r="AZ266">
        <v>58</v>
      </c>
      <c r="BA266">
        <v>58</v>
      </c>
      <c r="BB266">
        <v>0</v>
      </c>
      <c r="BC266" t="s">
        <v>208</v>
      </c>
      <c r="BD266">
        <v>1509</v>
      </c>
      <c r="BE266" t="s">
        <v>169</v>
      </c>
      <c r="BF266">
        <v>5094128658</v>
      </c>
      <c r="BG266" t="s">
        <v>334</v>
      </c>
    </row>
    <row r="267" spans="1:59">
      <c r="A267">
        <v>1115</v>
      </c>
      <c r="B267">
        <v>1115</v>
      </c>
      <c r="C267">
        <v>10</v>
      </c>
      <c r="D267">
        <v>2</v>
      </c>
      <c r="E267" t="s">
        <v>152</v>
      </c>
      <c r="F267" t="s">
        <v>153</v>
      </c>
      <c r="G267" t="s">
        <v>154</v>
      </c>
      <c r="H267">
        <v>1526006011</v>
      </c>
      <c r="I267">
        <v>1000006273</v>
      </c>
      <c r="L267" t="s">
        <v>334</v>
      </c>
      <c r="M267">
        <v>5100001588</v>
      </c>
      <c r="N267" t="s">
        <v>155</v>
      </c>
      <c r="O267" t="s">
        <v>156</v>
      </c>
      <c r="P267">
        <v>4110025058</v>
      </c>
      <c r="Q267" t="s">
        <v>180</v>
      </c>
      <c r="R267">
        <v>5000</v>
      </c>
      <c r="S267" t="s">
        <v>166</v>
      </c>
      <c r="V267" t="s">
        <v>167</v>
      </c>
      <c r="W267">
        <v>1502040235</v>
      </c>
      <c r="X267" t="s">
        <v>47</v>
      </c>
      <c r="Y267" t="str">
        <f>VLOOKUP(W267,Sheet4!$A$5:$B$71,2,0)</f>
        <v>STARTING HANDLE</v>
      </c>
      <c r="Z267">
        <v>87082900</v>
      </c>
      <c r="AA267">
        <v>270</v>
      </c>
      <c r="AB267" t="s">
        <v>159</v>
      </c>
      <c r="AC267">
        <v>217.33</v>
      </c>
      <c r="AD267" t="s">
        <v>160</v>
      </c>
      <c r="AE267" s="24">
        <v>58679.1</v>
      </c>
      <c r="AF267">
        <v>0</v>
      </c>
      <c r="AG267" s="24">
        <v>58679.1</v>
      </c>
      <c r="AH267">
        <v>0</v>
      </c>
      <c r="AI267">
        <v>0</v>
      </c>
      <c r="AJ267">
        <v>0</v>
      </c>
      <c r="AK267">
        <v>0</v>
      </c>
      <c r="AL267" s="24">
        <v>58679.1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s="24">
        <v>58679.1</v>
      </c>
      <c r="AV267">
        <v>0</v>
      </c>
      <c r="AW267">
        <v>0</v>
      </c>
      <c r="AX267">
        <v>311000</v>
      </c>
      <c r="AY267" t="s">
        <v>161</v>
      </c>
      <c r="AZ267">
        <v>1.19</v>
      </c>
      <c r="BA267">
        <v>1.19</v>
      </c>
      <c r="BB267">
        <v>0</v>
      </c>
      <c r="BC267" t="s">
        <v>181</v>
      </c>
      <c r="BD267">
        <v>1511</v>
      </c>
      <c r="BE267" t="s">
        <v>174</v>
      </c>
      <c r="BF267">
        <v>5094114743</v>
      </c>
      <c r="BG267" t="s">
        <v>334</v>
      </c>
    </row>
    <row r="268" spans="1:59">
      <c r="A268">
        <v>1115</v>
      </c>
      <c r="B268">
        <v>1115</v>
      </c>
      <c r="C268">
        <v>10</v>
      </c>
      <c r="D268">
        <v>2</v>
      </c>
      <c r="E268" t="s">
        <v>152</v>
      </c>
      <c r="F268" t="s">
        <v>153</v>
      </c>
      <c r="G268" t="s">
        <v>154</v>
      </c>
      <c r="H268">
        <v>1526006010</v>
      </c>
      <c r="I268">
        <v>1000006272</v>
      </c>
      <c r="L268" t="s">
        <v>334</v>
      </c>
      <c r="M268">
        <v>5100001913</v>
      </c>
      <c r="N268" t="s">
        <v>155</v>
      </c>
      <c r="O268" t="s">
        <v>156</v>
      </c>
      <c r="P268">
        <v>4110050475</v>
      </c>
      <c r="Q268" t="s">
        <v>178</v>
      </c>
      <c r="R268">
        <v>5000</v>
      </c>
      <c r="S268" t="s">
        <v>166</v>
      </c>
      <c r="V268" t="s">
        <v>167</v>
      </c>
      <c r="W268">
        <v>1502040289</v>
      </c>
      <c r="X268" t="s">
        <v>49</v>
      </c>
      <c r="Y268" t="str">
        <f>VLOOKUP(W268,Sheet4!$A$5:$B$71,2,0)</f>
        <v>SUPPORT TOP</v>
      </c>
      <c r="Z268">
        <v>87082900</v>
      </c>
      <c r="AA268">
        <v>480</v>
      </c>
      <c r="AB268" t="s">
        <v>159</v>
      </c>
      <c r="AC268">
        <v>174.61</v>
      </c>
      <c r="AD268" t="s">
        <v>160</v>
      </c>
      <c r="AE268" s="24">
        <v>83812.800000000003</v>
      </c>
      <c r="AF268">
        <v>0</v>
      </c>
      <c r="AG268" s="24">
        <v>83812.800000000003</v>
      </c>
      <c r="AH268">
        <v>0</v>
      </c>
      <c r="AI268">
        <v>0</v>
      </c>
      <c r="AJ268">
        <v>0</v>
      </c>
      <c r="AK268">
        <v>0</v>
      </c>
      <c r="AL268" s="24">
        <v>83812.800000000003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s="24">
        <v>83812.800000000003</v>
      </c>
      <c r="AV268">
        <v>0</v>
      </c>
      <c r="AW268">
        <v>0</v>
      </c>
      <c r="AX268">
        <v>311000</v>
      </c>
      <c r="AY268" t="s">
        <v>161</v>
      </c>
      <c r="AZ268">
        <v>0</v>
      </c>
      <c r="BA268">
        <v>0</v>
      </c>
      <c r="BB268">
        <v>0</v>
      </c>
      <c r="BC268" t="s">
        <v>179</v>
      </c>
      <c r="BD268">
        <v>1511</v>
      </c>
      <c r="BE268" t="s">
        <v>174</v>
      </c>
      <c r="BF268">
        <v>5094110867</v>
      </c>
      <c r="BG268" t="s">
        <v>334</v>
      </c>
    </row>
    <row r="269" spans="1:59">
      <c r="A269">
        <v>1115</v>
      </c>
      <c r="B269">
        <v>1115</v>
      </c>
      <c r="C269">
        <v>10</v>
      </c>
      <c r="D269">
        <v>2</v>
      </c>
      <c r="E269" t="s">
        <v>152</v>
      </c>
      <c r="F269" t="s">
        <v>153</v>
      </c>
      <c r="G269" t="s">
        <v>154</v>
      </c>
      <c r="H269">
        <v>1526006009</v>
      </c>
      <c r="I269">
        <v>1000006271</v>
      </c>
      <c r="L269" t="s">
        <v>334</v>
      </c>
      <c r="M269">
        <v>5100001636</v>
      </c>
      <c r="N269" t="s">
        <v>155</v>
      </c>
      <c r="O269" t="s">
        <v>156</v>
      </c>
      <c r="P269">
        <v>4110026445</v>
      </c>
      <c r="Q269" t="s">
        <v>170</v>
      </c>
      <c r="R269">
        <v>5000</v>
      </c>
      <c r="S269" t="s">
        <v>166</v>
      </c>
      <c r="V269" t="s">
        <v>167</v>
      </c>
      <c r="W269">
        <v>1502020101</v>
      </c>
      <c r="X269" t="s">
        <v>25</v>
      </c>
      <c r="Y269" t="str">
        <f>VLOOKUP(W269,Sheet4!$A$5:$B$71,2,0)</f>
        <v>RE STYLING</v>
      </c>
      <c r="Z269">
        <v>87082900</v>
      </c>
      <c r="AA269">
        <v>15</v>
      </c>
      <c r="AB269" t="s">
        <v>159</v>
      </c>
      <c r="AC269" s="24">
        <v>6240.88</v>
      </c>
      <c r="AD269" t="s">
        <v>160</v>
      </c>
      <c r="AE269" s="24">
        <v>93613.2</v>
      </c>
      <c r="AF269">
        <v>0</v>
      </c>
      <c r="AG269" s="24">
        <v>93613.2</v>
      </c>
      <c r="AH269">
        <v>0</v>
      </c>
      <c r="AI269">
        <v>0</v>
      </c>
      <c r="AJ269">
        <v>0</v>
      </c>
      <c r="AK269">
        <v>0</v>
      </c>
      <c r="AL269" s="24">
        <v>93613.2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 s="24">
        <v>93613.2</v>
      </c>
      <c r="AV269">
        <v>0</v>
      </c>
      <c r="AW269">
        <v>0</v>
      </c>
      <c r="AX269">
        <v>311000</v>
      </c>
      <c r="AY269" t="s">
        <v>161</v>
      </c>
      <c r="AZ269">
        <v>58</v>
      </c>
      <c r="BA269">
        <v>58</v>
      </c>
      <c r="BB269">
        <v>0</v>
      </c>
      <c r="BC269" t="s">
        <v>208</v>
      </c>
      <c r="BD269">
        <v>1509</v>
      </c>
      <c r="BE269" t="s">
        <v>169</v>
      </c>
      <c r="BF269">
        <v>5094118047</v>
      </c>
      <c r="BG269" t="s">
        <v>334</v>
      </c>
    </row>
    <row r="270" spans="1:59">
      <c r="A270">
        <v>1115</v>
      </c>
      <c r="B270">
        <v>1115</v>
      </c>
      <c r="C270">
        <v>10</v>
      </c>
      <c r="D270">
        <v>2</v>
      </c>
      <c r="E270" t="s">
        <v>152</v>
      </c>
      <c r="F270" t="s">
        <v>153</v>
      </c>
      <c r="G270" t="s">
        <v>154</v>
      </c>
      <c r="H270">
        <v>1526006008</v>
      </c>
      <c r="I270">
        <v>1000006270</v>
      </c>
      <c r="L270" t="s">
        <v>334</v>
      </c>
      <c r="M270">
        <v>5100001949</v>
      </c>
      <c r="N270" t="s">
        <v>155</v>
      </c>
      <c r="O270" t="s">
        <v>156</v>
      </c>
      <c r="P270">
        <v>4110063766</v>
      </c>
      <c r="Q270" t="s">
        <v>252</v>
      </c>
      <c r="R270">
        <v>5000</v>
      </c>
      <c r="S270" t="s">
        <v>166</v>
      </c>
      <c r="V270" t="s">
        <v>167</v>
      </c>
      <c r="W270">
        <v>1502040322</v>
      </c>
      <c r="X270" t="s">
        <v>250</v>
      </c>
      <c r="Y270" t="str">
        <f>VLOOKUP(W270,Sheet4!$A$5:$B$71,2,0)</f>
        <v>DASH BOARD</v>
      </c>
      <c r="Z270">
        <v>87082900</v>
      </c>
      <c r="AA270">
        <v>150</v>
      </c>
      <c r="AB270" t="s">
        <v>159</v>
      </c>
      <c r="AC270">
        <v>291.27999999999997</v>
      </c>
      <c r="AD270" t="s">
        <v>160</v>
      </c>
      <c r="AE270" s="24">
        <v>43692</v>
      </c>
      <c r="AF270">
        <v>0</v>
      </c>
      <c r="AG270" s="24">
        <v>43692</v>
      </c>
      <c r="AH270">
        <v>0</v>
      </c>
      <c r="AI270">
        <v>0</v>
      </c>
      <c r="AJ270">
        <v>0</v>
      </c>
      <c r="AK270">
        <v>0</v>
      </c>
      <c r="AL270" s="24">
        <v>43692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s="24">
        <v>43692</v>
      </c>
      <c r="AV270">
        <v>0</v>
      </c>
      <c r="AW270">
        <v>0</v>
      </c>
      <c r="AX270">
        <v>311000</v>
      </c>
      <c r="AY270" t="s">
        <v>161</v>
      </c>
      <c r="AZ270">
        <v>2.37</v>
      </c>
      <c r="BA270">
        <v>2.37</v>
      </c>
      <c r="BB270">
        <v>0</v>
      </c>
      <c r="BC270" t="s">
        <v>251</v>
      </c>
      <c r="BD270">
        <v>1511</v>
      </c>
      <c r="BE270" t="s">
        <v>174</v>
      </c>
      <c r="BF270">
        <v>5094129030</v>
      </c>
      <c r="BG270" t="s">
        <v>334</v>
      </c>
    </row>
    <row r="271" spans="1:59">
      <c r="A271">
        <v>1115</v>
      </c>
      <c r="B271">
        <v>1115</v>
      </c>
      <c r="C271">
        <v>10</v>
      </c>
      <c r="D271">
        <v>2</v>
      </c>
      <c r="E271" t="s">
        <v>152</v>
      </c>
      <c r="F271" t="s">
        <v>153</v>
      </c>
      <c r="G271" t="s">
        <v>154</v>
      </c>
      <c r="H271">
        <v>1526006007</v>
      </c>
      <c r="I271">
        <v>1000006269</v>
      </c>
      <c r="L271" t="s">
        <v>334</v>
      </c>
      <c r="M271">
        <v>5100001899</v>
      </c>
      <c r="N271" t="s">
        <v>155</v>
      </c>
      <c r="O271" t="s">
        <v>156</v>
      </c>
      <c r="P271">
        <v>4110041854</v>
      </c>
      <c r="Q271" t="s">
        <v>172</v>
      </c>
      <c r="R271">
        <v>5000</v>
      </c>
      <c r="S271" t="s">
        <v>166</v>
      </c>
      <c r="V271" t="s">
        <v>167</v>
      </c>
      <c r="W271">
        <v>1502040267</v>
      </c>
      <c r="X271" t="s">
        <v>63</v>
      </c>
      <c r="Y271" t="str">
        <f>VLOOKUP(W271,Sheet4!$A$5:$B$71,2,0)</f>
        <v>DASH BOARD</v>
      </c>
      <c r="Z271">
        <v>87082900</v>
      </c>
      <c r="AA271">
        <v>256</v>
      </c>
      <c r="AB271" t="s">
        <v>159</v>
      </c>
      <c r="AC271">
        <v>290.89999999999998</v>
      </c>
      <c r="AD271" t="s">
        <v>160</v>
      </c>
      <c r="AE271" s="24">
        <v>74470.399999999994</v>
      </c>
      <c r="AF271">
        <v>0</v>
      </c>
      <c r="AG271" s="24">
        <v>74470.399999999994</v>
      </c>
      <c r="AH271">
        <v>0</v>
      </c>
      <c r="AI271">
        <v>0</v>
      </c>
      <c r="AJ271">
        <v>0</v>
      </c>
      <c r="AK271">
        <v>0</v>
      </c>
      <c r="AL271" s="24">
        <v>74470.399999999994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s="24">
        <v>74470.399999999994</v>
      </c>
      <c r="AV271">
        <v>0</v>
      </c>
      <c r="AW271">
        <v>0</v>
      </c>
      <c r="AX271">
        <v>311000</v>
      </c>
      <c r="AY271" t="s">
        <v>161</v>
      </c>
      <c r="AZ271">
        <v>4.5</v>
      </c>
      <c r="BA271">
        <v>4.5</v>
      </c>
      <c r="BB271">
        <v>0</v>
      </c>
      <c r="BC271" t="s">
        <v>173</v>
      </c>
      <c r="BD271">
        <v>1511</v>
      </c>
      <c r="BE271" t="s">
        <v>174</v>
      </c>
      <c r="BF271">
        <v>5094129178</v>
      </c>
      <c r="BG271" t="s">
        <v>334</v>
      </c>
    </row>
    <row r="272" spans="1:59">
      <c r="A272">
        <v>1115</v>
      </c>
      <c r="B272">
        <v>1115</v>
      </c>
      <c r="C272">
        <v>10</v>
      </c>
      <c r="D272">
        <v>2</v>
      </c>
      <c r="E272" t="s">
        <v>152</v>
      </c>
      <c r="F272" t="s">
        <v>153</v>
      </c>
      <c r="G272" t="s">
        <v>154</v>
      </c>
      <c r="H272">
        <v>1526006005</v>
      </c>
      <c r="I272">
        <v>1000006267</v>
      </c>
      <c r="L272" t="s">
        <v>334</v>
      </c>
      <c r="M272">
        <v>5100001928</v>
      </c>
      <c r="N272" t="s">
        <v>155</v>
      </c>
      <c r="O272" t="s">
        <v>156</v>
      </c>
      <c r="P272">
        <v>4110057393</v>
      </c>
      <c r="Q272" t="s">
        <v>192</v>
      </c>
      <c r="R272">
        <v>5000</v>
      </c>
      <c r="S272" t="s">
        <v>166</v>
      </c>
      <c r="V272" t="s">
        <v>167</v>
      </c>
      <c r="W272">
        <v>1502020122</v>
      </c>
      <c r="X272" t="s">
        <v>70</v>
      </c>
      <c r="Y272" t="str">
        <f>VLOOKUP(W272,Sheet4!$A$5:$B$71,2,0)</f>
        <v>MAX UG NEW EV</v>
      </c>
      <c r="Z272">
        <v>87082900</v>
      </c>
      <c r="AA272">
        <v>10</v>
      </c>
      <c r="AB272" t="s">
        <v>159</v>
      </c>
      <c r="AC272" s="24">
        <v>9566.51</v>
      </c>
      <c r="AD272" t="s">
        <v>160</v>
      </c>
      <c r="AE272" s="24">
        <v>95665.1</v>
      </c>
      <c r="AF272">
        <v>0</v>
      </c>
      <c r="AG272" s="24">
        <v>95665.1</v>
      </c>
      <c r="AH272">
        <v>0</v>
      </c>
      <c r="AI272">
        <v>0</v>
      </c>
      <c r="AJ272">
        <v>0</v>
      </c>
      <c r="AK272">
        <v>0</v>
      </c>
      <c r="AL272" s="24">
        <v>95665.1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s="24">
        <v>95665.1</v>
      </c>
      <c r="AV272">
        <v>0</v>
      </c>
      <c r="AW272">
        <v>0</v>
      </c>
      <c r="AX272">
        <v>311000</v>
      </c>
      <c r="AY272" t="s">
        <v>161</v>
      </c>
      <c r="AZ272">
        <v>0</v>
      </c>
      <c r="BA272">
        <v>61</v>
      </c>
      <c r="BB272">
        <v>-61</v>
      </c>
      <c r="BC272" t="s">
        <v>193</v>
      </c>
      <c r="BD272">
        <v>1509</v>
      </c>
      <c r="BE272" t="s">
        <v>169</v>
      </c>
      <c r="BF272">
        <v>5094112461</v>
      </c>
      <c r="BG272" t="s">
        <v>334</v>
      </c>
    </row>
    <row r="273" spans="1:59">
      <c r="A273">
        <v>1115</v>
      </c>
      <c r="B273">
        <v>1115</v>
      </c>
      <c r="C273">
        <v>10</v>
      </c>
      <c r="D273">
        <v>2</v>
      </c>
      <c r="E273" t="s">
        <v>152</v>
      </c>
      <c r="F273" t="s">
        <v>153</v>
      </c>
      <c r="G273" t="s">
        <v>154</v>
      </c>
      <c r="H273">
        <v>1526006004</v>
      </c>
      <c r="I273">
        <v>1000006266</v>
      </c>
      <c r="L273" t="s">
        <v>334</v>
      </c>
      <c r="M273">
        <v>5100001928</v>
      </c>
      <c r="N273" t="s">
        <v>155</v>
      </c>
      <c r="O273" t="s">
        <v>156</v>
      </c>
      <c r="P273">
        <v>4110057393</v>
      </c>
      <c r="Q273" t="s">
        <v>192</v>
      </c>
      <c r="R273">
        <v>5000</v>
      </c>
      <c r="S273" t="s">
        <v>166</v>
      </c>
      <c r="V273" t="s">
        <v>167</v>
      </c>
      <c r="W273">
        <v>1502020122</v>
      </c>
      <c r="X273" t="s">
        <v>70</v>
      </c>
      <c r="Y273" t="str">
        <f>VLOOKUP(W273,Sheet4!$A$5:$B$71,2,0)</f>
        <v>MAX UG NEW EV</v>
      </c>
      <c r="Z273">
        <v>87082900</v>
      </c>
      <c r="AA273">
        <v>10</v>
      </c>
      <c r="AB273" t="s">
        <v>159</v>
      </c>
      <c r="AC273" s="24">
        <v>9566.51</v>
      </c>
      <c r="AD273" t="s">
        <v>160</v>
      </c>
      <c r="AE273" s="24">
        <v>95665.1</v>
      </c>
      <c r="AF273">
        <v>0</v>
      </c>
      <c r="AG273" s="24">
        <v>95665.1</v>
      </c>
      <c r="AH273">
        <v>0</v>
      </c>
      <c r="AI273">
        <v>0</v>
      </c>
      <c r="AJ273">
        <v>0</v>
      </c>
      <c r="AK273">
        <v>0</v>
      </c>
      <c r="AL273" s="24">
        <v>95665.1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 s="24">
        <v>95665.1</v>
      </c>
      <c r="AV273">
        <v>0</v>
      </c>
      <c r="AW273">
        <v>0</v>
      </c>
      <c r="AX273">
        <v>311000</v>
      </c>
      <c r="AY273" t="s">
        <v>161</v>
      </c>
      <c r="AZ273">
        <v>0</v>
      </c>
      <c r="BA273">
        <v>61</v>
      </c>
      <c r="BB273">
        <v>-61</v>
      </c>
      <c r="BC273" t="s">
        <v>193</v>
      </c>
      <c r="BD273">
        <v>1509</v>
      </c>
      <c r="BE273" t="s">
        <v>169</v>
      </c>
      <c r="BF273">
        <v>5094109888</v>
      </c>
      <c r="BG273" t="s">
        <v>334</v>
      </c>
    </row>
    <row r="274" spans="1:59">
      <c r="A274">
        <v>1115</v>
      </c>
      <c r="B274">
        <v>1115</v>
      </c>
      <c r="C274">
        <v>10</v>
      </c>
      <c r="D274">
        <v>2</v>
      </c>
      <c r="E274" t="s">
        <v>152</v>
      </c>
      <c r="F274" t="s">
        <v>153</v>
      </c>
      <c r="G274" t="s">
        <v>154</v>
      </c>
      <c r="H274">
        <v>1526006003</v>
      </c>
      <c r="I274">
        <v>1000006265</v>
      </c>
      <c r="L274" t="s">
        <v>334</v>
      </c>
      <c r="M274">
        <v>5100001928</v>
      </c>
      <c r="N274" t="s">
        <v>155</v>
      </c>
      <c r="O274" t="s">
        <v>156</v>
      </c>
      <c r="P274">
        <v>4110057393</v>
      </c>
      <c r="Q274" t="s">
        <v>192</v>
      </c>
      <c r="R274">
        <v>5000</v>
      </c>
      <c r="S274" t="s">
        <v>166</v>
      </c>
      <c r="V274" t="s">
        <v>167</v>
      </c>
      <c r="W274">
        <v>1502020122</v>
      </c>
      <c r="X274" t="s">
        <v>70</v>
      </c>
      <c r="Y274" t="str">
        <f>VLOOKUP(W274,Sheet4!$A$5:$B$71,2,0)</f>
        <v>MAX UG NEW EV</v>
      </c>
      <c r="Z274">
        <v>87082900</v>
      </c>
      <c r="AA274">
        <v>10</v>
      </c>
      <c r="AB274" t="s">
        <v>159</v>
      </c>
      <c r="AC274" s="24">
        <v>9566.51</v>
      </c>
      <c r="AD274" t="s">
        <v>160</v>
      </c>
      <c r="AE274" s="24">
        <v>95665.1</v>
      </c>
      <c r="AF274">
        <v>0</v>
      </c>
      <c r="AG274" s="24">
        <v>95665.1</v>
      </c>
      <c r="AH274">
        <v>0</v>
      </c>
      <c r="AI274">
        <v>0</v>
      </c>
      <c r="AJ274">
        <v>0</v>
      </c>
      <c r="AK274">
        <v>0</v>
      </c>
      <c r="AL274" s="24">
        <v>95665.1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s="24">
        <v>95665.1</v>
      </c>
      <c r="AV274">
        <v>0</v>
      </c>
      <c r="AW274">
        <v>0</v>
      </c>
      <c r="AX274">
        <v>311000</v>
      </c>
      <c r="AY274" t="s">
        <v>161</v>
      </c>
      <c r="AZ274">
        <v>0</v>
      </c>
      <c r="BA274">
        <v>61</v>
      </c>
      <c r="BB274">
        <v>-61</v>
      </c>
      <c r="BC274" t="s">
        <v>193</v>
      </c>
      <c r="BD274">
        <v>1509</v>
      </c>
      <c r="BE274" t="s">
        <v>169</v>
      </c>
      <c r="BF274">
        <v>5094112327</v>
      </c>
      <c r="BG274" t="s">
        <v>334</v>
      </c>
    </row>
    <row r="275" spans="1:59">
      <c r="A275">
        <v>1115</v>
      </c>
      <c r="B275">
        <v>1115</v>
      </c>
      <c r="C275">
        <v>10</v>
      </c>
      <c r="D275">
        <v>2</v>
      </c>
      <c r="E275" t="s">
        <v>152</v>
      </c>
      <c r="F275" t="s">
        <v>153</v>
      </c>
      <c r="G275" t="s">
        <v>154</v>
      </c>
      <c r="H275">
        <v>1526006002</v>
      </c>
      <c r="I275">
        <v>1000006264</v>
      </c>
      <c r="L275" t="s">
        <v>334</v>
      </c>
      <c r="M275">
        <v>5100001928</v>
      </c>
      <c r="N275" t="s">
        <v>155</v>
      </c>
      <c r="O275" t="s">
        <v>156</v>
      </c>
      <c r="P275">
        <v>4110057393</v>
      </c>
      <c r="Q275" t="s">
        <v>192</v>
      </c>
      <c r="R275">
        <v>5000</v>
      </c>
      <c r="S275" t="s">
        <v>166</v>
      </c>
      <c r="V275" t="s">
        <v>167</v>
      </c>
      <c r="W275">
        <v>1502020122</v>
      </c>
      <c r="X275" t="s">
        <v>70</v>
      </c>
      <c r="Y275" t="str">
        <f>VLOOKUP(W275,Sheet4!$A$5:$B$71,2,0)</f>
        <v>MAX UG NEW EV</v>
      </c>
      <c r="Z275">
        <v>87082900</v>
      </c>
      <c r="AA275">
        <v>10</v>
      </c>
      <c r="AB275" t="s">
        <v>159</v>
      </c>
      <c r="AC275" s="24">
        <v>9566.51</v>
      </c>
      <c r="AD275" t="s">
        <v>160</v>
      </c>
      <c r="AE275" s="24">
        <v>95665.1</v>
      </c>
      <c r="AF275">
        <v>0</v>
      </c>
      <c r="AG275" s="24">
        <v>95665.1</v>
      </c>
      <c r="AH275">
        <v>0</v>
      </c>
      <c r="AI275">
        <v>0</v>
      </c>
      <c r="AJ275">
        <v>0</v>
      </c>
      <c r="AK275">
        <v>0</v>
      </c>
      <c r="AL275" s="24">
        <v>95665.1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 s="24">
        <v>95665.1</v>
      </c>
      <c r="AV275">
        <v>0</v>
      </c>
      <c r="AW275">
        <v>0</v>
      </c>
      <c r="AX275">
        <v>311000</v>
      </c>
      <c r="AY275" t="s">
        <v>161</v>
      </c>
      <c r="AZ275">
        <v>0</v>
      </c>
      <c r="BA275">
        <v>61</v>
      </c>
      <c r="BB275">
        <v>-61</v>
      </c>
      <c r="BC275" t="s">
        <v>193</v>
      </c>
      <c r="BD275">
        <v>1509</v>
      </c>
      <c r="BE275" t="s">
        <v>169</v>
      </c>
      <c r="BF275">
        <v>5094112432</v>
      </c>
      <c r="BG275" t="s">
        <v>334</v>
      </c>
    </row>
    <row r="276" spans="1:59">
      <c r="A276">
        <v>1115</v>
      </c>
      <c r="B276">
        <v>1115</v>
      </c>
      <c r="C276">
        <v>10</v>
      </c>
      <c r="D276">
        <v>2</v>
      </c>
      <c r="E276" t="s">
        <v>152</v>
      </c>
      <c r="F276" t="s">
        <v>153</v>
      </c>
      <c r="G276" t="s">
        <v>154</v>
      </c>
      <c r="H276">
        <v>1526006001</v>
      </c>
      <c r="I276">
        <v>1000006263</v>
      </c>
      <c r="L276" t="s">
        <v>334</v>
      </c>
      <c r="M276">
        <v>5100001928</v>
      </c>
      <c r="N276" t="s">
        <v>155</v>
      </c>
      <c r="O276" t="s">
        <v>156</v>
      </c>
      <c r="P276">
        <v>4110057393</v>
      </c>
      <c r="Q276" t="s">
        <v>192</v>
      </c>
      <c r="R276">
        <v>5000</v>
      </c>
      <c r="S276" t="s">
        <v>166</v>
      </c>
      <c r="V276" t="s">
        <v>167</v>
      </c>
      <c r="W276">
        <v>1502020122</v>
      </c>
      <c r="X276" t="s">
        <v>70</v>
      </c>
      <c r="Y276" t="str">
        <f>VLOOKUP(W276,Sheet4!$A$5:$B$71,2,0)</f>
        <v>MAX UG NEW EV</v>
      </c>
      <c r="Z276">
        <v>87082900</v>
      </c>
      <c r="AA276">
        <v>10</v>
      </c>
      <c r="AB276" t="s">
        <v>159</v>
      </c>
      <c r="AC276" s="24">
        <v>9566.51</v>
      </c>
      <c r="AD276" t="s">
        <v>160</v>
      </c>
      <c r="AE276" s="24">
        <v>95665.1</v>
      </c>
      <c r="AF276">
        <v>0</v>
      </c>
      <c r="AG276" s="24">
        <v>95665.1</v>
      </c>
      <c r="AH276">
        <v>0</v>
      </c>
      <c r="AI276">
        <v>0</v>
      </c>
      <c r="AJ276">
        <v>0</v>
      </c>
      <c r="AK276">
        <v>0</v>
      </c>
      <c r="AL276" s="24">
        <v>95665.1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 s="24">
        <v>95665.1</v>
      </c>
      <c r="AV276">
        <v>0</v>
      </c>
      <c r="AW276">
        <v>0</v>
      </c>
      <c r="AX276">
        <v>311000</v>
      </c>
      <c r="AY276" t="s">
        <v>161</v>
      </c>
      <c r="AZ276">
        <v>0</v>
      </c>
      <c r="BA276">
        <v>61</v>
      </c>
      <c r="BB276">
        <v>-61</v>
      </c>
      <c r="BC276" t="s">
        <v>193</v>
      </c>
      <c r="BD276">
        <v>1509</v>
      </c>
      <c r="BE276" t="s">
        <v>169</v>
      </c>
      <c r="BF276">
        <v>5094113778</v>
      </c>
      <c r="BG276" t="s">
        <v>334</v>
      </c>
    </row>
    <row r="277" spans="1:59">
      <c r="A277">
        <v>1115</v>
      </c>
      <c r="B277">
        <v>1115</v>
      </c>
      <c r="C277">
        <v>10</v>
      </c>
      <c r="D277">
        <v>2</v>
      </c>
      <c r="E277" t="s">
        <v>152</v>
      </c>
      <c r="F277" t="s">
        <v>153</v>
      </c>
      <c r="G277" t="s">
        <v>154</v>
      </c>
      <c r="H277">
        <v>1526006000</v>
      </c>
      <c r="I277">
        <v>1000006262</v>
      </c>
      <c r="L277" t="s">
        <v>334</v>
      </c>
      <c r="M277">
        <v>5100001101</v>
      </c>
      <c r="N277" t="s">
        <v>155</v>
      </c>
      <c r="O277" t="s">
        <v>156</v>
      </c>
      <c r="P277">
        <v>4110004653</v>
      </c>
      <c r="Q277" t="s">
        <v>177</v>
      </c>
      <c r="R277">
        <v>5000</v>
      </c>
      <c r="S277" t="s">
        <v>166</v>
      </c>
      <c r="V277" t="s">
        <v>167</v>
      </c>
      <c r="W277">
        <v>1502040194</v>
      </c>
      <c r="X277" t="s">
        <v>44</v>
      </c>
      <c r="Y277" t="str">
        <f>VLOOKUP(W277,Sheet4!$A$5:$B$71,2,0)</f>
        <v>CRADEL</v>
      </c>
      <c r="Z277">
        <v>87082900</v>
      </c>
      <c r="AA277">
        <v>48</v>
      </c>
      <c r="AB277" t="s">
        <v>159</v>
      </c>
      <c r="AC277">
        <v>956.92</v>
      </c>
      <c r="AD277" t="s">
        <v>160</v>
      </c>
      <c r="AE277" s="24">
        <v>45932.160000000003</v>
      </c>
      <c r="AF277">
        <v>0</v>
      </c>
      <c r="AG277" s="24">
        <v>45932.160000000003</v>
      </c>
      <c r="AH277">
        <v>0</v>
      </c>
      <c r="AI277">
        <v>0</v>
      </c>
      <c r="AJ277">
        <v>0</v>
      </c>
      <c r="AK277">
        <v>0</v>
      </c>
      <c r="AL277" s="24">
        <v>45932.160000000003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s="24">
        <v>45932.160000000003</v>
      </c>
      <c r="AV277">
        <v>0</v>
      </c>
      <c r="AW277">
        <v>0</v>
      </c>
      <c r="AX277">
        <v>311000</v>
      </c>
      <c r="AY277" t="s">
        <v>161</v>
      </c>
      <c r="AZ277">
        <v>6.3769999999999998</v>
      </c>
      <c r="BA277">
        <v>6.3769999999999998</v>
      </c>
      <c r="BB277">
        <v>0</v>
      </c>
      <c r="BC277" t="s">
        <v>184</v>
      </c>
      <c r="BD277">
        <v>1511</v>
      </c>
      <c r="BE277" t="s">
        <v>174</v>
      </c>
      <c r="BF277">
        <v>5094115845</v>
      </c>
      <c r="BG277" t="s">
        <v>334</v>
      </c>
    </row>
    <row r="278" spans="1:59">
      <c r="A278">
        <v>1115</v>
      </c>
      <c r="B278">
        <v>1115</v>
      </c>
      <c r="C278">
        <v>10</v>
      </c>
      <c r="D278">
        <v>2</v>
      </c>
      <c r="E278" t="s">
        <v>152</v>
      </c>
      <c r="F278" t="s">
        <v>153</v>
      </c>
      <c r="G278" t="s">
        <v>154</v>
      </c>
      <c r="H278">
        <v>1526005999</v>
      </c>
      <c r="I278">
        <v>1000006261</v>
      </c>
      <c r="L278" t="s">
        <v>334</v>
      </c>
      <c r="M278">
        <v>5100001101</v>
      </c>
      <c r="N278" t="s">
        <v>155</v>
      </c>
      <c r="O278" t="s">
        <v>156</v>
      </c>
      <c r="P278">
        <v>4110004653</v>
      </c>
      <c r="Q278" t="s">
        <v>177</v>
      </c>
      <c r="R278">
        <v>5000</v>
      </c>
      <c r="S278" t="s">
        <v>166</v>
      </c>
      <c r="V278" t="s">
        <v>167</v>
      </c>
      <c r="W278">
        <v>1502040194</v>
      </c>
      <c r="X278" t="s">
        <v>44</v>
      </c>
      <c r="Y278" t="str">
        <f>VLOOKUP(W278,Sheet4!$A$5:$B$71,2,0)</f>
        <v>CRADEL</v>
      </c>
      <c r="Z278">
        <v>87082900</v>
      </c>
      <c r="AA278">
        <v>48</v>
      </c>
      <c r="AB278" t="s">
        <v>159</v>
      </c>
      <c r="AC278">
        <v>956.92</v>
      </c>
      <c r="AD278" t="s">
        <v>160</v>
      </c>
      <c r="AE278" s="24">
        <v>45932.160000000003</v>
      </c>
      <c r="AF278">
        <v>0</v>
      </c>
      <c r="AG278" s="24">
        <v>45932.160000000003</v>
      </c>
      <c r="AH278">
        <v>0</v>
      </c>
      <c r="AI278">
        <v>0</v>
      </c>
      <c r="AJ278">
        <v>0</v>
      </c>
      <c r="AK278">
        <v>0</v>
      </c>
      <c r="AL278" s="24">
        <v>45932.160000000003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s="24">
        <v>45932.160000000003</v>
      </c>
      <c r="AV278">
        <v>0</v>
      </c>
      <c r="AW278">
        <v>0</v>
      </c>
      <c r="AX278">
        <v>311000</v>
      </c>
      <c r="AY278" t="s">
        <v>161</v>
      </c>
      <c r="AZ278">
        <v>6.3769999999999998</v>
      </c>
      <c r="BA278">
        <v>6.3769999999999998</v>
      </c>
      <c r="BB278">
        <v>0</v>
      </c>
      <c r="BC278" t="s">
        <v>184</v>
      </c>
      <c r="BD278">
        <v>1511</v>
      </c>
      <c r="BE278" t="s">
        <v>174</v>
      </c>
      <c r="BF278">
        <v>5094112446</v>
      </c>
      <c r="BG278" t="s">
        <v>334</v>
      </c>
    </row>
    <row r="279" spans="1:59">
      <c r="A279">
        <v>1115</v>
      </c>
      <c r="B279">
        <v>1115</v>
      </c>
      <c r="C279">
        <v>10</v>
      </c>
      <c r="D279">
        <v>2</v>
      </c>
      <c r="E279" t="s">
        <v>152</v>
      </c>
      <c r="F279" t="s">
        <v>153</v>
      </c>
      <c r="G279" t="s">
        <v>154</v>
      </c>
      <c r="H279">
        <v>1526006046</v>
      </c>
      <c r="I279">
        <v>1000006309</v>
      </c>
      <c r="L279" t="s">
        <v>334</v>
      </c>
      <c r="M279">
        <v>5100001603</v>
      </c>
      <c r="N279" t="s">
        <v>155</v>
      </c>
      <c r="O279" t="s">
        <v>156</v>
      </c>
      <c r="P279">
        <v>4110025468</v>
      </c>
      <c r="Q279" t="s">
        <v>165</v>
      </c>
      <c r="R279">
        <v>5000</v>
      </c>
      <c r="S279" t="s">
        <v>166</v>
      </c>
      <c r="V279" t="s">
        <v>167</v>
      </c>
      <c r="W279">
        <v>1502020102</v>
      </c>
      <c r="X279" t="s">
        <v>58</v>
      </c>
      <c r="Y279" t="str">
        <f>VLOOKUP(W279,Sheet4!$A$5:$B$71,2,0)</f>
        <v>MAXIMA HD</v>
      </c>
      <c r="Z279">
        <v>87082900</v>
      </c>
      <c r="AA279">
        <v>8</v>
      </c>
      <c r="AB279" t="s">
        <v>159</v>
      </c>
      <c r="AC279" s="24">
        <v>8593.51</v>
      </c>
      <c r="AD279" t="s">
        <v>160</v>
      </c>
      <c r="AE279" s="24">
        <v>68748.08</v>
      </c>
      <c r="AF279">
        <v>0</v>
      </c>
      <c r="AG279" s="24">
        <v>68748.08</v>
      </c>
      <c r="AH279">
        <v>0</v>
      </c>
      <c r="AI279">
        <v>0</v>
      </c>
      <c r="AJ279">
        <v>0</v>
      </c>
      <c r="AK279">
        <v>0</v>
      </c>
      <c r="AL279" s="24">
        <v>68748.08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s="24">
        <v>68748.08</v>
      </c>
      <c r="AV279">
        <v>0</v>
      </c>
      <c r="AW279">
        <v>0</v>
      </c>
      <c r="AX279">
        <v>311000</v>
      </c>
      <c r="AY279" t="s">
        <v>161</v>
      </c>
      <c r="AZ279">
        <v>93.34</v>
      </c>
      <c r="BA279">
        <v>75.430000000000007</v>
      </c>
      <c r="BB279">
        <v>17.91</v>
      </c>
      <c r="BC279" t="s">
        <v>168</v>
      </c>
      <c r="BD279">
        <v>1509</v>
      </c>
      <c r="BE279" t="s">
        <v>169</v>
      </c>
      <c r="BF279">
        <v>5094119038</v>
      </c>
      <c r="BG279" t="s">
        <v>334</v>
      </c>
    </row>
    <row r="280" spans="1:59">
      <c r="A280">
        <v>1115</v>
      </c>
      <c r="B280">
        <v>1115</v>
      </c>
      <c r="C280">
        <v>10</v>
      </c>
      <c r="D280">
        <v>2</v>
      </c>
      <c r="E280" t="s">
        <v>152</v>
      </c>
      <c r="F280" t="s">
        <v>153</v>
      </c>
      <c r="G280" t="s">
        <v>154</v>
      </c>
      <c r="H280">
        <v>1526006090</v>
      </c>
      <c r="I280">
        <v>1000006360</v>
      </c>
      <c r="L280" t="s">
        <v>334</v>
      </c>
      <c r="M280">
        <v>5100001915</v>
      </c>
      <c r="N280" t="s">
        <v>155</v>
      </c>
      <c r="O280" t="s">
        <v>156</v>
      </c>
      <c r="P280">
        <v>4110052347</v>
      </c>
      <c r="Q280" t="s">
        <v>315</v>
      </c>
      <c r="R280">
        <v>5000</v>
      </c>
      <c r="S280" t="s">
        <v>166</v>
      </c>
      <c r="V280" t="s">
        <v>167</v>
      </c>
      <c r="W280">
        <v>1502040299</v>
      </c>
      <c r="X280" t="s">
        <v>316</v>
      </c>
      <c r="Y280" t="str">
        <f>VLOOKUP(W280,Sheet4!$A$5:$B$71,2,0)</f>
        <v>Re Side Door</v>
      </c>
      <c r="Z280">
        <v>87082900</v>
      </c>
      <c r="AA280">
        <v>80</v>
      </c>
      <c r="AB280" t="s">
        <v>159</v>
      </c>
      <c r="AC280">
        <v>166.23</v>
      </c>
      <c r="AD280" t="s">
        <v>160</v>
      </c>
      <c r="AE280" s="24">
        <v>13298.4</v>
      </c>
      <c r="AF280">
        <v>0</v>
      </c>
      <c r="AG280" s="24">
        <v>13298.4</v>
      </c>
      <c r="AH280">
        <v>0</v>
      </c>
      <c r="AI280">
        <v>0</v>
      </c>
      <c r="AJ280">
        <v>0</v>
      </c>
      <c r="AK280">
        <v>0</v>
      </c>
      <c r="AL280" s="24">
        <v>13298.4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s="24">
        <v>13298.4</v>
      </c>
      <c r="AV280">
        <v>0</v>
      </c>
      <c r="AW280">
        <v>0</v>
      </c>
      <c r="AX280">
        <v>311000</v>
      </c>
      <c r="AY280" t="s">
        <v>161</v>
      </c>
      <c r="AZ280">
        <v>0</v>
      </c>
      <c r="BA280">
        <v>0</v>
      </c>
      <c r="BB280">
        <v>0</v>
      </c>
      <c r="BC280" t="s">
        <v>317</v>
      </c>
      <c r="BD280">
        <v>1511</v>
      </c>
      <c r="BE280" t="s">
        <v>174</v>
      </c>
      <c r="BF280">
        <v>5094118582</v>
      </c>
      <c r="BG280" t="s">
        <v>334</v>
      </c>
    </row>
    <row r="281" spans="1:59">
      <c r="A281">
        <v>1115</v>
      </c>
      <c r="B281">
        <v>1115</v>
      </c>
      <c r="C281">
        <v>10</v>
      </c>
      <c r="D281">
        <v>2</v>
      </c>
      <c r="E281" t="s">
        <v>152</v>
      </c>
      <c r="F281" t="s">
        <v>153</v>
      </c>
      <c r="G281" t="s">
        <v>154</v>
      </c>
      <c r="H281">
        <v>1526006089</v>
      </c>
      <c r="I281">
        <v>1000006359</v>
      </c>
      <c r="L281" t="s">
        <v>334</v>
      </c>
      <c r="M281">
        <v>5100001915</v>
      </c>
      <c r="N281" t="s">
        <v>155</v>
      </c>
      <c r="O281" t="s">
        <v>156</v>
      </c>
      <c r="P281">
        <v>4110052347</v>
      </c>
      <c r="Q281" t="s">
        <v>315</v>
      </c>
      <c r="R281">
        <v>5000</v>
      </c>
      <c r="S281" t="s">
        <v>166</v>
      </c>
      <c r="V281" t="s">
        <v>167</v>
      </c>
      <c r="W281">
        <v>1502040298</v>
      </c>
      <c r="X281" t="s">
        <v>318</v>
      </c>
      <c r="Y281" t="str">
        <f>VLOOKUP(W281,Sheet4!$A$5:$B$71,2,0)</f>
        <v>Re Side Door</v>
      </c>
      <c r="Z281">
        <v>87082900</v>
      </c>
      <c r="AA281">
        <v>80</v>
      </c>
      <c r="AB281" t="s">
        <v>159</v>
      </c>
      <c r="AC281">
        <v>213.14</v>
      </c>
      <c r="AD281" t="s">
        <v>160</v>
      </c>
      <c r="AE281" s="24">
        <v>17051.2</v>
      </c>
      <c r="AF281">
        <v>0</v>
      </c>
      <c r="AG281" s="24">
        <v>17051.2</v>
      </c>
      <c r="AH281">
        <v>0</v>
      </c>
      <c r="AI281">
        <v>0</v>
      </c>
      <c r="AJ281">
        <v>0</v>
      </c>
      <c r="AK281">
        <v>0</v>
      </c>
      <c r="AL281" s="24">
        <v>17051.2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s="24">
        <v>17051.2</v>
      </c>
      <c r="AV281">
        <v>0</v>
      </c>
      <c r="AW281">
        <v>0</v>
      </c>
      <c r="AX281">
        <v>311000</v>
      </c>
      <c r="AY281" t="s">
        <v>161</v>
      </c>
      <c r="AZ281">
        <v>0</v>
      </c>
      <c r="BA281">
        <v>0</v>
      </c>
      <c r="BB281">
        <v>0</v>
      </c>
      <c r="BC281" t="s">
        <v>319</v>
      </c>
      <c r="BD281">
        <v>1511</v>
      </c>
      <c r="BE281" t="s">
        <v>174</v>
      </c>
      <c r="BF281">
        <v>5094118583</v>
      </c>
      <c r="BG281" t="s">
        <v>334</v>
      </c>
    </row>
    <row r="282" spans="1:59">
      <c r="A282">
        <v>1115</v>
      </c>
      <c r="B282">
        <v>1115</v>
      </c>
      <c r="C282">
        <v>10</v>
      </c>
      <c r="D282">
        <v>2</v>
      </c>
      <c r="E282" t="s">
        <v>152</v>
      </c>
      <c r="F282" t="s">
        <v>153</v>
      </c>
      <c r="G282" t="s">
        <v>154</v>
      </c>
      <c r="H282">
        <v>1526006088</v>
      </c>
      <c r="I282">
        <v>1000006358</v>
      </c>
      <c r="L282" t="s">
        <v>334</v>
      </c>
      <c r="M282">
        <v>5100001666</v>
      </c>
      <c r="N282" t="s">
        <v>155</v>
      </c>
      <c r="O282" t="s">
        <v>156</v>
      </c>
      <c r="P282">
        <v>4110027035</v>
      </c>
      <c r="Q282" t="s">
        <v>225</v>
      </c>
      <c r="R282">
        <v>5000</v>
      </c>
      <c r="S282" t="s">
        <v>166</v>
      </c>
      <c r="V282" t="s">
        <v>167</v>
      </c>
      <c r="W282">
        <v>1502020105</v>
      </c>
      <c r="X282" t="s">
        <v>226</v>
      </c>
      <c r="Y282" t="str">
        <f>VLOOKUP(W282,Sheet4!$A$5:$B$71,2,0)</f>
        <v>RE STYLING</v>
      </c>
      <c r="Z282">
        <v>87082900</v>
      </c>
      <c r="AA282">
        <v>15</v>
      </c>
      <c r="AB282" t="s">
        <v>159</v>
      </c>
      <c r="AC282" s="24">
        <v>6570.77</v>
      </c>
      <c r="AD282" t="s">
        <v>160</v>
      </c>
      <c r="AE282" s="24">
        <v>98561.55</v>
      </c>
      <c r="AF282">
        <v>0</v>
      </c>
      <c r="AG282" s="24">
        <v>98561.55</v>
      </c>
      <c r="AH282">
        <v>0</v>
      </c>
      <c r="AI282">
        <v>0</v>
      </c>
      <c r="AJ282">
        <v>0</v>
      </c>
      <c r="AK282">
        <v>0</v>
      </c>
      <c r="AL282" s="24">
        <v>98561.55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s="24">
        <v>98561.55</v>
      </c>
      <c r="AV282">
        <v>0</v>
      </c>
      <c r="AW282">
        <v>0</v>
      </c>
      <c r="AX282">
        <v>311000</v>
      </c>
      <c r="AY282" t="s">
        <v>161</v>
      </c>
      <c r="AZ282">
        <v>49.75</v>
      </c>
      <c r="BA282">
        <v>49.75</v>
      </c>
      <c r="BB282">
        <v>0</v>
      </c>
      <c r="BC282" t="s">
        <v>227</v>
      </c>
      <c r="BD282">
        <v>1509</v>
      </c>
      <c r="BE282" t="s">
        <v>169</v>
      </c>
      <c r="BF282">
        <v>5094130254</v>
      </c>
      <c r="BG282" t="s">
        <v>335</v>
      </c>
    </row>
    <row r="283" spans="1:59">
      <c r="A283">
        <v>1115</v>
      </c>
      <c r="B283">
        <v>1115</v>
      </c>
      <c r="C283">
        <v>10</v>
      </c>
      <c r="D283">
        <v>2</v>
      </c>
      <c r="E283" t="s">
        <v>152</v>
      </c>
      <c r="F283" t="s">
        <v>153</v>
      </c>
      <c r="G283" t="s">
        <v>154</v>
      </c>
      <c r="H283">
        <v>1526006087</v>
      </c>
      <c r="I283">
        <v>1000006357</v>
      </c>
      <c r="L283" t="s">
        <v>334</v>
      </c>
      <c r="M283">
        <v>5100001603</v>
      </c>
      <c r="N283" t="s">
        <v>155</v>
      </c>
      <c r="O283" t="s">
        <v>156</v>
      </c>
      <c r="P283">
        <v>4110025468</v>
      </c>
      <c r="Q283" t="s">
        <v>165</v>
      </c>
      <c r="R283">
        <v>5000</v>
      </c>
      <c r="S283" t="s">
        <v>166</v>
      </c>
      <c r="V283" t="s">
        <v>167</v>
      </c>
      <c r="W283">
        <v>1502020102</v>
      </c>
      <c r="X283" t="s">
        <v>58</v>
      </c>
      <c r="Y283" t="str">
        <f>VLOOKUP(W283,Sheet4!$A$5:$B$71,2,0)</f>
        <v>MAXIMA HD</v>
      </c>
      <c r="Z283">
        <v>87082900</v>
      </c>
      <c r="AA283">
        <v>8</v>
      </c>
      <c r="AB283" t="s">
        <v>159</v>
      </c>
      <c r="AC283" s="24">
        <v>8593.51</v>
      </c>
      <c r="AD283" t="s">
        <v>160</v>
      </c>
      <c r="AE283" s="24">
        <v>68748.08</v>
      </c>
      <c r="AF283">
        <v>0</v>
      </c>
      <c r="AG283" s="24">
        <v>68748.08</v>
      </c>
      <c r="AH283">
        <v>0</v>
      </c>
      <c r="AI283">
        <v>0</v>
      </c>
      <c r="AJ283">
        <v>0</v>
      </c>
      <c r="AK283">
        <v>0</v>
      </c>
      <c r="AL283" s="24">
        <v>68748.08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s="24">
        <v>68748.08</v>
      </c>
      <c r="AV283">
        <v>0</v>
      </c>
      <c r="AW283">
        <v>0</v>
      </c>
      <c r="AX283">
        <v>311000</v>
      </c>
      <c r="AY283" t="s">
        <v>161</v>
      </c>
      <c r="AZ283">
        <v>93.34</v>
      </c>
      <c r="BA283">
        <v>75.430000000000007</v>
      </c>
      <c r="BB283">
        <v>17.91</v>
      </c>
      <c r="BC283" t="s">
        <v>168</v>
      </c>
      <c r="BD283">
        <v>1509</v>
      </c>
      <c r="BE283" t="s">
        <v>169</v>
      </c>
      <c r="BF283">
        <v>5094122935</v>
      </c>
      <c r="BG283" t="s">
        <v>334</v>
      </c>
    </row>
    <row r="284" spans="1:59">
      <c r="A284">
        <v>1115</v>
      </c>
      <c r="B284">
        <v>1115</v>
      </c>
      <c r="C284">
        <v>10</v>
      </c>
      <c r="D284">
        <v>2</v>
      </c>
      <c r="E284" t="s">
        <v>152</v>
      </c>
      <c r="F284" t="s">
        <v>153</v>
      </c>
      <c r="G284" t="s">
        <v>154</v>
      </c>
      <c r="H284">
        <v>1526006086</v>
      </c>
      <c r="I284">
        <v>1000006356</v>
      </c>
      <c r="L284" t="s">
        <v>334</v>
      </c>
      <c r="M284">
        <v>5100001603</v>
      </c>
      <c r="N284" t="s">
        <v>155</v>
      </c>
      <c r="O284" t="s">
        <v>156</v>
      </c>
      <c r="P284">
        <v>4110025468</v>
      </c>
      <c r="Q284" t="s">
        <v>165</v>
      </c>
      <c r="R284">
        <v>5000</v>
      </c>
      <c r="S284" t="s">
        <v>166</v>
      </c>
      <c r="V284" t="s">
        <v>167</v>
      </c>
      <c r="W284">
        <v>1502020102</v>
      </c>
      <c r="X284" t="s">
        <v>58</v>
      </c>
      <c r="Y284" t="str">
        <f>VLOOKUP(W284,Sheet4!$A$5:$B$71,2,0)</f>
        <v>MAXIMA HD</v>
      </c>
      <c r="Z284">
        <v>87082900</v>
      </c>
      <c r="AA284">
        <v>8</v>
      </c>
      <c r="AB284" t="s">
        <v>159</v>
      </c>
      <c r="AC284" s="24">
        <v>8593.51</v>
      </c>
      <c r="AD284" t="s">
        <v>160</v>
      </c>
      <c r="AE284" s="24">
        <v>68748.08</v>
      </c>
      <c r="AF284">
        <v>0</v>
      </c>
      <c r="AG284" s="24">
        <v>68748.08</v>
      </c>
      <c r="AH284">
        <v>0</v>
      </c>
      <c r="AI284">
        <v>0</v>
      </c>
      <c r="AJ284">
        <v>0</v>
      </c>
      <c r="AK284">
        <v>0</v>
      </c>
      <c r="AL284" s="24">
        <v>68748.08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s="24">
        <v>68748.08</v>
      </c>
      <c r="AV284">
        <v>0</v>
      </c>
      <c r="AW284">
        <v>0</v>
      </c>
      <c r="AX284">
        <v>311000</v>
      </c>
      <c r="AY284" t="s">
        <v>161</v>
      </c>
      <c r="AZ284">
        <v>93.34</v>
      </c>
      <c r="BA284">
        <v>75.430000000000007</v>
      </c>
      <c r="BB284">
        <v>17.91</v>
      </c>
      <c r="BC284" t="s">
        <v>168</v>
      </c>
      <c r="BD284">
        <v>1509</v>
      </c>
      <c r="BE284" t="s">
        <v>169</v>
      </c>
      <c r="BF284">
        <v>5094122873</v>
      </c>
      <c r="BG284" t="s">
        <v>334</v>
      </c>
    </row>
    <row r="285" spans="1:59">
      <c r="A285">
        <v>1115</v>
      </c>
      <c r="B285">
        <v>1115</v>
      </c>
      <c r="C285">
        <v>10</v>
      </c>
      <c r="D285">
        <v>2</v>
      </c>
      <c r="E285" t="s">
        <v>152</v>
      </c>
      <c r="F285" t="s">
        <v>153</v>
      </c>
      <c r="G285" t="s">
        <v>154</v>
      </c>
      <c r="H285">
        <v>1526006085</v>
      </c>
      <c r="I285">
        <v>1000006355</v>
      </c>
      <c r="L285" t="s">
        <v>334</v>
      </c>
      <c r="M285">
        <v>5100001603</v>
      </c>
      <c r="N285" t="s">
        <v>155</v>
      </c>
      <c r="O285" t="s">
        <v>156</v>
      </c>
      <c r="P285">
        <v>4110025468</v>
      </c>
      <c r="Q285" t="s">
        <v>165</v>
      </c>
      <c r="R285">
        <v>5000</v>
      </c>
      <c r="S285" t="s">
        <v>166</v>
      </c>
      <c r="V285" t="s">
        <v>167</v>
      </c>
      <c r="W285">
        <v>1502020102</v>
      </c>
      <c r="X285" t="s">
        <v>58</v>
      </c>
      <c r="Y285" t="str">
        <f>VLOOKUP(W285,Sheet4!$A$5:$B$71,2,0)</f>
        <v>MAXIMA HD</v>
      </c>
      <c r="Z285">
        <v>87082900</v>
      </c>
      <c r="AA285">
        <v>8</v>
      </c>
      <c r="AB285" t="s">
        <v>159</v>
      </c>
      <c r="AC285" s="24">
        <v>8593.51</v>
      </c>
      <c r="AD285" t="s">
        <v>160</v>
      </c>
      <c r="AE285" s="24">
        <v>68748.08</v>
      </c>
      <c r="AF285">
        <v>0</v>
      </c>
      <c r="AG285" s="24">
        <v>68748.08</v>
      </c>
      <c r="AH285">
        <v>0</v>
      </c>
      <c r="AI285">
        <v>0</v>
      </c>
      <c r="AJ285">
        <v>0</v>
      </c>
      <c r="AK285">
        <v>0</v>
      </c>
      <c r="AL285" s="24">
        <v>68748.08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s="24">
        <v>68748.08</v>
      </c>
      <c r="AV285">
        <v>0</v>
      </c>
      <c r="AW285">
        <v>0</v>
      </c>
      <c r="AX285">
        <v>311000</v>
      </c>
      <c r="AY285" t="s">
        <v>161</v>
      </c>
      <c r="AZ285">
        <v>93.34</v>
      </c>
      <c r="BA285">
        <v>75.430000000000007</v>
      </c>
      <c r="BB285">
        <v>17.91</v>
      </c>
      <c r="BC285" t="s">
        <v>168</v>
      </c>
      <c r="BD285">
        <v>1509</v>
      </c>
      <c r="BE285" t="s">
        <v>169</v>
      </c>
      <c r="BF285">
        <v>5094121730</v>
      </c>
      <c r="BG285" t="s">
        <v>334</v>
      </c>
    </row>
    <row r="286" spans="1:59">
      <c r="A286">
        <v>1115</v>
      </c>
      <c r="B286">
        <v>1115</v>
      </c>
      <c r="C286">
        <v>10</v>
      </c>
      <c r="D286">
        <v>2</v>
      </c>
      <c r="E286" t="s">
        <v>152</v>
      </c>
      <c r="F286" t="s">
        <v>153</v>
      </c>
      <c r="G286" t="s">
        <v>154</v>
      </c>
      <c r="H286">
        <v>1526006084</v>
      </c>
      <c r="I286">
        <v>1000006353</v>
      </c>
      <c r="L286" t="s">
        <v>334</v>
      </c>
      <c r="M286">
        <v>5100001919</v>
      </c>
      <c r="N286" t="s">
        <v>155</v>
      </c>
      <c r="O286" t="s">
        <v>156</v>
      </c>
      <c r="P286">
        <v>5500000930</v>
      </c>
      <c r="Q286" t="s">
        <v>157</v>
      </c>
      <c r="R286">
        <v>5356</v>
      </c>
      <c r="S286" t="s">
        <v>158</v>
      </c>
      <c r="W286">
        <v>1502010011</v>
      </c>
      <c r="X286" t="s">
        <v>35</v>
      </c>
      <c r="Y286" t="str">
        <f>VLOOKUP(W286,Sheet4!$A$5:$B$71,2,0)</f>
        <v>REAR MUDGAURD</v>
      </c>
      <c r="Z286">
        <v>87082900</v>
      </c>
      <c r="AA286">
        <v>432</v>
      </c>
      <c r="AB286" t="s">
        <v>159</v>
      </c>
      <c r="AC286">
        <v>89.25</v>
      </c>
      <c r="AD286" t="s">
        <v>160</v>
      </c>
      <c r="AE286" s="24">
        <v>38556</v>
      </c>
      <c r="AF286">
        <v>0</v>
      </c>
      <c r="AG286" s="24">
        <v>38556</v>
      </c>
      <c r="AH286">
        <v>0</v>
      </c>
      <c r="AI286">
        <v>0</v>
      </c>
      <c r="AJ286">
        <v>0</v>
      </c>
      <c r="AK286">
        <v>0</v>
      </c>
      <c r="AL286" s="24">
        <v>38556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s="24">
        <v>38556</v>
      </c>
      <c r="AV286">
        <v>0</v>
      </c>
      <c r="AW286">
        <v>0</v>
      </c>
      <c r="AX286">
        <v>311000</v>
      </c>
      <c r="AY286" t="s">
        <v>161</v>
      </c>
      <c r="AZ286">
        <v>1.32</v>
      </c>
      <c r="BA286">
        <v>0.72399999999999998</v>
      </c>
      <c r="BB286">
        <v>0.59599999999999997</v>
      </c>
      <c r="BC286">
        <v>2000001017</v>
      </c>
      <c r="BD286">
        <v>1508</v>
      </c>
      <c r="BE286" t="s">
        <v>162</v>
      </c>
      <c r="BF286" t="s">
        <v>163</v>
      </c>
      <c r="BG286" t="s">
        <v>164</v>
      </c>
    </row>
    <row r="287" spans="1:59">
      <c r="A287">
        <v>1115</v>
      </c>
      <c r="B287">
        <v>1115</v>
      </c>
      <c r="C287">
        <v>10</v>
      </c>
      <c r="D287">
        <v>2</v>
      </c>
      <c r="E287" t="s">
        <v>152</v>
      </c>
      <c r="F287" t="s">
        <v>153</v>
      </c>
      <c r="G287" t="s">
        <v>154</v>
      </c>
      <c r="H287">
        <v>1526006083</v>
      </c>
      <c r="I287">
        <v>1000006352</v>
      </c>
      <c r="L287" t="s">
        <v>334</v>
      </c>
      <c r="M287">
        <v>5100001919</v>
      </c>
      <c r="N287" t="s">
        <v>155</v>
      </c>
      <c r="O287" t="s">
        <v>156</v>
      </c>
      <c r="P287">
        <v>5500000930</v>
      </c>
      <c r="Q287" t="s">
        <v>157</v>
      </c>
      <c r="R287">
        <v>5356</v>
      </c>
      <c r="S287" t="s">
        <v>158</v>
      </c>
      <c r="W287">
        <v>1502010011</v>
      </c>
      <c r="X287" t="s">
        <v>35</v>
      </c>
      <c r="Y287" t="str">
        <f>VLOOKUP(W287,Sheet4!$A$5:$B$71,2,0)</f>
        <v>REAR MUDGAURD</v>
      </c>
      <c r="Z287">
        <v>87082900</v>
      </c>
      <c r="AA287">
        <v>432</v>
      </c>
      <c r="AB287" t="s">
        <v>159</v>
      </c>
      <c r="AC287">
        <v>89.25</v>
      </c>
      <c r="AD287" t="s">
        <v>160</v>
      </c>
      <c r="AE287" s="24">
        <v>38556</v>
      </c>
      <c r="AF287">
        <v>0</v>
      </c>
      <c r="AG287" s="24">
        <v>38556</v>
      </c>
      <c r="AH287">
        <v>0</v>
      </c>
      <c r="AI287">
        <v>0</v>
      </c>
      <c r="AJ287">
        <v>0</v>
      </c>
      <c r="AK287">
        <v>0</v>
      </c>
      <c r="AL287" s="24">
        <v>38556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s="24">
        <v>38556</v>
      </c>
      <c r="AV287">
        <v>0</v>
      </c>
      <c r="AW287">
        <v>0</v>
      </c>
      <c r="AX287">
        <v>311000</v>
      </c>
      <c r="AY287" t="s">
        <v>161</v>
      </c>
      <c r="AZ287">
        <v>1.32</v>
      </c>
      <c r="BA287">
        <v>0.72399999999999998</v>
      </c>
      <c r="BB287">
        <v>0.59599999999999997</v>
      </c>
      <c r="BC287">
        <v>2000001017</v>
      </c>
      <c r="BD287">
        <v>1508</v>
      </c>
      <c r="BE287" t="s">
        <v>162</v>
      </c>
      <c r="BF287" t="s">
        <v>163</v>
      </c>
      <c r="BG287" t="s">
        <v>164</v>
      </c>
    </row>
    <row r="288" spans="1:59">
      <c r="A288">
        <v>1115</v>
      </c>
      <c r="B288">
        <v>1115</v>
      </c>
      <c r="C288">
        <v>10</v>
      </c>
      <c r="D288">
        <v>2</v>
      </c>
      <c r="E288" t="s">
        <v>152</v>
      </c>
      <c r="F288" t="s">
        <v>153</v>
      </c>
      <c r="G288" t="s">
        <v>154</v>
      </c>
      <c r="H288">
        <v>1526006082</v>
      </c>
      <c r="I288">
        <v>1000006350</v>
      </c>
      <c r="L288" t="s">
        <v>334</v>
      </c>
      <c r="M288">
        <v>5100001919</v>
      </c>
      <c r="N288" t="s">
        <v>155</v>
      </c>
      <c r="O288" t="s">
        <v>156</v>
      </c>
      <c r="P288">
        <v>5500000930</v>
      </c>
      <c r="Q288" t="s">
        <v>157</v>
      </c>
      <c r="R288">
        <v>5356</v>
      </c>
      <c r="S288" t="s">
        <v>158</v>
      </c>
      <c r="W288">
        <v>1502010011</v>
      </c>
      <c r="X288" t="s">
        <v>35</v>
      </c>
      <c r="Y288" t="str">
        <f>VLOOKUP(W288,Sheet4!$A$5:$B$71,2,0)</f>
        <v>REAR MUDGAURD</v>
      </c>
      <c r="Z288">
        <v>87082900</v>
      </c>
      <c r="AA288">
        <v>432</v>
      </c>
      <c r="AB288" t="s">
        <v>159</v>
      </c>
      <c r="AC288">
        <v>89.25</v>
      </c>
      <c r="AD288" t="s">
        <v>160</v>
      </c>
      <c r="AE288" s="24">
        <v>38556</v>
      </c>
      <c r="AF288">
        <v>0</v>
      </c>
      <c r="AG288" s="24">
        <v>38556</v>
      </c>
      <c r="AH288">
        <v>0</v>
      </c>
      <c r="AI288">
        <v>0</v>
      </c>
      <c r="AJ288">
        <v>0</v>
      </c>
      <c r="AK288">
        <v>0</v>
      </c>
      <c r="AL288" s="24">
        <v>38556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s="24">
        <v>38556</v>
      </c>
      <c r="AV288">
        <v>0</v>
      </c>
      <c r="AW288">
        <v>0</v>
      </c>
      <c r="AX288">
        <v>311000</v>
      </c>
      <c r="AY288" t="s">
        <v>161</v>
      </c>
      <c r="AZ288">
        <v>1.32</v>
      </c>
      <c r="BA288">
        <v>0.72399999999999998</v>
      </c>
      <c r="BB288">
        <v>0.59599999999999997</v>
      </c>
      <c r="BC288">
        <v>2000001017</v>
      </c>
      <c r="BD288">
        <v>1508</v>
      </c>
      <c r="BE288" t="s">
        <v>162</v>
      </c>
      <c r="BF288" t="s">
        <v>163</v>
      </c>
      <c r="BG288" t="s">
        <v>164</v>
      </c>
    </row>
    <row r="289" spans="1:59">
      <c r="A289">
        <v>1115</v>
      </c>
      <c r="B289">
        <v>1115</v>
      </c>
      <c r="C289">
        <v>10</v>
      </c>
      <c r="D289">
        <v>2</v>
      </c>
      <c r="E289" t="s">
        <v>152</v>
      </c>
      <c r="F289" t="s">
        <v>153</v>
      </c>
      <c r="G289" t="s">
        <v>154</v>
      </c>
      <c r="H289">
        <v>1526006081</v>
      </c>
      <c r="I289">
        <v>1000006349</v>
      </c>
      <c r="L289" t="s">
        <v>334</v>
      </c>
      <c r="M289">
        <v>5100001919</v>
      </c>
      <c r="N289" t="s">
        <v>155</v>
      </c>
      <c r="O289" t="s">
        <v>156</v>
      </c>
      <c r="P289">
        <v>5500000930</v>
      </c>
      <c r="Q289" t="s">
        <v>157</v>
      </c>
      <c r="R289">
        <v>5356</v>
      </c>
      <c r="S289" t="s">
        <v>158</v>
      </c>
      <c r="W289">
        <v>1502010011</v>
      </c>
      <c r="X289" t="s">
        <v>35</v>
      </c>
      <c r="Y289" t="str">
        <f>VLOOKUP(W289,Sheet4!$A$5:$B$71,2,0)</f>
        <v>REAR MUDGAURD</v>
      </c>
      <c r="Z289">
        <v>87082900</v>
      </c>
      <c r="AA289">
        <v>432</v>
      </c>
      <c r="AB289" t="s">
        <v>159</v>
      </c>
      <c r="AC289">
        <v>89.25</v>
      </c>
      <c r="AD289" t="s">
        <v>160</v>
      </c>
      <c r="AE289" s="24">
        <v>38556</v>
      </c>
      <c r="AF289">
        <v>0</v>
      </c>
      <c r="AG289" s="24">
        <v>38556</v>
      </c>
      <c r="AH289">
        <v>0</v>
      </c>
      <c r="AI289">
        <v>0</v>
      </c>
      <c r="AJ289">
        <v>0</v>
      </c>
      <c r="AK289">
        <v>0</v>
      </c>
      <c r="AL289" s="24">
        <v>38556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 s="24">
        <v>38556</v>
      </c>
      <c r="AV289">
        <v>0</v>
      </c>
      <c r="AW289">
        <v>0</v>
      </c>
      <c r="AX289">
        <v>311000</v>
      </c>
      <c r="AY289" t="s">
        <v>161</v>
      </c>
      <c r="AZ289">
        <v>1.32</v>
      </c>
      <c r="BA289">
        <v>0.72399999999999998</v>
      </c>
      <c r="BB289">
        <v>0.59599999999999997</v>
      </c>
      <c r="BC289">
        <v>2000001017</v>
      </c>
      <c r="BD289">
        <v>1508</v>
      </c>
      <c r="BE289" t="s">
        <v>162</v>
      </c>
      <c r="BF289" t="s">
        <v>163</v>
      </c>
      <c r="BG289" t="s">
        <v>164</v>
      </c>
    </row>
    <row r="290" spans="1:59">
      <c r="A290">
        <v>1115</v>
      </c>
      <c r="B290">
        <v>1115</v>
      </c>
      <c r="C290">
        <v>10</v>
      </c>
      <c r="D290">
        <v>2</v>
      </c>
      <c r="E290" t="s">
        <v>152</v>
      </c>
      <c r="F290" t="s">
        <v>153</v>
      </c>
      <c r="G290" t="s">
        <v>154</v>
      </c>
      <c r="H290">
        <v>1526006080</v>
      </c>
      <c r="I290">
        <v>1000006348</v>
      </c>
      <c r="L290" t="s">
        <v>334</v>
      </c>
      <c r="M290">
        <v>5100001919</v>
      </c>
      <c r="N290" t="s">
        <v>155</v>
      </c>
      <c r="O290" t="s">
        <v>156</v>
      </c>
      <c r="P290">
        <v>5500000930</v>
      </c>
      <c r="Q290" t="s">
        <v>157</v>
      </c>
      <c r="R290">
        <v>5356</v>
      </c>
      <c r="S290" t="s">
        <v>158</v>
      </c>
      <c r="W290">
        <v>1502010011</v>
      </c>
      <c r="X290" t="s">
        <v>35</v>
      </c>
      <c r="Y290" t="str">
        <f>VLOOKUP(W290,Sheet4!$A$5:$B$71,2,0)</f>
        <v>REAR MUDGAURD</v>
      </c>
      <c r="Z290">
        <v>87082900</v>
      </c>
      <c r="AA290">
        <v>432</v>
      </c>
      <c r="AB290" t="s">
        <v>159</v>
      </c>
      <c r="AC290">
        <v>89.25</v>
      </c>
      <c r="AD290" t="s">
        <v>160</v>
      </c>
      <c r="AE290" s="24">
        <v>38556</v>
      </c>
      <c r="AF290">
        <v>0</v>
      </c>
      <c r="AG290" s="24">
        <v>38556</v>
      </c>
      <c r="AH290">
        <v>0</v>
      </c>
      <c r="AI290">
        <v>0</v>
      </c>
      <c r="AJ290">
        <v>0</v>
      </c>
      <c r="AK290">
        <v>0</v>
      </c>
      <c r="AL290" s="24">
        <v>38556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s="24">
        <v>38556</v>
      </c>
      <c r="AV290">
        <v>0</v>
      </c>
      <c r="AW290">
        <v>0</v>
      </c>
      <c r="AX290">
        <v>311000</v>
      </c>
      <c r="AY290" t="s">
        <v>161</v>
      </c>
      <c r="AZ290">
        <v>1.32</v>
      </c>
      <c r="BA290">
        <v>0.72399999999999998</v>
      </c>
      <c r="BB290">
        <v>0.59599999999999997</v>
      </c>
      <c r="BC290">
        <v>2000001017</v>
      </c>
      <c r="BD290">
        <v>1508</v>
      </c>
      <c r="BE290" t="s">
        <v>162</v>
      </c>
      <c r="BF290" t="s">
        <v>163</v>
      </c>
      <c r="BG290" t="s">
        <v>164</v>
      </c>
    </row>
    <row r="291" spans="1:59">
      <c r="A291">
        <v>1115</v>
      </c>
      <c r="B291">
        <v>1115</v>
      </c>
      <c r="C291">
        <v>10</v>
      </c>
      <c r="D291">
        <v>2</v>
      </c>
      <c r="E291" t="s">
        <v>152</v>
      </c>
      <c r="F291" t="s">
        <v>153</v>
      </c>
      <c r="G291" t="s">
        <v>154</v>
      </c>
      <c r="H291">
        <v>1526006079</v>
      </c>
      <c r="I291">
        <v>1000006347</v>
      </c>
      <c r="L291" t="s">
        <v>334</v>
      </c>
      <c r="M291">
        <v>5100001919</v>
      </c>
      <c r="N291" t="s">
        <v>155</v>
      </c>
      <c r="O291" t="s">
        <v>156</v>
      </c>
      <c r="P291">
        <v>5500000930</v>
      </c>
      <c r="Q291" t="s">
        <v>157</v>
      </c>
      <c r="R291">
        <v>5356</v>
      </c>
      <c r="S291" t="s">
        <v>158</v>
      </c>
      <c r="W291">
        <v>1502010011</v>
      </c>
      <c r="X291" t="s">
        <v>35</v>
      </c>
      <c r="Y291" t="str">
        <f>VLOOKUP(W291,Sheet4!$A$5:$B$71,2,0)</f>
        <v>REAR MUDGAURD</v>
      </c>
      <c r="Z291">
        <v>87082900</v>
      </c>
      <c r="AA291">
        <v>432</v>
      </c>
      <c r="AB291" t="s">
        <v>159</v>
      </c>
      <c r="AC291">
        <v>89.25</v>
      </c>
      <c r="AD291" t="s">
        <v>160</v>
      </c>
      <c r="AE291" s="24">
        <v>38556</v>
      </c>
      <c r="AF291">
        <v>0</v>
      </c>
      <c r="AG291" s="24">
        <v>38556</v>
      </c>
      <c r="AH291">
        <v>0</v>
      </c>
      <c r="AI291">
        <v>0</v>
      </c>
      <c r="AJ291">
        <v>0</v>
      </c>
      <c r="AK291">
        <v>0</v>
      </c>
      <c r="AL291" s="24">
        <v>38556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s="24">
        <v>38556</v>
      </c>
      <c r="AV291">
        <v>0</v>
      </c>
      <c r="AW291">
        <v>0</v>
      </c>
      <c r="AX291">
        <v>311000</v>
      </c>
      <c r="AY291" t="s">
        <v>161</v>
      </c>
      <c r="AZ291">
        <v>1.32</v>
      </c>
      <c r="BA291">
        <v>0.72399999999999998</v>
      </c>
      <c r="BB291">
        <v>0.59599999999999997</v>
      </c>
      <c r="BC291">
        <v>2000001017</v>
      </c>
      <c r="BD291">
        <v>1508</v>
      </c>
      <c r="BE291" t="s">
        <v>162</v>
      </c>
      <c r="BF291" t="s">
        <v>163</v>
      </c>
      <c r="BG291" t="s">
        <v>164</v>
      </c>
    </row>
    <row r="292" spans="1:59">
      <c r="A292">
        <v>1115</v>
      </c>
      <c r="B292">
        <v>1115</v>
      </c>
      <c r="C292">
        <v>10</v>
      </c>
      <c r="D292">
        <v>2</v>
      </c>
      <c r="E292" t="s">
        <v>152</v>
      </c>
      <c r="F292" t="s">
        <v>153</v>
      </c>
      <c r="G292" t="s">
        <v>154</v>
      </c>
      <c r="H292">
        <v>1526006078</v>
      </c>
      <c r="I292">
        <v>1000006346</v>
      </c>
      <c r="L292" t="s">
        <v>334</v>
      </c>
      <c r="M292">
        <v>5100001919</v>
      </c>
      <c r="N292" t="s">
        <v>155</v>
      </c>
      <c r="O292" t="s">
        <v>156</v>
      </c>
      <c r="P292">
        <v>5500000930</v>
      </c>
      <c r="Q292" t="s">
        <v>157</v>
      </c>
      <c r="R292">
        <v>5356</v>
      </c>
      <c r="S292" t="s">
        <v>158</v>
      </c>
      <c r="W292">
        <v>1502010011</v>
      </c>
      <c r="X292" t="s">
        <v>35</v>
      </c>
      <c r="Y292" t="str">
        <f>VLOOKUP(W292,Sheet4!$A$5:$B$71,2,0)</f>
        <v>REAR MUDGAURD</v>
      </c>
      <c r="Z292">
        <v>87082900</v>
      </c>
      <c r="AA292">
        <v>432</v>
      </c>
      <c r="AB292" t="s">
        <v>159</v>
      </c>
      <c r="AC292">
        <v>89.25</v>
      </c>
      <c r="AD292" t="s">
        <v>160</v>
      </c>
      <c r="AE292" s="24">
        <v>38556</v>
      </c>
      <c r="AF292">
        <v>0</v>
      </c>
      <c r="AG292" s="24">
        <v>38556</v>
      </c>
      <c r="AH292">
        <v>0</v>
      </c>
      <c r="AI292">
        <v>0</v>
      </c>
      <c r="AJ292">
        <v>0</v>
      </c>
      <c r="AK292">
        <v>0</v>
      </c>
      <c r="AL292" s="24">
        <v>38556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s="24">
        <v>38556</v>
      </c>
      <c r="AV292">
        <v>0</v>
      </c>
      <c r="AW292">
        <v>0</v>
      </c>
      <c r="AX292">
        <v>311000</v>
      </c>
      <c r="AY292" t="s">
        <v>161</v>
      </c>
      <c r="AZ292">
        <v>1.32</v>
      </c>
      <c r="BA292">
        <v>0.72399999999999998</v>
      </c>
      <c r="BB292">
        <v>0.59599999999999997</v>
      </c>
      <c r="BC292">
        <v>2000001017</v>
      </c>
      <c r="BD292">
        <v>1508</v>
      </c>
      <c r="BE292" t="s">
        <v>162</v>
      </c>
      <c r="BF292" t="s">
        <v>163</v>
      </c>
      <c r="BG292" t="s">
        <v>164</v>
      </c>
    </row>
    <row r="293" spans="1:59">
      <c r="A293">
        <v>1115</v>
      </c>
      <c r="B293">
        <v>1115</v>
      </c>
      <c r="C293">
        <v>10</v>
      </c>
      <c r="D293">
        <v>2</v>
      </c>
      <c r="E293" t="s">
        <v>152</v>
      </c>
      <c r="F293" t="s">
        <v>153</v>
      </c>
      <c r="G293" t="s">
        <v>154</v>
      </c>
      <c r="H293">
        <v>1526006077</v>
      </c>
      <c r="I293">
        <v>1000006345</v>
      </c>
      <c r="L293" t="s">
        <v>334</v>
      </c>
      <c r="M293">
        <v>5100001919</v>
      </c>
      <c r="N293" t="s">
        <v>155</v>
      </c>
      <c r="O293" t="s">
        <v>156</v>
      </c>
      <c r="P293">
        <v>5500000930</v>
      </c>
      <c r="Q293" t="s">
        <v>157</v>
      </c>
      <c r="R293">
        <v>5356</v>
      </c>
      <c r="S293" t="s">
        <v>158</v>
      </c>
      <c r="W293">
        <v>1502010011</v>
      </c>
      <c r="X293" t="s">
        <v>35</v>
      </c>
      <c r="Y293" t="str">
        <f>VLOOKUP(W293,Sheet4!$A$5:$B$71,2,0)</f>
        <v>REAR MUDGAURD</v>
      </c>
      <c r="Z293">
        <v>87082900</v>
      </c>
      <c r="AA293">
        <v>432</v>
      </c>
      <c r="AB293" t="s">
        <v>159</v>
      </c>
      <c r="AC293">
        <v>89.25</v>
      </c>
      <c r="AD293" t="s">
        <v>160</v>
      </c>
      <c r="AE293" s="24">
        <v>38556</v>
      </c>
      <c r="AF293">
        <v>0</v>
      </c>
      <c r="AG293" s="24">
        <v>38556</v>
      </c>
      <c r="AH293">
        <v>0</v>
      </c>
      <c r="AI293">
        <v>0</v>
      </c>
      <c r="AJ293">
        <v>0</v>
      </c>
      <c r="AK293">
        <v>0</v>
      </c>
      <c r="AL293" s="24">
        <v>38556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s="24">
        <v>38556</v>
      </c>
      <c r="AV293">
        <v>0</v>
      </c>
      <c r="AW293">
        <v>0</v>
      </c>
      <c r="AX293">
        <v>311000</v>
      </c>
      <c r="AY293" t="s">
        <v>161</v>
      </c>
      <c r="AZ293">
        <v>1.32</v>
      </c>
      <c r="BA293">
        <v>0.72399999999999998</v>
      </c>
      <c r="BB293">
        <v>0.59599999999999997</v>
      </c>
      <c r="BC293">
        <v>2000001017</v>
      </c>
      <c r="BD293">
        <v>1508</v>
      </c>
      <c r="BE293" t="s">
        <v>162</v>
      </c>
      <c r="BF293" t="s">
        <v>163</v>
      </c>
      <c r="BG293" t="s">
        <v>164</v>
      </c>
    </row>
    <row r="294" spans="1:59">
      <c r="A294">
        <v>1115</v>
      </c>
      <c r="B294">
        <v>1115</v>
      </c>
      <c r="C294">
        <v>10</v>
      </c>
      <c r="D294">
        <v>2</v>
      </c>
      <c r="E294" t="s">
        <v>152</v>
      </c>
      <c r="F294" t="s">
        <v>153</v>
      </c>
      <c r="G294" t="s">
        <v>154</v>
      </c>
      <c r="H294">
        <v>1526006076</v>
      </c>
      <c r="I294">
        <v>1000006344</v>
      </c>
      <c r="L294" t="s">
        <v>334</v>
      </c>
      <c r="M294">
        <v>5100001919</v>
      </c>
      <c r="N294" t="s">
        <v>155</v>
      </c>
      <c r="O294" t="s">
        <v>156</v>
      </c>
      <c r="P294">
        <v>5500000930</v>
      </c>
      <c r="Q294" t="s">
        <v>157</v>
      </c>
      <c r="R294">
        <v>5356</v>
      </c>
      <c r="S294" t="s">
        <v>158</v>
      </c>
      <c r="W294">
        <v>1502010011</v>
      </c>
      <c r="X294" t="s">
        <v>35</v>
      </c>
      <c r="Y294" t="str">
        <f>VLOOKUP(W294,Sheet4!$A$5:$B$71,2,0)</f>
        <v>REAR MUDGAURD</v>
      </c>
      <c r="Z294">
        <v>87082900</v>
      </c>
      <c r="AA294">
        <v>432</v>
      </c>
      <c r="AB294" t="s">
        <v>159</v>
      </c>
      <c r="AC294">
        <v>89.25</v>
      </c>
      <c r="AD294" t="s">
        <v>160</v>
      </c>
      <c r="AE294" s="24">
        <v>38556</v>
      </c>
      <c r="AF294">
        <v>0</v>
      </c>
      <c r="AG294" s="24">
        <v>38556</v>
      </c>
      <c r="AH294">
        <v>0</v>
      </c>
      <c r="AI294">
        <v>0</v>
      </c>
      <c r="AJ294">
        <v>0</v>
      </c>
      <c r="AK294">
        <v>0</v>
      </c>
      <c r="AL294" s="24">
        <v>38556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s="24">
        <v>38556</v>
      </c>
      <c r="AV294">
        <v>0</v>
      </c>
      <c r="AW294">
        <v>0</v>
      </c>
      <c r="AX294">
        <v>311000</v>
      </c>
      <c r="AY294" t="s">
        <v>161</v>
      </c>
      <c r="AZ294">
        <v>1.32</v>
      </c>
      <c r="BA294">
        <v>0.72399999999999998</v>
      </c>
      <c r="BB294">
        <v>0.59599999999999997</v>
      </c>
      <c r="BC294">
        <v>2000001017</v>
      </c>
      <c r="BD294">
        <v>1508</v>
      </c>
      <c r="BE294" t="s">
        <v>162</v>
      </c>
      <c r="BF294" t="s">
        <v>163</v>
      </c>
      <c r="BG294" t="s">
        <v>164</v>
      </c>
    </row>
    <row r="295" spans="1:59">
      <c r="A295">
        <v>1115</v>
      </c>
      <c r="B295">
        <v>1115</v>
      </c>
      <c r="C295">
        <v>10</v>
      </c>
      <c r="D295">
        <v>2</v>
      </c>
      <c r="E295" t="s">
        <v>152</v>
      </c>
      <c r="F295" t="s">
        <v>153</v>
      </c>
      <c r="G295" t="s">
        <v>154</v>
      </c>
      <c r="H295">
        <v>1526006075</v>
      </c>
      <c r="I295">
        <v>1000006343</v>
      </c>
      <c r="L295" t="s">
        <v>334</v>
      </c>
      <c r="M295">
        <v>5100001919</v>
      </c>
      <c r="N295" t="s">
        <v>155</v>
      </c>
      <c r="O295" t="s">
        <v>156</v>
      </c>
      <c r="P295">
        <v>5500000930</v>
      </c>
      <c r="Q295" t="s">
        <v>157</v>
      </c>
      <c r="R295">
        <v>5356</v>
      </c>
      <c r="S295" t="s">
        <v>158</v>
      </c>
      <c r="W295">
        <v>1502010011</v>
      </c>
      <c r="X295" t="s">
        <v>35</v>
      </c>
      <c r="Y295" t="str">
        <f>VLOOKUP(W295,Sheet4!$A$5:$B$71,2,0)</f>
        <v>REAR MUDGAURD</v>
      </c>
      <c r="Z295">
        <v>87082900</v>
      </c>
      <c r="AA295">
        <v>432</v>
      </c>
      <c r="AB295" t="s">
        <v>159</v>
      </c>
      <c r="AC295">
        <v>89.25</v>
      </c>
      <c r="AD295" t="s">
        <v>160</v>
      </c>
      <c r="AE295" s="24">
        <v>38556</v>
      </c>
      <c r="AF295">
        <v>0</v>
      </c>
      <c r="AG295" s="24">
        <v>38556</v>
      </c>
      <c r="AH295">
        <v>0</v>
      </c>
      <c r="AI295">
        <v>0</v>
      </c>
      <c r="AJ295">
        <v>0</v>
      </c>
      <c r="AK295">
        <v>0</v>
      </c>
      <c r="AL295" s="24">
        <v>38556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s="24">
        <v>38556</v>
      </c>
      <c r="AV295">
        <v>0</v>
      </c>
      <c r="AW295">
        <v>0</v>
      </c>
      <c r="AX295">
        <v>311000</v>
      </c>
      <c r="AY295" t="s">
        <v>161</v>
      </c>
      <c r="AZ295">
        <v>1.32</v>
      </c>
      <c r="BA295">
        <v>0.72399999999999998</v>
      </c>
      <c r="BB295">
        <v>0.59599999999999997</v>
      </c>
      <c r="BC295">
        <v>2000001017</v>
      </c>
      <c r="BD295">
        <v>1508</v>
      </c>
      <c r="BE295" t="s">
        <v>162</v>
      </c>
      <c r="BF295" t="s">
        <v>163</v>
      </c>
      <c r="BG295" t="s">
        <v>164</v>
      </c>
    </row>
    <row r="296" spans="1:59">
      <c r="A296">
        <v>1115</v>
      </c>
      <c r="B296">
        <v>1115</v>
      </c>
      <c r="C296">
        <v>10</v>
      </c>
      <c r="D296">
        <v>2</v>
      </c>
      <c r="E296" t="s">
        <v>152</v>
      </c>
      <c r="F296" t="s">
        <v>153</v>
      </c>
      <c r="G296" t="s">
        <v>154</v>
      </c>
      <c r="H296">
        <v>1526006074</v>
      </c>
      <c r="I296">
        <v>1000006342</v>
      </c>
      <c r="L296" t="s">
        <v>334</v>
      </c>
      <c r="M296">
        <v>5100001919</v>
      </c>
      <c r="N296" t="s">
        <v>155</v>
      </c>
      <c r="O296" t="s">
        <v>156</v>
      </c>
      <c r="P296">
        <v>5500000930</v>
      </c>
      <c r="Q296" t="s">
        <v>157</v>
      </c>
      <c r="R296">
        <v>5356</v>
      </c>
      <c r="S296" t="s">
        <v>158</v>
      </c>
      <c r="W296">
        <v>1502010011</v>
      </c>
      <c r="X296" t="s">
        <v>35</v>
      </c>
      <c r="Y296" t="str">
        <f>VLOOKUP(W296,Sheet4!$A$5:$B$71,2,0)</f>
        <v>REAR MUDGAURD</v>
      </c>
      <c r="Z296">
        <v>87082900</v>
      </c>
      <c r="AA296">
        <v>432</v>
      </c>
      <c r="AB296" t="s">
        <v>159</v>
      </c>
      <c r="AC296">
        <v>89.25</v>
      </c>
      <c r="AD296" t="s">
        <v>160</v>
      </c>
      <c r="AE296" s="24">
        <v>38556</v>
      </c>
      <c r="AF296">
        <v>0</v>
      </c>
      <c r="AG296" s="24">
        <v>38556</v>
      </c>
      <c r="AH296">
        <v>0</v>
      </c>
      <c r="AI296">
        <v>0</v>
      </c>
      <c r="AJ296">
        <v>0</v>
      </c>
      <c r="AK296">
        <v>0</v>
      </c>
      <c r="AL296" s="24">
        <v>38556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s="24">
        <v>38556</v>
      </c>
      <c r="AV296">
        <v>0</v>
      </c>
      <c r="AW296">
        <v>0</v>
      </c>
      <c r="AX296">
        <v>311000</v>
      </c>
      <c r="AY296" t="s">
        <v>161</v>
      </c>
      <c r="AZ296">
        <v>1.32</v>
      </c>
      <c r="BA296">
        <v>0.72399999999999998</v>
      </c>
      <c r="BB296">
        <v>0.59599999999999997</v>
      </c>
      <c r="BC296">
        <v>2000001017</v>
      </c>
      <c r="BD296">
        <v>1508</v>
      </c>
      <c r="BE296" t="s">
        <v>162</v>
      </c>
      <c r="BF296" t="s">
        <v>163</v>
      </c>
      <c r="BG296" t="s">
        <v>164</v>
      </c>
    </row>
    <row r="297" spans="1:59">
      <c r="A297">
        <v>1115</v>
      </c>
      <c r="B297">
        <v>1115</v>
      </c>
      <c r="C297">
        <v>10</v>
      </c>
      <c r="D297">
        <v>2</v>
      </c>
      <c r="E297" t="s">
        <v>152</v>
      </c>
      <c r="F297" t="s">
        <v>153</v>
      </c>
      <c r="G297" t="s">
        <v>154</v>
      </c>
      <c r="H297">
        <v>1526006073</v>
      </c>
      <c r="I297">
        <v>1000006341</v>
      </c>
      <c r="L297" t="s">
        <v>334</v>
      </c>
      <c r="M297">
        <v>5100001919</v>
      </c>
      <c r="N297" t="s">
        <v>155</v>
      </c>
      <c r="O297" t="s">
        <v>156</v>
      </c>
      <c r="P297">
        <v>5500000930</v>
      </c>
      <c r="Q297" t="s">
        <v>157</v>
      </c>
      <c r="R297">
        <v>5356</v>
      </c>
      <c r="S297" t="s">
        <v>158</v>
      </c>
      <c r="W297">
        <v>1502010011</v>
      </c>
      <c r="X297" t="s">
        <v>35</v>
      </c>
      <c r="Y297" t="str">
        <f>VLOOKUP(W297,Sheet4!$A$5:$B$71,2,0)</f>
        <v>REAR MUDGAURD</v>
      </c>
      <c r="Z297">
        <v>87082900</v>
      </c>
      <c r="AA297">
        <v>432</v>
      </c>
      <c r="AB297" t="s">
        <v>159</v>
      </c>
      <c r="AC297">
        <v>89.25</v>
      </c>
      <c r="AD297" t="s">
        <v>160</v>
      </c>
      <c r="AE297" s="24">
        <v>38556</v>
      </c>
      <c r="AF297">
        <v>0</v>
      </c>
      <c r="AG297" s="24">
        <v>38556</v>
      </c>
      <c r="AH297">
        <v>0</v>
      </c>
      <c r="AI297">
        <v>0</v>
      </c>
      <c r="AJ297">
        <v>0</v>
      </c>
      <c r="AK297">
        <v>0</v>
      </c>
      <c r="AL297" s="24">
        <v>38556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s="24">
        <v>38556</v>
      </c>
      <c r="AV297">
        <v>0</v>
      </c>
      <c r="AW297">
        <v>0</v>
      </c>
      <c r="AX297">
        <v>311000</v>
      </c>
      <c r="AY297" t="s">
        <v>161</v>
      </c>
      <c r="AZ297">
        <v>1.32</v>
      </c>
      <c r="BA297">
        <v>0.72399999999999998</v>
      </c>
      <c r="BB297">
        <v>0.59599999999999997</v>
      </c>
      <c r="BC297">
        <v>2000001017</v>
      </c>
      <c r="BD297">
        <v>1508</v>
      </c>
      <c r="BE297" t="s">
        <v>162</v>
      </c>
      <c r="BF297" t="s">
        <v>163</v>
      </c>
      <c r="BG297" t="s">
        <v>164</v>
      </c>
    </row>
    <row r="298" spans="1:59">
      <c r="A298">
        <v>1115</v>
      </c>
      <c r="B298">
        <v>1115</v>
      </c>
      <c r="C298">
        <v>10</v>
      </c>
      <c r="D298">
        <v>2</v>
      </c>
      <c r="E298" t="s">
        <v>152</v>
      </c>
      <c r="F298" t="s">
        <v>153</v>
      </c>
      <c r="G298" t="s">
        <v>154</v>
      </c>
      <c r="H298">
        <v>1526006069</v>
      </c>
      <c r="I298">
        <v>1000006337</v>
      </c>
      <c r="L298" t="s">
        <v>334</v>
      </c>
      <c r="M298">
        <v>5100001636</v>
      </c>
      <c r="N298" t="s">
        <v>155</v>
      </c>
      <c r="O298" t="s">
        <v>156</v>
      </c>
      <c r="P298">
        <v>4110026445</v>
      </c>
      <c r="Q298" t="s">
        <v>170</v>
      </c>
      <c r="R298">
        <v>5000</v>
      </c>
      <c r="S298" t="s">
        <v>166</v>
      </c>
      <c r="V298" t="s">
        <v>167</v>
      </c>
      <c r="W298">
        <v>1502020104</v>
      </c>
      <c r="X298" t="s">
        <v>26</v>
      </c>
      <c r="Y298" t="str">
        <f>VLOOKUP(W298,Sheet4!$A$5:$B$71,2,0)</f>
        <v>RE STYLING</v>
      </c>
      <c r="Z298">
        <v>87082900</v>
      </c>
      <c r="AA298">
        <v>15</v>
      </c>
      <c r="AB298" t="s">
        <v>159</v>
      </c>
      <c r="AC298" s="24">
        <v>6585.55</v>
      </c>
      <c r="AD298" t="s">
        <v>160</v>
      </c>
      <c r="AE298" s="24">
        <v>98783.25</v>
      </c>
      <c r="AF298">
        <v>0</v>
      </c>
      <c r="AG298" s="24">
        <v>98783.25</v>
      </c>
      <c r="AH298">
        <v>0</v>
      </c>
      <c r="AI298">
        <v>0</v>
      </c>
      <c r="AJ298">
        <v>0</v>
      </c>
      <c r="AK298">
        <v>0</v>
      </c>
      <c r="AL298" s="24">
        <v>98783.25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s="24">
        <v>98783.25</v>
      </c>
      <c r="AV298">
        <v>0</v>
      </c>
      <c r="AW298">
        <v>0</v>
      </c>
      <c r="AX298">
        <v>311000</v>
      </c>
      <c r="AY298" t="s">
        <v>161</v>
      </c>
      <c r="AZ298">
        <v>49.75</v>
      </c>
      <c r="BA298">
        <v>49.75</v>
      </c>
      <c r="BB298">
        <v>0</v>
      </c>
      <c r="BC298" t="s">
        <v>171</v>
      </c>
      <c r="BD298">
        <v>1509</v>
      </c>
      <c r="BE298" t="s">
        <v>169</v>
      </c>
      <c r="BF298">
        <v>5094127548</v>
      </c>
      <c r="BG298" t="s">
        <v>334</v>
      </c>
    </row>
    <row r="299" spans="1:59">
      <c r="A299">
        <v>1115</v>
      </c>
      <c r="B299">
        <v>1115</v>
      </c>
      <c r="C299">
        <v>10</v>
      </c>
      <c r="D299">
        <v>2</v>
      </c>
      <c r="E299" t="s">
        <v>152</v>
      </c>
      <c r="F299" t="s">
        <v>153</v>
      </c>
      <c r="G299" t="s">
        <v>154</v>
      </c>
      <c r="H299">
        <v>1526006068</v>
      </c>
      <c r="I299">
        <v>1000006336</v>
      </c>
      <c r="L299" t="s">
        <v>334</v>
      </c>
      <c r="M299">
        <v>5100001636</v>
      </c>
      <c r="N299" t="s">
        <v>155</v>
      </c>
      <c r="O299" t="s">
        <v>156</v>
      </c>
      <c r="P299">
        <v>4110026445</v>
      </c>
      <c r="Q299" t="s">
        <v>170</v>
      </c>
      <c r="R299">
        <v>5000</v>
      </c>
      <c r="S299" t="s">
        <v>166</v>
      </c>
      <c r="V299" t="s">
        <v>167</v>
      </c>
      <c r="W299">
        <v>1502020104</v>
      </c>
      <c r="X299" t="s">
        <v>26</v>
      </c>
      <c r="Y299" t="str">
        <f>VLOOKUP(W299,Sheet4!$A$5:$B$71,2,0)</f>
        <v>RE STYLING</v>
      </c>
      <c r="Z299">
        <v>87082900</v>
      </c>
      <c r="AA299">
        <v>15</v>
      </c>
      <c r="AB299" t="s">
        <v>159</v>
      </c>
      <c r="AC299" s="24">
        <v>6585.55</v>
      </c>
      <c r="AD299" t="s">
        <v>160</v>
      </c>
      <c r="AE299" s="24">
        <v>98783.25</v>
      </c>
      <c r="AF299">
        <v>0</v>
      </c>
      <c r="AG299" s="24">
        <v>98783.25</v>
      </c>
      <c r="AH299">
        <v>0</v>
      </c>
      <c r="AI299">
        <v>0</v>
      </c>
      <c r="AJ299">
        <v>0</v>
      </c>
      <c r="AK299">
        <v>0</v>
      </c>
      <c r="AL299" s="24">
        <v>98783.25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s="24">
        <v>98783.25</v>
      </c>
      <c r="AV299">
        <v>0</v>
      </c>
      <c r="AW299">
        <v>0</v>
      </c>
      <c r="AX299">
        <v>311000</v>
      </c>
      <c r="AY299" t="s">
        <v>161</v>
      </c>
      <c r="AZ299">
        <v>49.75</v>
      </c>
      <c r="BA299">
        <v>49.75</v>
      </c>
      <c r="BB299">
        <v>0</v>
      </c>
      <c r="BC299" t="s">
        <v>171</v>
      </c>
      <c r="BD299">
        <v>1509</v>
      </c>
      <c r="BE299" t="s">
        <v>169</v>
      </c>
      <c r="BF299">
        <v>5094127542</v>
      </c>
      <c r="BG299" t="s">
        <v>334</v>
      </c>
    </row>
    <row r="300" spans="1:59">
      <c r="A300">
        <v>1115</v>
      </c>
      <c r="B300">
        <v>1115</v>
      </c>
      <c r="C300">
        <v>10</v>
      </c>
      <c r="D300">
        <v>2</v>
      </c>
      <c r="E300" t="s">
        <v>152</v>
      </c>
      <c r="F300" t="s">
        <v>153</v>
      </c>
      <c r="G300" t="s">
        <v>154</v>
      </c>
      <c r="H300">
        <v>1526006067</v>
      </c>
      <c r="I300">
        <v>1000006335</v>
      </c>
      <c r="L300" t="s">
        <v>334</v>
      </c>
      <c r="M300">
        <v>5100001636</v>
      </c>
      <c r="N300" t="s">
        <v>155</v>
      </c>
      <c r="O300" t="s">
        <v>156</v>
      </c>
      <c r="P300">
        <v>4110026445</v>
      </c>
      <c r="Q300" t="s">
        <v>170</v>
      </c>
      <c r="R300">
        <v>5000</v>
      </c>
      <c r="S300" t="s">
        <v>166</v>
      </c>
      <c r="V300" t="s">
        <v>167</v>
      </c>
      <c r="W300">
        <v>1502020104</v>
      </c>
      <c r="X300" t="s">
        <v>26</v>
      </c>
      <c r="Y300" t="str">
        <f>VLOOKUP(W300,Sheet4!$A$5:$B$71,2,0)</f>
        <v>RE STYLING</v>
      </c>
      <c r="Z300">
        <v>87082900</v>
      </c>
      <c r="AA300">
        <v>15</v>
      </c>
      <c r="AB300" t="s">
        <v>159</v>
      </c>
      <c r="AC300" s="24">
        <v>6585.55</v>
      </c>
      <c r="AD300" t="s">
        <v>160</v>
      </c>
      <c r="AE300" s="24">
        <v>98783.25</v>
      </c>
      <c r="AF300">
        <v>0</v>
      </c>
      <c r="AG300" s="24">
        <v>98783.25</v>
      </c>
      <c r="AH300">
        <v>0</v>
      </c>
      <c r="AI300">
        <v>0</v>
      </c>
      <c r="AJ300">
        <v>0</v>
      </c>
      <c r="AK300">
        <v>0</v>
      </c>
      <c r="AL300" s="24">
        <v>98783.25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 s="24">
        <v>98783.25</v>
      </c>
      <c r="AV300">
        <v>0</v>
      </c>
      <c r="AW300">
        <v>0</v>
      </c>
      <c r="AX300">
        <v>311000</v>
      </c>
      <c r="AY300" t="s">
        <v>161</v>
      </c>
      <c r="AZ300">
        <v>49.75</v>
      </c>
      <c r="BA300">
        <v>49.75</v>
      </c>
      <c r="BB300">
        <v>0</v>
      </c>
      <c r="BC300" t="s">
        <v>171</v>
      </c>
      <c r="BD300">
        <v>1509</v>
      </c>
      <c r="BE300" t="s">
        <v>169</v>
      </c>
      <c r="BF300">
        <v>5094127676</v>
      </c>
      <c r="BG300" t="s">
        <v>334</v>
      </c>
    </row>
    <row r="301" spans="1:59">
      <c r="A301">
        <v>1115</v>
      </c>
      <c r="B301">
        <v>1115</v>
      </c>
      <c r="C301">
        <v>10</v>
      </c>
      <c r="D301">
        <v>2</v>
      </c>
      <c r="E301" t="s">
        <v>152</v>
      </c>
      <c r="F301" t="s">
        <v>153</v>
      </c>
      <c r="G301" t="s">
        <v>154</v>
      </c>
      <c r="H301">
        <v>1526006066</v>
      </c>
      <c r="I301">
        <v>1000006333</v>
      </c>
      <c r="L301" t="s">
        <v>334</v>
      </c>
      <c r="M301">
        <v>5100001096</v>
      </c>
      <c r="N301" t="s">
        <v>155</v>
      </c>
      <c r="O301" t="s">
        <v>156</v>
      </c>
      <c r="P301">
        <v>4110004645</v>
      </c>
      <c r="Q301" t="s">
        <v>177</v>
      </c>
      <c r="R301">
        <v>5000</v>
      </c>
      <c r="S301" t="s">
        <v>166</v>
      </c>
      <c r="V301" t="s">
        <v>167</v>
      </c>
      <c r="W301">
        <v>1502040061</v>
      </c>
      <c r="X301" t="s">
        <v>40</v>
      </c>
      <c r="Y301" t="str">
        <f>VLOOKUP(W301,Sheet4!$A$5:$B$71,2,0)</f>
        <v>LOGISTICS</v>
      </c>
      <c r="Z301">
        <v>87082900</v>
      </c>
      <c r="AA301">
        <v>84</v>
      </c>
      <c r="AB301" t="s">
        <v>159</v>
      </c>
      <c r="AC301">
        <v>228.28</v>
      </c>
      <c r="AD301" t="s">
        <v>160</v>
      </c>
      <c r="AE301" s="24">
        <v>19175.52</v>
      </c>
      <c r="AF301">
        <v>0</v>
      </c>
      <c r="AG301" s="24">
        <v>19175.52</v>
      </c>
      <c r="AH301">
        <v>0</v>
      </c>
      <c r="AI301">
        <v>0</v>
      </c>
      <c r="AJ301">
        <v>0</v>
      </c>
      <c r="AK301">
        <v>0</v>
      </c>
      <c r="AL301" s="24">
        <v>19175.52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s="24">
        <v>19175.52</v>
      </c>
      <c r="AV301">
        <v>0</v>
      </c>
      <c r="AW301">
        <v>0</v>
      </c>
      <c r="AX301">
        <v>311000</v>
      </c>
      <c r="AY301" t="s">
        <v>161</v>
      </c>
      <c r="AZ301">
        <v>1.68</v>
      </c>
      <c r="BA301">
        <v>1.68</v>
      </c>
      <c r="BB301">
        <v>0</v>
      </c>
      <c r="BC301" t="s">
        <v>194</v>
      </c>
      <c r="BD301">
        <v>1511</v>
      </c>
      <c r="BE301" t="s">
        <v>174</v>
      </c>
      <c r="BF301">
        <v>5094121381</v>
      </c>
      <c r="BG301" t="s">
        <v>334</v>
      </c>
    </row>
    <row r="302" spans="1:59">
      <c r="A302">
        <v>1115</v>
      </c>
      <c r="B302">
        <v>1115</v>
      </c>
      <c r="C302">
        <v>10</v>
      </c>
      <c r="D302">
        <v>2</v>
      </c>
      <c r="E302" t="s">
        <v>152</v>
      </c>
      <c r="F302" t="s">
        <v>153</v>
      </c>
      <c r="G302" t="s">
        <v>154</v>
      </c>
      <c r="H302">
        <v>1526006065</v>
      </c>
      <c r="I302">
        <v>1000006332</v>
      </c>
      <c r="L302" t="s">
        <v>334</v>
      </c>
      <c r="M302">
        <v>5100001096</v>
      </c>
      <c r="N302" t="s">
        <v>155</v>
      </c>
      <c r="O302" t="s">
        <v>156</v>
      </c>
      <c r="P302">
        <v>4110004645</v>
      </c>
      <c r="Q302" t="s">
        <v>177</v>
      </c>
      <c r="R302">
        <v>5000</v>
      </c>
      <c r="S302" t="s">
        <v>166</v>
      </c>
      <c r="V302" t="s">
        <v>167</v>
      </c>
      <c r="W302">
        <v>1502040068</v>
      </c>
      <c r="X302" t="s">
        <v>41</v>
      </c>
      <c r="Y302" t="str">
        <f>VLOOKUP(W302,Sheet4!$A$5:$B$71,2,0)</f>
        <v>ENG BKT</v>
      </c>
      <c r="Z302">
        <v>87082900</v>
      </c>
      <c r="AA302">
        <v>84</v>
      </c>
      <c r="AB302" t="s">
        <v>159</v>
      </c>
      <c r="AC302">
        <v>237.64</v>
      </c>
      <c r="AD302" t="s">
        <v>160</v>
      </c>
      <c r="AE302" s="24">
        <v>19961.759999999998</v>
      </c>
      <c r="AF302">
        <v>0</v>
      </c>
      <c r="AG302" s="24">
        <v>19961.759999999998</v>
      </c>
      <c r="AH302">
        <v>0</v>
      </c>
      <c r="AI302">
        <v>0</v>
      </c>
      <c r="AJ302">
        <v>0</v>
      </c>
      <c r="AK302">
        <v>0</v>
      </c>
      <c r="AL302" s="24">
        <v>19961.759999999998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s="24">
        <v>19961.759999999998</v>
      </c>
      <c r="AV302">
        <v>0</v>
      </c>
      <c r="AW302">
        <v>0</v>
      </c>
      <c r="AX302">
        <v>311000</v>
      </c>
      <c r="AY302" t="s">
        <v>161</v>
      </c>
      <c r="AZ302">
        <v>1.68</v>
      </c>
      <c r="BA302">
        <v>1.68</v>
      </c>
      <c r="BB302">
        <v>0</v>
      </c>
      <c r="BC302" t="s">
        <v>195</v>
      </c>
      <c r="BD302">
        <v>1511</v>
      </c>
      <c r="BE302" t="s">
        <v>174</v>
      </c>
      <c r="BF302">
        <v>5094121380</v>
      </c>
      <c r="BG302" t="s">
        <v>334</v>
      </c>
    </row>
    <row r="303" spans="1:59">
      <c r="A303">
        <v>1115</v>
      </c>
      <c r="B303">
        <v>1115</v>
      </c>
      <c r="C303">
        <v>10</v>
      </c>
      <c r="D303">
        <v>2</v>
      </c>
      <c r="E303" t="s">
        <v>152</v>
      </c>
      <c r="F303" t="s">
        <v>153</v>
      </c>
      <c r="G303" t="s">
        <v>154</v>
      </c>
      <c r="H303">
        <v>1526006064</v>
      </c>
      <c r="I303">
        <v>1000006330</v>
      </c>
      <c r="L303" t="s">
        <v>334</v>
      </c>
      <c r="M303">
        <v>5100001636</v>
      </c>
      <c r="N303" t="s">
        <v>155</v>
      </c>
      <c r="O303" t="s">
        <v>156</v>
      </c>
      <c r="P303">
        <v>4110026445</v>
      </c>
      <c r="Q303" t="s">
        <v>170</v>
      </c>
      <c r="R303">
        <v>5000</v>
      </c>
      <c r="S303" t="s">
        <v>166</v>
      </c>
      <c r="V303" t="s">
        <v>167</v>
      </c>
      <c r="W303">
        <v>1502020104</v>
      </c>
      <c r="X303" t="s">
        <v>26</v>
      </c>
      <c r="Y303" t="str">
        <f>VLOOKUP(W303,Sheet4!$A$5:$B$71,2,0)</f>
        <v>RE STYLING</v>
      </c>
      <c r="Z303">
        <v>87082900</v>
      </c>
      <c r="AA303">
        <v>15</v>
      </c>
      <c r="AB303" t="s">
        <v>159</v>
      </c>
      <c r="AC303" s="24">
        <v>6585.55</v>
      </c>
      <c r="AD303" t="s">
        <v>160</v>
      </c>
      <c r="AE303" s="24">
        <v>98783.25</v>
      </c>
      <c r="AF303">
        <v>0</v>
      </c>
      <c r="AG303" s="24">
        <v>98783.25</v>
      </c>
      <c r="AH303">
        <v>0</v>
      </c>
      <c r="AI303">
        <v>0</v>
      </c>
      <c r="AJ303">
        <v>0</v>
      </c>
      <c r="AK303">
        <v>0</v>
      </c>
      <c r="AL303" s="24">
        <v>98783.25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s="24">
        <v>98783.25</v>
      </c>
      <c r="AV303">
        <v>0</v>
      </c>
      <c r="AW303">
        <v>0</v>
      </c>
      <c r="AX303">
        <v>311000</v>
      </c>
      <c r="AY303" t="s">
        <v>161</v>
      </c>
      <c r="AZ303">
        <v>49.75</v>
      </c>
      <c r="BA303">
        <v>49.75</v>
      </c>
      <c r="BB303">
        <v>0</v>
      </c>
      <c r="BC303" t="s">
        <v>171</v>
      </c>
      <c r="BD303">
        <v>1509</v>
      </c>
      <c r="BE303" t="s">
        <v>169</v>
      </c>
      <c r="BF303">
        <v>5094127328</v>
      </c>
      <c r="BG303" t="s">
        <v>334</v>
      </c>
    </row>
    <row r="304" spans="1:59">
      <c r="A304">
        <v>1115</v>
      </c>
      <c r="B304">
        <v>1115</v>
      </c>
      <c r="C304">
        <v>10</v>
      </c>
      <c r="D304">
        <v>2</v>
      </c>
      <c r="E304" t="s">
        <v>152</v>
      </c>
      <c r="F304" t="s">
        <v>153</v>
      </c>
      <c r="G304" t="s">
        <v>154</v>
      </c>
      <c r="H304">
        <v>1526006063</v>
      </c>
      <c r="I304">
        <v>1000006329</v>
      </c>
      <c r="L304" t="s">
        <v>334</v>
      </c>
      <c r="M304">
        <v>5100001636</v>
      </c>
      <c r="N304" t="s">
        <v>155</v>
      </c>
      <c r="O304" t="s">
        <v>156</v>
      </c>
      <c r="P304">
        <v>4110026445</v>
      </c>
      <c r="Q304" t="s">
        <v>170</v>
      </c>
      <c r="R304">
        <v>5000</v>
      </c>
      <c r="S304" t="s">
        <v>166</v>
      </c>
      <c r="V304" t="s">
        <v>167</v>
      </c>
      <c r="W304">
        <v>1502020104</v>
      </c>
      <c r="X304" t="s">
        <v>26</v>
      </c>
      <c r="Y304" t="str">
        <f>VLOOKUP(W304,Sheet4!$A$5:$B$71,2,0)</f>
        <v>RE STYLING</v>
      </c>
      <c r="Z304">
        <v>87082900</v>
      </c>
      <c r="AA304">
        <v>15</v>
      </c>
      <c r="AB304" t="s">
        <v>159</v>
      </c>
      <c r="AC304" s="24">
        <v>6585.55</v>
      </c>
      <c r="AD304" t="s">
        <v>160</v>
      </c>
      <c r="AE304" s="24">
        <v>98783.25</v>
      </c>
      <c r="AF304">
        <v>0</v>
      </c>
      <c r="AG304" s="24">
        <v>98783.25</v>
      </c>
      <c r="AH304">
        <v>0</v>
      </c>
      <c r="AI304">
        <v>0</v>
      </c>
      <c r="AJ304">
        <v>0</v>
      </c>
      <c r="AK304">
        <v>0</v>
      </c>
      <c r="AL304" s="24">
        <v>98783.25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s="24">
        <v>98783.25</v>
      </c>
      <c r="AV304">
        <v>0</v>
      </c>
      <c r="AW304">
        <v>0</v>
      </c>
      <c r="AX304">
        <v>311000</v>
      </c>
      <c r="AY304" t="s">
        <v>161</v>
      </c>
      <c r="AZ304">
        <v>49.75</v>
      </c>
      <c r="BA304">
        <v>49.75</v>
      </c>
      <c r="BB304">
        <v>0</v>
      </c>
      <c r="BC304" t="s">
        <v>171</v>
      </c>
      <c r="BD304">
        <v>1509</v>
      </c>
      <c r="BE304" t="s">
        <v>169</v>
      </c>
      <c r="BF304">
        <v>5094129850</v>
      </c>
      <c r="BG304" t="s">
        <v>334</v>
      </c>
    </row>
    <row r="305" spans="1:59">
      <c r="A305">
        <v>1115</v>
      </c>
      <c r="B305">
        <v>1115</v>
      </c>
      <c r="C305">
        <v>10</v>
      </c>
      <c r="D305">
        <v>2</v>
      </c>
      <c r="E305" t="s">
        <v>152</v>
      </c>
      <c r="F305" t="s">
        <v>153</v>
      </c>
      <c r="G305" t="s">
        <v>154</v>
      </c>
      <c r="H305">
        <v>1526006061</v>
      </c>
      <c r="I305">
        <v>1000006327</v>
      </c>
      <c r="L305" t="s">
        <v>334</v>
      </c>
      <c r="M305">
        <v>5100001928</v>
      </c>
      <c r="N305" t="s">
        <v>155</v>
      </c>
      <c r="O305" t="s">
        <v>156</v>
      </c>
      <c r="P305">
        <v>4110057393</v>
      </c>
      <c r="Q305" t="s">
        <v>192</v>
      </c>
      <c r="R305">
        <v>5000</v>
      </c>
      <c r="S305" t="s">
        <v>166</v>
      </c>
      <c r="V305" t="s">
        <v>167</v>
      </c>
      <c r="W305">
        <v>1502020122</v>
      </c>
      <c r="X305" t="s">
        <v>70</v>
      </c>
      <c r="Y305" t="str">
        <f>VLOOKUP(W305,Sheet4!$A$5:$B$71,2,0)</f>
        <v>MAX UG NEW EV</v>
      </c>
      <c r="Z305">
        <v>87082900</v>
      </c>
      <c r="AA305">
        <v>10</v>
      </c>
      <c r="AB305" t="s">
        <v>159</v>
      </c>
      <c r="AC305" s="24">
        <v>9566.51</v>
      </c>
      <c r="AD305" t="s">
        <v>160</v>
      </c>
      <c r="AE305" s="24">
        <v>95665.1</v>
      </c>
      <c r="AF305">
        <v>0</v>
      </c>
      <c r="AG305" s="24">
        <v>95665.1</v>
      </c>
      <c r="AH305">
        <v>0</v>
      </c>
      <c r="AI305">
        <v>0</v>
      </c>
      <c r="AJ305">
        <v>0</v>
      </c>
      <c r="AK305">
        <v>0</v>
      </c>
      <c r="AL305" s="24">
        <v>95665.1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 s="24">
        <v>95665.1</v>
      </c>
      <c r="AV305">
        <v>0</v>
      </c>
      <c r="AW305">
        <v>0</v>
      </c>
      <c r="AX305">
        <v>311000</v>
      </c>
      <c r="AY305" t="s">
        <v>161</v>
      </c>
      <c r="AZ305">
        <v>0</v>
      </c>
      <c r="BA305">
        <v>61</v>
      </c>
      <c r="BB305">
        <v>-61</v>
      </c>
      <c r="BC305" t="s">
        <v>193</v>
      </c>
      <c r="BD305">
        <v>1509</v>
      </c>
      <c r="BE305" t="s">
        <v>169</v>
      </c>
      <c r="BF305">
        <v>5094121671</v>
      </c>
      <c r="BG305" t="s">
        <v>334</v>
      </c>
    </row>
    <row r="306" spans="1:59">
      <c r="A306">
        <v>1115</v>
      </c>
      <c r="B306">
        <v>1115</v>
      </c>
      <c r="C306">
        <v>10</v>
      </c>
      <c r="D306">
        <v>2</v>
      </c>
      <c r="E306" t="s">
        <v>152</v>
      </c>
      <c r="F306" t="s">
        <v>153</v>
      </c>
      <c r="G306" t="s">
        <v>154</v>
      </c>
      <c r="H306">
        <v>1526006060</v>
      </c>
      <c r="I306">
        <v>1000006326</v>
      </c>
      <c r="L306" t="s">
        <v>334</v>
      </c>
      <c r="M306">
        <v>5100001928</v>
      </c>
      <c r="N306" t="s">
        <v>155</v>
      </c>
      <c r="O306" t="s">
        <v>156</v>
      </c>
      <c r="P306">
        <v>4110057393</v>
      </c>
      <c r="Q306" t="s">
        <v>192</v>
      </c>
      <c r="R306">
        <v>5000</v>
      </c>
      <c r="S306" t="s">
        <v>166</v>
      </c>
      <c r="V306" t="s">
        <v>167</v>
      </c>
      <c r="W306">
        <v>1502020122</v>
      </c>
      <c r="X306" t="s">
        <v>70</v>
      </c>
      <c r="Y306" t="str">
        <f>VLOOKUP(W306,Sheet4!$A$5:$B$71,2,0)</f>
        <v>MAX UG NEW EV</v>
      </c>
      <c r="Z306">
        <v>87082900</v>
      </c>
      <c r="AA306">
        <v>10</v>
      </c>
      <c r="AB306" t="s">
        <v>159</v>
      </c>
      <c r="AC306" s="24">
        <v>9566.51</v>
      </c>
      <c r="AD306" t="s">
        <v>160</v>
      </c>
      <c r="AE306" s="24">
        <v>95665.1</v>
      </c>
      <c r="AF306">
        <v>0</v>
      </c>
      <c r="AG306" s="24">
        <v>95665.1</v>
      </c>
      <c r="AH306">
        <v>0</v>
      </c>
      <c r="AI306">
        <v>0</v>
      </c>
      <c r="AJ306">
        <v>0</v>
      </c>
      <c r="AK306">
        <v>0</v>
      </c>
      <c r="AL306" s="24">
        <v>95665.1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s="24">
        <v>95665.1</v>
      </c>
      <c r="AV306">
        <v>0</v>
      </c>
      <c r="AW306">
        <v>0</v>
      </c>
      <c r="AX306">
        <v>311000</v>
      </c>
      <c r="AY306" t="s">
        <v>161</v>
      </c>
      <c r="AZ306">
        <v>0</v>
      </c>
      <c r="BA306">
        <v>61</v>
      </c>
      <c r="BB306">
        <v>-61</v>
      </c>
      <c r="BC306" t="s">
        <v>193</v>
      </c>
      <c r="BD306">
        <v>1509</v>
      </c>
      <c r="BE306" t="s">
        <v>169</v>
      </c>
      <c r="BF306">
        <v>5094121416</v>
      </c>
      <c r="BG306" t="s">
        <v>334</v>
      </c>
    </row>
    <row r="307" spans="1:59">
      <c r="A307">
        <v>1115</v>
      </c>
      <c r="B307">
        <v>1115</v>
      </c>
      <c r="C307">
        <v>10</v>
      </c>
      <c r="D307">
        <v>2</v>
      </c>
      <c r="E307" t="s">
        <v>152</v>
      </c>
      <c r="F307" t="s">
        <v>153</v>
      </c>
      <c r="G307" t="s">
        <v>154</v>
      </c>
      <c r="H307">
        <v>1526006059</v>
      </c>
      <c r="I307">
        <v>1000006325</v>
      </c>
      <c r="L307" t="s">
        <v>334</v>
      </c>
      <c r="M307">
        <v>5100001928</v>
      </c>
      <c r="N307" t="s">
        <v>155</v>
      </c>
      <c r="O307" t="s">
        <v>156</v>
      </c>
      <c r="P307">
        <v>4110057393</v>
      </c>
      <c r="Q307" t="s">
        <v>192</v>
      </c>
      <c r="R307">
        <v>5000</v>
      </c>
      <c r="S307" t="s">
        <v>166</v>
      </c>
      <c r="V307" t="s">
        <v>167</v>
      </c>
      <c r="W307">
        <v>1502020122</v>
      </c>
      <c r="X307" t="s">
        <v>70</v>
      </c>
      <c r="Y307" t="str">
        <f>VLOOKUP(W307,Sheet4!$A$5:$B$71,2,0)</f>
        <v>MAX UG NEW EV</v>
      </c>
      <c r="Z307">
        <v>87082900</v>
      </c>
      <c r="AA307">
        <v>10</v>
      </c>
      <c r="AB307" t="s">
        <v>159</v>
      </c>
      <c r="AC307" s="24">
        <v>9566.51</v>
      </c>
      <c r="AD307" t="s">
        <v>160</v>
      </c>
      <c r="AE307" s="24">
        <v>95665.1</v>
      </c>
      <c r="AF307">
        <v>0</v>
      </c>
      <c r="AG307" s="24">
        <v>95665.1</v>
      </c>
      <c r="AH307">
        <v>0</v>
      </c>
      <c r="AI307">
        <v>0</v>
      </c>
      <c r="AJ307">
        <v>0</v>
      </c>
      <c r="AK307">
        <v>0</v>
      </c>
      <c r="AL307" s="24">
        <v>95665.1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s="24">
        <v>95665.1</v>
      </c>
      <c r="AV307">
        <v>0</v>
      </c>
      <c r="AW307">
        <v>0</v>
      </c>
      <c r="AX307">
        <v>311000</v>
      </c>
      <c r="AY307" t="s">
        <v>161</v>
      </c>
      <c r="AZ307">
        <v>0</v>
      </c>
      <c r="BA307">
        <v>61</v>
      </c>
      <c r="BB307">
        <v>-61</v>
      </c>
      <c r="BC307" t="s">
        <v>193</v>
      </c>
      <c r="BD307">
        <v>1509</v>
      </c>
      <c r="BE307" t="s">
        <v>169</v>
      </c>
      <c r="BF307">
        <v>5094116927</v>
      </c>
      <c r="BG307" t="s">
        <v>334</v>
      </c>
    </row>
    <row r="308" spans="1:59">
      <c r="A308">
        <v>1115</v>
      </c>
      <c r="B308">
        <v>1115</v>
      </c>
      <c r="C308">
        <v>10</v>
      </c>
      <c r="D308">
        <v>2</v>
      </c>
      <c r="E308" t="s">
        <v>152</v>
      </c>
      <c r="F308" t="s">
        <v>153</v>
      </c>
      <c r="G308" t="s">
        <v>154</v>
      </c>
      <c r="H308">
        <v>1526006058</v>
      </c>
      <c r="I308">
        <v>1000006324</v>
      </c>
      <c r="L308" t="s">
        <v>334</v>
      </c>
      <c r="M308">
        <v>5100001928</v>
      </c>
      <c r="N308" t="s">
        <v>155</v>
      </c>
      <c r="O308" t="s">
        <v>156</v>
      </c>
      <c r="P308">
        <v>4110057393</v>
      </c>
      <c r="Q308" t="s">
        <v>192</v>
      </c>
      <c r="R308">
        <v>5000</v>
      </c>
      <c r="S308" t="s">
        <v>166</v>
      </c>
      <c r="V308" t="s">
        <v>167</v>
      </c>
      <c r="W308">
        <v>1502020122</v>
      </c>
      <c r="X308" t="s">
        <v>70</v>
      </c>
      <c r="Y308" t="str">
        <f>VLOOKUP(W308,Sheet4!$A$5:$B$71,2,0)</f>
        <v>MAX UG NEW EV</v>
      </c>
      <c r="Z308">
        <v>87082900</v>
      </c>
      <c r="AA308">
        <v>10</v>
      </c>
      <c r="AB308" t="s">
        <v>159</v>
      </c>
      <c r="AC308" s="24">
        <v>9566.51</v>
      </c>
      <c r="AD308" t="s">
        <v>160</v>
      </c>
      <c r="AE308" s="24">
        <v>95665.1</v>
      </c>
      <c r="AF308">
        <v>0</v>
      </c>
      <c r="AG308" s="24">
        <v>95665.1</v>
      </c>
      <c r="AH308">
        <v>0</v>
      </c>
      <c r="AI308">
        <v>0</v>
      </c>
      <c r="AJ308">
        <v>0</v>
      </c>
      <c r="AK308">
        <v>0</v>
      </c>
      <c r="AL308" s="24">
        <v>95665.1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s="24">
        <v>95665.1</v>
      </c>
      <c r="AV308">
        <v>0</v>
      </c>
      <c r="AW308">
        <v>0</v>
      </c>
      <c r="AX308">
        <v>311000</v>
      </c>
      <c r="AY308" t="s">
        <v>161</v>
      </c>
      <c r="AZ308">
        <v>0</v>
      </c>
      <c r="BA308">
        <v>61</v>
      </c>
      <c r="BB308">
        <v>-61</v>
      </c>
      <c r="BC308" t="s">
        <v>193</v>
      </c>
      <c r="BD308">
        <v>1509</v>
      </c>
      <c r="BE308" t="s">
        <v>169</v>
      </c>
      <c r="BF308">
        <v>5094117844</v>
      </c>
      <c r="BG308" t="s">
        <v>334</v>
      </c>
    </row>
    <row r="309" spans="1:59">
      <c r="A309">
        <v>1115</v>
      </c>
      <c r="B309">
        <v>1115</v>
      </c>
      <c r="C309">
        <v>10</v>
      </c>
      <c r="D309">
        <v>2</v>
      </c>
      <c r="E309" t="s">
        <v>152</v>
      </c>
      <c r="F309" t="s">
        <v>153</v>
      </c>
      <c r="G309" t="s">
        <v>154</v>
      </c>
      <c r="H309">
        <v>1526006057</v>
      </c>
      <c r="I309">
        <v>1000006323</v>
      </c>
      <c r="L309" t="s">
        <v>334</v>
      </c>
      <c r="M309">
        <v>5100001928</v>
      </c>
      <c r="N309" t="s">
        <v>155</v>
      </c>
      <c r="O309" t="s">
        <v>156</v>
      </c>
      <c r="P309">
        <v>4110057393</v>
      </c>
      <c r="Q309" t="s">
        <v>192</v>
      </c>
      <c r="R309">
        <v>5000</v>
      </c>
      <c r="S309" t="s">
        <v>166</v>
      </c>
      <c r="V309" t="s">
        <v>167</v>
      </c>
      <c r="W309">
        <v>1502020122</v>
      </c>
      <c r="X309" t="s">
        <v>70</v>
      </c>
      <c r="Y309" t="str">
        <f>VLOOKUP(W309,Sheet4!$A$5:$B$71,2,0)</f>
        <v>MAX UG NEW EV</v>
      </c>
      <c r="Z309">
        <v>87082900</v>
      </c>
      <c r="AA309">
        <v>10</v>
      </c>
      <c r="AB309" t="s">
        <v>159</v>
      </c>
      <c r="AC309" s="24">
        <v>9566.51</v>
      </c>
      <c r="AD309" t="s">
        <v>160</v>
      </c>
      <c r="AE309" s="24">
        <v>95665.1</v>
      </c>
      <c r="AF309">
        <v>0</v>
      </c>
      <c r="AG309" s="24">
        <v>95665.1</v>
      </c>
      <c r="AH309">
        <v>0</v>
      </c>
      <c r="AI309">
        <v>0</v>
      </c>
      <c r="AJ309">
        <v>0</v>
      </c>
      <c r="AK309">
        <v>0</v>
      </c>
      <c r="AL309" s="24">
        <v>95665.1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s="24">
        <v>95665.1</v>
      </c>
      <c r="AV309">
        <v>0</v>
      </c>
      <c r="AW309">
        <v>0</v>
      </c>
      <c r="AX309">
        <v>311000</v>
      </c>
      <c r="AY309" t="s">
        <v>161</v>
      </c>
      <c r="AZ309">
        <v>0</v>
      </c>
      <c r="BA309">
        <v>61</v>
      </c>
      <c r="BB309">
        <v>-61</v>
      </c>
      <c r="BC309" t="s">
        <v>193</v>
      </c>
      <c r="BD309">
        <v>1509</v>
      </c>
      <c r="BE309" t="s">
        <v>169</v>
      </c>
      <c r="BF309">
        <v>5094117599</v>
      </c>
      <c r="BG309" t="s">
        <v>334</v>
      </c>
    </row>
    <row r="310" spans="1:59">
      <c r="A310">
        <v>1115</v>
      </c>
      <c r="B310">
        <v>1115</v>
      </c>
      <c r="C310">
        <v>10</v>
      </c>
      <c r="D310">
        <v>2</v>
      </c>
      <c r="E310" t="s">
        <v>152</v>
      </c>
      <c r="F310" t="s">
        <v>153</v>
      </c>
      <c r="G310" t="s">
        <v>154</v>
      </c>
      <c r="H310">
        <v>1526006056</v>
      </c>
      <c r="I310">
        <v>1000006322</v>
      </c>
      <c r="L310" t="s">
        <v>334</v>
      </c>
      <c r="M310">
        <v>5100001099</v>
      </c>
      <c r="N310" t="s">
        <v>155</v>
      </c>
      <c r="O310" t="s">
        <v>156</v>
      </c>
      <c r="P310">
        <v>4110004650</v>
      </c>
      <c r="Q310" t="s">
        <v>177</v>
      </c>
      <c r="R310">
        <v>5000</v>
      </c>
      <c r="S310" t="s">
        <v>166</v>
      </c>
      <c r="V310" t="s">
        <v>167</v>
      </c>
      <c r="W310">
        <v>1502040133</v>
      </c>
      <c r="X310" t="s">
        <v>228</v>
      </c>
      <c r="Y310" t="str">
        <f>VLOOKUP(W310,Sheet4!$A$5:$B$71,2,0)</f>
        <v>REAR COVER</v>
      </c>
      <c r="Z310">
        <v>87082900</v>
      </c>
      <c r="AA310">
        <v>55</v>
      </c>
      <c r="AB310" t="s">
        <v>159</v>
      </c>
      <c r="AC310">
        <v>164.49</v>
      </c>
      <c r="AD310" t="s">
        <v>160</v>
      </c>
      <c r="AE310" s="24">
        <v>9046.9500000000007</v>
      </c>
      <c r="AF310">
        <v>0</v>
      </c>
      <c r="AG310" s="24">
        <v>9046.9500000000007</v>
      </c>
      <c r="AH310">
        <v>0</v>
      </c>
      <c r="AI310">
        <v>0</v>
      </c>
      <c r="AJ310">
        <v>0</v>
      </c>
      <c r="AK310">
        <v>0</v>
      </c>
      <c r="AL310" s="24">
        <v>9046.9500000000007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s="24">
        <v>9046.9500000000007</v>
      </c>
      <c r="AV310">
        <v>0</v>
      </c>
      <c r="AW310">
        <v>0</v>
      </c>
      <c r="AX310">
        <v>311000</v>
      </c>
      <c r="AY310" t="s">
        <v>161</v>
      </c>
      <c r="AZ310">
        <v>1.248</v>
      </c>
      <c r="BA310">
        <v>1.248</v>
      </c>
      <c r="BB310">
        <v>0</v>
      </c>
      <c r="BC310" t="s">
        <v>229</v>
      </c>
      <c r="BD310">
        <v>1511</v>
      </c>
      <c r="BE310" t="s">
        <v>174</v>
      </c>
      <c r="BF310">
        <v>5094114792</v>
      </c>
      <c r="BG310" t="s">
        <v>334</v>
      </c>
    </row>
    <row r="311" spans="1:59">
      <c r="A311">
        <v>1115</v>
      </c>
      <c r="B311">
        <v>1115</v>
      </c>
      <c r="C311">
        <v>10</v>
      </c>
      <c r="D311">
        <v>2</v>
      </c>
      <c r="E311" t="s">
        <v>152</v>
      </c>
      <c r="F311" t="s">
        <v>153</v>
      </c>
      <c r="G311" t="s">
        <v>154</v>
      </c>
      <c r="H311">
        <v>1526006055</v>
      </c>
      <c r="I311">
        <v>1000006321</v>
      </c>
      <c r="L311" t="s">
        <v>334</v>
      </c>
      <c r="M311">
        <v>5100001099</v>
      </c>
      <c r="N311" t="s">
        <v>155</v>
      </c>
      <c r="O311" t="s">
        <v>156</v>
      </c>
      <c r="P311">
        <v>4110004650</v>
      </c>
      <c r="Q311" t="s">
        <v>177</v>
      </c>
      <c r="R311">
        <v>5000</v>
      </c>
      <c r="S311" t="s">
        <v>166</v>
      </c>
      <c r="V311" t="s">
        <v>167</v>
      </c>
      <c r="W311">
        <v>1502040132</v>
      </c>
      <c r="X311" t="s">
        <v>230</v>
      </c>
      <c r="Y311" t="str">
        <f>VLOOKUP(W311,Sheet4!$A$5:$B$71,2,0)</f>
        <v>REAR COVER</v>
      </c>
      <c r="Z311">
        <v>87082900</v>
      </c>
      <c r="AA311">
        <v>55</v>
      </c>
      <c r="AB311" t="s">
        <v>159</v>
      </c>
      <c r="AC311">
        <v>159.41</v>
      </c>
      <c r="AD311" t="s">
        <v>160</v>
      </c>
      <c r="AE311" s="24">
        <v>8767.5499999999993</v>
      </c>
      <c r="AF311">
        <v>0</v>
      </c>
      <c r="AG311" s="24">
        <v>8767.5499999999993</v>
      </c>
      <c r="AH311">
        <v>0</v>
      </c>
      <c r="AI311">
        <v>0</v>
      </c>
      <c r="AJ311">
        <v>0</v>
      </c>
      <c r="AK311">
        <v>0</v>
      </c>
      <c r="AL311" s="24">
        <v>8767.5499999999993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s="24">
        <v>8767.5499999999993</v>
      </c>
      <c r="AV311">
        <v>0</v>
      </c>
      <c r="AW311">
        <v>0</v>
      </c>
      <c r="AX311">
        <v>311000</v>
      </c>
      <c r="AY311" t="s">
        <v>161</v>
      </c>
      <c r="AZ311">
        <v>1.1659999999999999</v>
      </c>
      <c r="BA311">
        <v>1.1659999999999999</v>
      </c>
      <c r="BB311">
        <v>0</v>
      </c>
      <c r="BC311" t="s">
        <v>231</v>
      </c>
      <c r="BD311">
        <v>1511</v>
      </c>
      <c r="BE311" t="s">
        <v>174</v>
      </c>
      <c r="BF311">
        <v>5094114772</v>
      </c>
      <c r="BG311" t="s">
        <v>334</v>
      </c>
    </row>
    <row r="312" spans="1:59">
      <c r="A312">
        <v>1115</v>
      </c>
      <c r="B312">
        <v>1115</v>
      </c>
      <c r="C312">
        <v>10</v>
      </c>
      <c r="D312">
        <v>2</v>
      </c>
      <c r="E312" t="s">
        <v>152</v>
      </c>
      <c r="F312" t="s">
        <v>153</v>
      </c>
      <c r="G312" t="s">
        <v>154</v>
      </c>
      <c r="H312">
        <v>1526006054</v>
      </c>
      <c r="I312">
        <v>1000006320</v>
      </c>
      <c r="L312" t="s">
        <v>334</v>
      </c>
      <c r="M312">
        <v>5100001100</v>
      </c>
      <c r="N312" t="s">
        <v>155</v>
      </c>
      <c r="O312" t="s">
        <v>156</v>
      </c>
      <c r="P312">
        <v>4110004652</v>
      </c>
      <c r="Q312" t="s">
        <v>177</v>
      </c>
      <c r="R312">
        <v>5000</v>
      </c>
      <c r="S312" t="s">
        <v>166</v>
      </c>
      <c r="V312" t="s">
        <v>167</v>
      </c>
      <c r="W312">
        <v>1502040165</v>
      </c>
      <c r="X312" t="s">
        <v>234</v>
      </c>
      <c r="Y312" t="str">
        <f>VLOOKUP(W312,Sheet4!$A$5:$B$71,2,0)</f>
        <v>REAR COVER</v>
      </c>
      <c r="Z312">
        <v>87082900</v>
      </c>
      <c r="AA312">
        <v>55</v>
      </c>
      <c r="AB312" t="s">
        <v>159</v>
      </c>
      <c r="AC312">
        <v>165.65</v>
      </c>
      <c r="AD312" t="s">
        <v>160</v>
      </c>
      <c r="AE312" s="24">
        <v>9110.75</v>
      </c>
      <c r="AF312">
        <v>0</v>
      </c>
      <c r="AG312" s="24">
        <v>9110.75</v>
      </c>
      <c r="AH312">
        <v>0</v>
      </c>
      <c r="AI312">
        <v>0</v>
      </c>
      <c r="AJ312">
        <v>0</v>
      </c>
      <c r="AK312">
        <v>0</v>
      </c>
      <c r="AL312" s="24">
        <v>9110.75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s="24">
        <v>9110.75</v>
      </c>
      <c r="AV312">
        <v>0</v>
      </c>
      <c r="AW312">
        <v>0</v>
      </c>
      <c r="AX312">
        <v>311000</v>
      </c>
      <c r="AY312" t="s">
        <v>161</v>
      </c>
      <c r="AZ312">
        <v>1.248</v>
      </c>
      <c r="BA312">
        <v>1.248</v>
      </c>
      <c r="BB312">
        <v>0</v>
      </c>
      <c r="BC312" t="s">
        <v>235</v>
      </c>
      <c r="BD312">
        <v>1511</v>
      </c>
      <c r="BE312" t="s">
        <v>174</v>
      </c>
      <c r="BF312" t="s">
        <v>163</v>
      </c>
      <c r="BG312" t="s">
        <v>164</v>
      </c>
    </row>
    <row r="313" spans="1:59">
      <c r="A313">
        <v>1115</v>
      </c>
      <c r="B313">
        <v>1115</v>
      </c>
      <c r="C313">
        <v>10</v>
      </c>
      <c r="D313">
        <v>2</v>
      </c>
      <c r="E313" t="s">
        <v>152</v>
      </c>
      <c r="F313" t="s">
        <v>153</v>
      </c>
      <c r="G313" t="s">
        <v>154</v>
      </c>
      <c r="H313">
        <v>1526006053</v>
      </c>
      <c r="I313">
        <v>1000006319</v>
      </c>
      <c r="L313" t="s">
        <v>334</v>
      </c>
      <c r="M313">
        <v>5100001100</v>
      </c>
      <c r="N313" t="s">
        <v>155</v>
      </c>
      <c r="O313" t="s">
        <v>156</v>
      </c>
      <c r="P313">
        <v>4110004652</v>
      </c>
      <c r="Q313" t="s">
        <v>177</v>
      </c>
      <c r="R313">
        <v>5000</v>
      </c>
      <c r="S313" t="s">
        <v>166</v>
      </c>
      <c r="V313" t="s">
        <v>167</v>
      </c>
      <c r="W313">
        <v>1502040164</v>
      </c>
      <c r="X313" t="s">
        <v>236</v>
      </c>
      <c r="Y313" t="str">
        <f>VLOOKUP(W313,Sheet4!$A$5:$B$71,2,0)</f>
        <v>REAR COVER</v>
      </c>
      <c r="Z313">
        <v>87082900</v>
      </c>
      <c r="AA313">
        <v>55</v>
      </c>
      <c r="AB313" t="s">
        <v>159</v>
      </c>
      <c r="AC313">
        <v>160.52000000000001</v>
      </c>
      <c r="AD313" t="s">
        <v>160</v>
      </c>
      <c r="AE313" s="24">
        <v>8828.6</v>
      </c>
      <c r="AF313">
        <v>0</v>
      </c>
      <c r="AG313" s="24">
        <v>8828.6</v>
      </c>
      <c r="AH313">
        <v>0</v>
      </c>
      <c r="AI313">
        <v>0</v>
      </c>
      <c r="AJ313">
        <v>0</v>
      </c>
      <c r="AK313">
        <v>0</v>
      </c>
      <c r="AL313" s="24">
        <v>8828.6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s="24">
        <v>8828.6</v>
      </c>
      <c r="AV313">
        <v>0</v>
      </c>
      <c r="AW313">
        <v>0</v>
      </c>
      <c r="AX313">
        <v>311000</v>
      </c>
      <c r="AY313" t="s">
        <v>161</v>
      </c>
      <c r="AZ313">
        <v>1.1659999999999999</v>
      </c>
      <c r="BA313">
        <v>1.1659999999999999</v>
      </c>
      <c r="BB313">
        <v>0</v>
      </c>
      <c r="BC313" t="s">
        <v>237</v>
      </c>
      <c r="BD313">
        <v>1511</v>
      </c>
      <c r="BE313" t="s">
        <v>174</v>
      </c>
      <c r="BF313" t="s">
        <v>163</v>
      </c>
      <c r="BG313" t="s">
        <v>164</v>
      </c>
    </row>
    <row r="314" spans="1:59">
      <c r="A314">
        <v>1115</v>
      </c>
      <c r="B314">
        <v>1115</v>
      </c>
      <c r="C314">
        <v>10</v>
      </c>
      <c r="D314">
        <v>2</v>
      </c>
      <c r="E314" t="s">
        <v>152</v>
      </c>
      <c r="F314" t="s">
        <v>153</v>
      </c>
      <c r="G314" t="s">
        <v>154</v>
      </c>
      <c r="H314">
        <v>1526006051</v>
      </c>
      <c r="I314">
        <v>1000006315</v>
      </c>
      <c r="L314" t="s">
        <v>334</v>
      </c>
      <c r="M314">
        <v>5100001568</v>
      </c>
      <c r="N314" t="s">
        <v>155</v>
      </c>
      <c r="O314" t="s">
        <v>156</v>
      </c>
      <c r="P314">
        <v>4110023868</v>
      </c>
      <c r="Q314" t="s">
        <v>182</v>
      </c>
      <c r="R314">
        <v>5000</v>
      </c>
      <c r="S314" t="s">
        <v>166</v>
      </c>
      <c r="V314" t="s">
        <v>167</v>
      </c>
      <c r="W314">
        <v>1502040236</v>
      </c>
      <c r="X314" t="s">
        <v>50</v>
      </c>
      <c r="Y314" t="str">
        <f>VLOOKUP(W314,Sheet4!$A$5:$B$71,2,0)</f>
        <v>SUPPORT TOP</v>
      </c>
      <c r="Z314">
        <v>87082900</v>
      </c>
      <c r="AA314">
        <v>720</v>
      </c>
      <c r="AB314" t="s">
        <v>159</v>
      </c>
      <c r="AC314">
        <v>134.19999999999999</v>
      </c>
      <c r="AD314" t="s">
        <v>160</v>
      </c>
      <c r="AE314" s="24">
        <v>96624</v>
      </c>
      <c r="AF314">
        <v>0</v>
      </c>
      <c r="AG314" s="24">
        <v>96624</v>
      </c>
      <c r="AH314">
        <v>0</v>
      </c>
      <c r="AI314">
        <v>0</v>
      </c>
      <c r="AJ314">
        <v>0</v>
      </c>
      <c r="AK314">
        <v>0</v>
      </c>
      <c r="AL314" s="24">
        <v>96624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s="24">
        <v>96624</v>
      </c>
      <c r="AV314">
        <v>0</v>
      </c>
      <c r="AW314">
        <v>0</v>
      </c>
      <c r="AX314">
        <v>311000</v>
      </c>
      <c r="AY314" t="s">
        <v>161</v>
      </c>
      <c r="AZ314">
        <v>1.19</v>
      </c>
      <c r="BA314">
        <v>1.19</v>
      </c>
      <c r="BB314">
        <v>0</v>
      </c>
      <c r="BC314" t="s">
        <v>183</v>
      </c>
      <c r="BD314">
        <v>1511</v>
      </c>
      <c r="BE314" t="s">
        <v>174</v>
      </c>
      <c r="BF314">
        <v>5094118447</v>
      </c>
      <c r="BG314" t="s">
        <v>334</v>
      </c>
    </row>
    <row r="315" spans="1:59">
      <c r="A315">
        <v>1115</v>
      </c>
      <c r="B315">
        <v>1115</v>
      </c>
      <c r="C315">
        <v>10</v>
      </c>
      <c r="D315">
        <v>2</v>
      </c>
      <c r="E315" t="s">
        <v>152</v>
      </c>
      <c r="F315" t="s">
        <v>153</v>
      </c>
      <c r="G315" t="s">
        <v>154</v>
      </c>
      <c r="H315">
        <v>1526006049</v>
      </c>
      <c r="I315">
        <v>1000006313</v>
      </c>
      <c r="L315" t="s">
        <v>334</v>
      </c>
      <c r="M315">
        <v>5100001934</v>
      </c>
      <c r="N315" t="s">
        <v>155</v>
      </c>
      <c r="O315" t="s">
        <v>156</v>
      </c>
      <c r="P315">
        <v>4110058649</v>
      </c>
      <c r="Q315" t="s">
        <v>196</v>
      </c>
      <c r="R315">
        <v>5000</v>
      </c>
      <c r="S315" t="s">
        <v>166</v>
      </c>
      <c r="V315" t="s">
        <v>167</v>
      </c>
      <c r="W315">
        <v>1502040217</v>
      </c>
      <c r="X315" t="s">
        <v>197</v>
      </c>
      <c r="Y315" t="str">
        <f>VLOOKUP(W315,Sheet4!$A$5:$B$71,2,0)</f>
        <v>FRONT MUDGARD GOGO</v>
      </c>
      <c r="Z315">
        <v>87082900</v>
      </c>
      <c r="AA315">
        <v>100</v>
      </c>
      <c r="AB315" t="s">
        <v>159</v>
      </c>
      <c r="AC315">
        <v>380.93</v>
      </c>
      <c r="AD315" t="s">
        <v>160</v>
      </c>
      <c r="AE315" s="24">
        <v>38093</v>
      </c>
      <c r="AF315">
        <v>0</v>
      </c>
      <c r="AG315" s="24">
        <v>38093</v>
      </c>
      <c r="AH315">
        <v>0</v>
      </c>
      <c r="AI315">
        <v>0</v>
      </c>
      <c r="AJ315">
        <v>0</v>
      </c>
      <c r="AK315">
        <v>0</v>
      </c>
      <c r="AL315" s="24">
        <v>38093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s="24">
        <v>38093</v>
      </c>
      <c r="AV315">
        <v>0</v>
      </c>
      <c r="AW315">
        <v>0</v>
      </c>
      <c r="AX315">
        <v>311000</v>
      </c>
      <c r="AY315" t="s">
        <v>161</v>
      </c>
      <c r="AZ315">
        <v>2.13</v>
      </c>
      <c r="BA315">
        <v>2.13</v>
      </c>
      <c r="BB315">
        <v>0</v>
      </c>
      <c r="BC315" t="s">
        <v>198</v>
      </c>
      <c r="BD315">
        <v>1511</v>
      </c>
      <c r="BE315" t="s">
        <v>174</v>
      </c>
      <c r="BF315">
        <v>5094114915</v>
      </c>
      <c r="BG315" t="s">
        <v>334</v>
      </c>
    </row>
    <row r="316" spans="1:59">
      <c r="A316">
        <v>1115</v>
      </c>
      <c r="B316">
        <v>1115</v>
      </c>
      <c r="C316">
        <v>10</v>
      </c>
      <c r="D316">
        <v>2</v>
      </c>
      <c r="E316" t="s">
        <v>152</v>
      </c>
      <c r="F316" t="s">
        <v>153</v>
      </c>
      <c r="G316" t="s">
        <v>154</v>
      </c>
      <c r="H316">
        <v>1526006048</v>
      </c>
      <c r="I316">
        <v>1000006312</v>
      </c>
      <c r="L316" t="s">
        <v>334</v>
      </c>
      <c r="M316">
        <v>5100001603</v>
      </c>
      <c r="N316" t="s">
        <v>155</v>
      </c>
      <c r="O316" t="s">
        <v>156</v>
      </c>
      <c r="P316">
        <v>4110025468</v>
      </c>
      <c r="Q316" t="s">
        <v>165</v>
      </c>
      <c r="R316">
        <v>5000</v>
      </c>
      <c r="S316" t="s">
        <v>166</v>
      </c>
      <c r="V316" t="s">
        <v>167</v>
      </c>
      <c r="W316">
        <v>1502020102</v>
      </c>
      <c r="X316" t="s">
        <v>58</v>
      </c>
      <c r="Y316" t="str">
        <f>VLOOKUP(W316,Sheet4!$A$5:$B$71,2,0)</f>
        <v>MAXIMA HD</v>
      </c>
      <c r="Z316">
        <v>87082900</v>
      </c>
      <c r="AA316">
        <v>8</v>
      </c>
      <c r="AB316" t="s">
        <v>159</v>
      </c>
      <c r="AC316" s="24">
        <v>8593.51</v>
      </c>
      <c r="AD316" t="s">
        <v>160</v>
      </c>
      <c r="AE316" s="24">
        <v>68748.08</v>
      </c>
      <c r="AF316">
        <v>0</v>
      </c>
      <c r="AG316" s="24">
        <v>68748.08</v>
      </c>
      <c r="AH316">
        <v>0</v>
      </c>
      <c r="AI316">
        <v>0</v>
      </c>
      <c r="AJ316">
        <v>0</v>
      </c>
      <c r="AK316">
        <v>0</v>
      </c>
      <c r="AL316" s="24">
        <v>68748.08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s="24">
        <v>68748.08</v>
      </c>
      <c r="AV316">
        <v>0</v>
      </c>
      <c r="AW316">
        <v>0</v>
      </c>
      <c r="AX316">
        <v>311000</v>
      </c>
      <c r="AY316" t="s">
        <v>161</v>
      </c>
      <c r="AZ316">
        <v>93.34</v>
      </c>
      <c r="BA316">
        <v>75.430000000000007</v>
      </c>
      <c r="BB316">
        <v>17.91</v>
      </c>
      <c r="BC316" t="s">
        <v>168</v>
      </c>
      <c r="BD316">
        <v>1509</v>
      </c>
      <c r="BE316" t="s">
        <v>169</v>
      </c>
      <c r="BF316">
        <v>5094131443</v>
      </c>
      <c r="BG316" t="s">
        <v>335</v>
      </c>
    </row>
    <row r="317" spans="1:59">
      <c r="A317">
        <v>1115</v>
      </c>
      <c r="B317">
        <v>1115</v>
      </c>
      <c r="C317">
        <v>10</v>
      </c>
      <c r="D317">
        <v>2</v>
      </c>
      <c r="E317" t="s">
        <v>152</v>
      </c>
      <c r="F317" t="s">
        <v>153</v>
      </c>
      <c r="G317" t="s">
        <v>154</v>
      </c>
      <c r="H317">
        <v>1526006047</v>
      </c>
      <c r="I317">
        <v>1000006311</v>
      </c>
      <c r="L317" t="s">
        <v>334</v>
      </c>
      <c r="M317">
        <v>5100001603</v>
      </c>
      <c r="N317" t="s">
        <v>155</v>
      </c>
      <c r="O317" t="s">
        <v>156</v>
      </c>
      <c r="P317">
        <v>4110025468</v>
      </c>
      <c r="Q317" t="s">
        <v>165</v>
      </c>
      <c r="R317">
        <v>5000</v>
      </c>
      <c r="S317" t="s">
        <v>166</v>
      </c>
      <c r="V317" t="s">
        <v>167</v>
      </c>
      <c r="W317">
        <v>1502020102</v>
      </c>
      <c r="X317" t="s">
        <v>58</v>
      </c>
      <c r="Y317" t="str">
        <f>VLOOKUP(W317,Sheet4!$A$5:$B$71,2,0)</f>
        <v>MAXIMA HD</v>
      </c>
      <c r="Z317">
        <v>87082900</v>
      </c>
      <c r="AA317">
        <v>8</v>
      </c>
      <c r="AB317" t="s">
        <v>159</v>
      </c>
      <c r="AC317" s="24">
        <v>8593.51</v>
      </c>
      <c r="AD317" t="s">
        <v>160</v>
      </c>
      <c r="AE317" s="24">
        <v>68748.08</v>
      </c>
      <c r="AF317">
        <v>0</v>
      </c>
      <c r="AG317" s="24">
        <v>68748.08</v>
      </c>
      <c r="AH317">
        <v>0</v>
      </c>
      <c r="AI317">
        <v>0</v>
      </c>
      <c r="AJ317">
        <v>0</v>
      </c>
      <c r="AK317">
        <v>0</v>
      </c>
      <c r="AL317" s="24">
        <v>68748.08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s="24">
        <v>68748.08</v>
      </c>
      <c r="AV317">
        <v>0</v>
      </c>
      <c r="AW317">
        <v>0</v>
      </c>
      <c r="AX317">
        <v>311000</v>
      </c>
      <c r="AY317" t="s">
        <v>161</v>
      </c>
      <c r="AZ317">
        <v>93.34</v>
      </c>
      <c r="BA317">
        <v>75.430000000000007</v>
      </c>
      <c r="BB317">
        <v>17.91</v>
      </c>
      <c r="BC317" t="s">
        <v>168</v>
      </c>
      <c r="BD317">
        <v>1509</v>
      </c>
      <c r="BE317" t="s">
        <v>169</v>
      </c>
      <c r="BF317">
        <v>5094120946</v>
      </c>
      <c r="BG317" t="s">
        <v>334</v>
      </c>
    </row>
    <row r="318" spans="1:59">
      <c r="A318">
        <v>1115</v>
      </c>
      <c r="B318">
        <v>1115</v>
      </c>
      <c r="C318">
        <v>10</v>
      </c>
      <c r="D318">
        <v>2</v>
      </c>
      <c r="E318" t="s">
        <v>152</v>
      </c>
      <c r="F318" t="s">
        <v>153</v>
      </c>
      <c r="G318" t="s">
        <v>154</v>
      </c>
      <c r="H318">
        <v>1526005562</v>
      </c>
      <c r="I318">
        <v>1000005813</v>
      </c>
      <c r="L318" t="s">
        <v>336</v>
      </c>
      <c r="M318">
        <v>5100001730</v>
      </c>
      <c r="N318" t="s">
        <v>155</v>
      </c>
      <c r="O318" t="s">
        <v>156</v>
      </c>
      <c r="P318">
        <v>4110029871</v>
      </c>
      <c r="Q318" t="s">
        <v>301</v>
      </c>
      <c r="R318">
        <v>5000</v>
      </c>
      <c r="S318" t="s">
        <v>166</v>
      </c>
      <c r="V318" t="s">
        <v>167</v>
      </c>
      <c r="W318">
        <v>1502020112</v>
      </c>
      <c r="X318" t="s">
        <v>302</v>
      </c>
      <c r="Y318" t="str">
        <f>VLOOKUP(W318,Sheet4!$A$5:$B$71,2,0)</f>
        <v>MAX UG NEW</v>
      </c>
      <c r="Z318">
        <v>87082900</v>
      </c>
      <c r="AA318">
        <v>10</v>
      </c>
      <c r="AB318" t="s">
        <v>159</v>
      </c>
      <c r="AC318" s="24">
        <v>9441.75</v>
      </c>
      <c r="AD318" t="s">
        <v>160</v>
      </c>
      <c r="AE318" s="24">
        <v>94417.5</v>
      </c>
      <c r="AF318">
        <v>0</v>
      </c>
      <c r="AG318" s="24">
        <v>94417.5</v>
      </c>
      <c r="AH318">
        <v>0</v>
      </c>
      <c r="AI318">
        <v>0</v>
      </c>
      <c r="AJ318">
        <v>0</v>
      </c>
      <c r="AK318">
        <v>0</v>
      </c>
      <c r="AL318" s="24">
        <v>94417.5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s="24">
        <v>94417.5</v>
      </c>
      <c r="AV318">
        <v>0</v>
      </c>
      <c r="AW318">
        <v>0</v>
      </c>
      <c r="AX318">
        <v>311000</v>
      </c>
      <c r="AY318" t="s">
        <v>161</v>
      </c>
      <c r="AZ318">
        <v>75</v>
      </c>
      <c r="BA318">
        <v>75</v>
      </c>
      <c r="BB318">
        <v>0</v>
      </c>
      <c r="BC318" t="s">
        <v>303</v>
      </c>
      <c r="BD318">
        <v>1509</v>
      </c>
      <c r="BE318" t="s">
        <v>169</v>
      </c>
      <c r="BF318">
        <v>5094064419</v>
      </c>
      <c r="BG318" t="s">
        <v>336</v>
      </c>
    </row>
    <row r="319" spans="1:59">
      <c r="A319">
        <v>1115</v>
      </c>
      <c r="B319">
        <v>1115</v>
      </c>
      <c r="C319">
        <v>10</v>
      </c>
      <c r="D319">
        <v>2</v>
      </c>
      <c r="E319" t="s">
        <v>152</v>
      </c>
      <c r="F319" t="s">
        <v>153</v>
      </c>
      <c r="G319" t="s">
        <v>154</v>
      </c>
      <c r="H319">
        <v>1526005561</v>
      </c>
      <c r="I319">
        <v>1000005811</v>
      </c>
      <c r="L319" t="s">
        <v>336</v>
      </c>
      <c r="M319">
        <v>5100001666</v>
      </c>
      <c r="N319" t="s">
        <v>155</v>
      </c>
      <c r="O319" t="s">
        <v>156</v>
      </c>
      <c r="P319">
        <v>4110027035</v>
      </c>
      <c r="Q319" t="s">
        <v>225</v>
      </c>
      <c r="R319">
        <v>5000</v>
      </c>
      <c r="S319" t="s">
        <v>166</v>
      </c>
      <c r="V319" t="s">
        <v>167</v>
      </c>
      <c r="W319">
        <v>1502020105</v>
      </c>
      <c r="X319" t="s">
        <v>226</v>
      </c>
      <c r="Y319" t="str">
        <f>VLOOKUP(W319,Sheet4!$A$5:$B$71,2,0)</f>
        <v>RE STYLING</v>
      </c>
      <c r="Z319">
        <v>87082900</v>
      </c>
      <c r="AA319">
        <v>15</v>
      </c>
      <c r="AB319" t="s">
        <v>159</v>
      </c>
      <c r="AC319" s="24">
        <v>6570.77</v>
      </c>
      <c r="AD319" t="s">
        <v>160</v>
      </c>
      <c r="AE319" s="24">
        <v>98561.55</v>
      </c>
      <c r="AF319">
        <v>0</v>
      </c>
      <c r="AG319" s="24">
        <v>98561.55</v>
      </c>
      <c r="AH319">
        <v>0</v>
      </c>
      <c r="AI319">
        <v>0</v>
      </c>
      <c r="AJ319">
        <v>0</v>
      </c>
      <c r="AK319">
        <v>0</v>
      </c>
      <c r="AL319" s="24">
        <v>98561.55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 s="24">
        <v>98561.55</v>
      </c>
      <c r="AV319">
        <v>0</v>
      </c>
      <c r="AW319">
        <v>0</v>
      </c>
      <c r="AX319">
        <v>311000</v>
      </c>
      <c r="AY319" t="s">
        <v>161</v>
      </c>
      <c r="AZ319">
        <v>49.75</v>
      </c>
      <c r="BA319">
        <v>49.75</v>
      </c>
      <c r="BB319">
        <v>0</v>
      </c>
      <c r="BC319" t="s">
        <v>227</v>
      </c>
      <c r="BD319">
        <v>1509</v>
      </c>
      <c r="BE319" t="s">
        <v>169</v>
      </c>
      <c r="BF319">
        <v>5094071057</v>
      </c>
      <c r="BG319" t="s">
        <v>337</v>
      </c>
    </row>
    <row r="320" spans="1:59">
      <c r="A320">
        <v>1115</v>
      </c>
      <c r="B320">
        <v>1115</v>
      </c>
      <c r="C320">
        <v>10</v>
      </c>
      <c r="D320">
        <v>2</v>
      </c>
      <c r="E320" t="s">
        <v>152</v>
      </c>
      <c r="F320" t="s">
        <v>153</v>
      </c>
      <c r="G320" t="s">
        <v>154</v>
      </c>
      <c r="H320">
        <v>1526005565</v>
      </c>
      <c r="I320">
        <v>1000005814</v>
      </c>
      <c r="L320" t="s">
        <v>336</v>
      </c>
      <c r="M320">
        <v>5100001603</v>
      </c>
      <c r="N320" t="s">
        <v>155</v>
      </c>
      <c r="O320" t="s">
        <v>156</v>
      </c>
      <c r="P320">
        <v>4110025468</v>
      </c>
      <c r="Q320" t="s">
        <v>165</v>
      </c>
      <c r="R320">
        <v>5000</v>
      </c>
      <c r="S320" t="s">
        <v>166</v>
      </c>
      <c r="V320" t="s">
        <v>167</v>
      </c>
      <c r="W320">
        <v>1502020102</v>
      </c>
      <c r="X320" t="s">
        <v>58</v>
      </c>
      <c r="Y320" t="str">
        <f>VLOOKUP(W320,Sheet4!$A$5:$B$71,2,0)</f>
        <v>MAXIMA HD</v>
      </c>
      <c r="Z320">
        <v>87082900</v>
      </c>
      <c r="AA320">
        <v>8</v>
      </c>
      <c r="AB320" t="s">
        <v>159</v>
      </c>
      <c r="AC320" s="24">
        <v>8593.51</v>
      </c>
      <c r="AD320" t="s">
        <v>160</v>
      </c>
      <c r="AE320" s="24">
        <v>68748.08</v>
      </c>
      <c r="AF320">
        <v>0</v>
      </c>
      <c r="AG320" s="24">
        <v>68748.08</v>
      </c>
      <c r="AH320">
        <v>0</v>
      </c>
      <c r="AI320">
        <v>0</v>
      </c>
      <c r="AJ320">
        <v>0</v>
      </c>
      <c r="AK320">
        <v>0</v>
      </c>
      <c r="AL320" s="24">
        <v>68748.08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s="24">
        <v>68748.08</v>
      </c>
      <c r="AV320">
        <v>0</v>
      </c>
      <c r="AW320">
        <v>0</v>
      </c>
      <c r="AX320">
        <v>311000</v>
      </c>
      <c r="AY320" t="s">
        <v>161</v>
      </c>
      <c r="AZ320">
        <v>93.34</v>
      </c>
      <c r="BA320">
        <v>75.430000000000007</v>
      </c>
      <c r="BB320">
        <v>17.91</v>
      </c>
      <c r="BC320" t="s">
        <v>168</v>
      </c>
      <c r="BD320">
        <v>1509</v>
      </c>
      <c r="BE320" t="s">
        <v>169</v>
      </c>
      <c r="BF320">
        <v>5094067251</v>
      </c>
      <c r="BG320" t="s">
        <v>336</v>
      </c>
    </row>
    <row r="321" spans="1:59">
      <c r="A321">
        <v>1115</v>
      </c>
      <c r="B321">
        <v>1115</v>
      </c>
      <c r="C321">
        <v>10</v>
      </c>
      <c r="D321">
        <v>2</v>
      </c>
      <c r="E321" t="s">
        <v>152</v>
      </c>
      <c r="F321" t="s">
        <v>153</v>
      </c>
      <c r="G321" t="s">
        <v>154</v>
      </c>
      <c r="H321">
        <v>1526005566</v>
      </c>
      <c r="I321">
        <v>1000005815</v>
      </c>
      <c r="L321" t="s">
        <v>336</v>
      </c>
      <c r="M321">
        <v>5100001588</v>
      </c>
      <c r="N321" t="s">
        <v>155</v>
      </c>
      <c r="O321" t="s">
        <v>156</v>
      </c>
      <c r="P321">
        <v>4110025058</v>
      </c>
      <c r="Q321" t="s">
        <v>180</v>
      </c>
      <c r="R321">
        <v>5000</v>
      </c>
      <c r="S321" t="s">
        <v>166</v>
      </c>
      <c r="V321" t="s">
        <v>167</v>
      </c>
      <c r="W321">
        <v>1502040235</v>
      </c>
      <c r="X321" t="s">
        <v>47</v>
      </c>
      <c r="Y321" t="str">
        <f>VLOOKUP(W321,Sheet4!$A$5:$B$71,2,0)</f>
        <v>STARTING HANDLE</v>
      </c>
      <c r="Z321">
        <v>87082900</v>
      </c>
      <c r="AA321">
        <v>360</v>
      </c>
      <c r="AB321" t="s">
        <v>159</v>
      </c>
      <c r="AC321">
        <v>217.33</v>
      </c>
      <c r="AD321" t="s">
        <v>160</v>
      </c>
      <c r="AE321" s="24">
        <v>78238.8</v>
      </c>
      <c r="AF321">
        <v>0</v>
      </c>
      <c r="AG321" s="24">
        <v>78238.8</v>
      </c>
      <c r="AH321">
        <v>0</v>
      </c>
      <c r="AI321">
        <v>0</v>
      </c>
      <c r="AJ321">
        <v>0</v>
      </c>
      <c r="AK321">
        <v>0</v>
      </c>
      <c r="AL321" s="24">
        <v>78238.8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s="24">
        <v>78238.8</v>
      </c>
      <c r="AV321">
        <v>0</v>
      </c>
      <c r="AW321">
        <v>0</v>
      </c>
      <c r="AX321">
        <v>311000</v>
      </c>
      <c r="AY321" t="s">
        <v>161</v>
      </c>
      <c r="AZ321">
        <v>1.19</v>
      </c>
      <c r="BA321">
        <v>1.19</v>
      </c>
      <c r="BB321">
        <v>0</v>
      </c>
      <c r="BC321" t="s">
        <v>181</v>
      </c>
      <c r="BD321">
        <v>1511</v>
      </c>
      <c r="BE321" t="s">
        <v>174</v>
      </c>
      <c r="BF321">
        <v>5094078199</v>
      </c>
      <c r="BG321" t="s">
        <v>337</v>
      </c>
    </row>
    <row r="322" spans="1:59">
      <c r="A322">
        <v>1115</v>
      </c>
      <c r="B322">
        <v>1115</v>
      </c>
      <c r="C322">
        <v>10</v>
      </c>
      <c r="D322">
        <v>2</v>
      </c>
      <c r="E322" t="s">
        <v>152</v>
      </c>
      <c r="F322" t="s">
        <v>153</v>
      </c>
      <c r="G322" t="s">
        <v>154</v>
      </c>
      <c r="H322">
        <v>1526005560</v>
      </c>
      <c r="I322">
        <v>1000005810</v>
      </c>
      <c r="L322" t="s">
        <v>336</v>
      </c>
      <c r="M322">
        <v>5100001666</v>
      </c>
      <c r="N322" t="s">
        <v>155</v>
      </c>
      <c r="O322" t="s">
        <v>156</v>
      </c>
      <c r="P322">
        <v>4110027035</v>
      </c>
      <c r="Q322" t="s">
        <v>225</v>
      </c>
      <c r="R322">
        <v>5000</v>
      </c>
      <c r="S322" t="s">
        <v>166</v>
      </c>
      <c r="V322" t="s">
        <v>167</v>
      </c>
      <c r="W322">
        <v>1502020105</v>
      </c>
      <c r="X322" t="s">
        <v>226</v>
      </c>
      <c r="Y322" t="str">
        <f>VLOOKUP(W322,Sheet4!$A$5:$B$71,2,0)</f>
        <v>RE STYLING</v>
      </c>
      <c r="Z322">
        <v>87082900</v>
      </c>
      <c r="AA322">
        <v>15</v>
      </c>
      <c r="AB322" t="s">
        <v>159</v>
      </c>
      <c r="AC322" s="24">
        <v>6570.77</v>
      </c>
      <c r="AD322" t="s">
        <v>160</v>
      </c>
      <c r="AE322" s="24">
        <v>98561.55</v>
      </c>
      <c r="AF322">
        <v>0</v>
      </c>
      <c r="AG322" s="24">
        <v>98561.55</v>
      </c>
      <c r="AH322">
        <v>0</v>
      </c>
      <c r="AI322">
        <v>0</v>
      </c>
      <c r="AJ322">
        <v>0</v>
      </c>
      <c r="AK322">
        <v>0</v>
      </c>
      <c r="AL322" s="24">
        <v>98561.55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 s="24">
        <v>98561.55</v>
      </c>
      <c r="AV322">
        <v>0</v>
      </c>
      <c r="AW322">
        <v>0</v>
      </c>
      <c r="AX322">
        <v>311000</v>
      </c>
      <c r="AY322" t="s">
        <v>161</v>
      </c>
      <c r="AZ322">
        <v>49.75</v>
      </c>
      <c r="BA322">
        <v>49.75</v>
      </c>
      <c r="BB322">
        <v>0</v>
      </c>
      <c r="BC322" t="s">
        <v>227</v>
      </c>
      <c r="BD322">
        <v>1509</v>
      </c>
      <c r="BE322" t="s">
        <v>169</v>
      </c>
      <c r="BF322">
        <v>5094071191</v>
      </c>
      <c r="BG322" t="s">
        <v>337</v>
      </c>
    </row>
    <row r="323" spans="1:59">
      <c r="A323">
        <v>1115</v>
      </c>
      <c r="B323">
        <v>1115</v>
      </c>
      <c r="C323">
        <v>10</v>
      </c>
      <c r="D323">
        <v>2</v>
      </c>
      <c r="E323" t="s">
        <v>152</v>
      </c>
      <c r="F323" t="s">
        <v>153</v>
      </c>
      <c r="G323" t="s">
        <v>154</v>
      </c>
      <c r="H323">
        <v>1526005559</v>
      </c>
      <c r="I323">
        <v>1000005809</v>
      </c>
      <c r="L323" t="s">
        <v>336</v>
      </c>
      <c r="M323">
        <v>5100001928</v>
      </c>
      <c r="N323" t="s">
        <v>155</v>
      </c>
      <c r="O323" t="s">
        <v>156</v>
      </c>
      <c r="P323">
        <v>4110057393</v>
      </c>
      <c r="Q323" t="s">
        <v>192</v>
      </c>
      <c r="R323">
        <v>5000</v>
      </c>
      <c r="S323" t="s">
        <v>166</v>
      </c>
      <c r="V323" t="s">
        <v>167</v>
      </c>
      <c r="W323">
        <v>1502020122</v>
      </c>
      <c r="X323" t="s">
        <v>70</v>
      </c>
      <c r="Y323" t="str">
        <f>VLOOKUP(W323,Sheet4!$A$5:$B$71,2,0)</f>
        <v>MAX UG NEW EV</v>
      </c>
      <c r="Z323">
        <v>87082900</v>
      </c>
      <c r="AA323">
        <v>10</v>
      </c>
      <c r="AB323" t="s">
        <v>159</v>
      </c>
      <c r="AC323" s="24">
        <v>9566.51</v>
      </c>
      <c r="AD323" t="s">
        <v>160</v>
      </c>
      <c r="AE323" s="24">
        <v>95665.1</v>
      </c>
      <c r="AF323">
        <v>0</v>
      </c>
      <c r="AG323" s="24">
        <v>95665.1</v>
      </c>
      <c r="AH323">
        <v>0</v>
      </c>
      <c r="AI323">
        <v>0</v>
      </c>
      <c r="AJ323">
        <v>0</v>
      </c>
      <c r="AK323">
        <v>0</v>
      </c>
      <c r="AL323" s="24">
        <v>95665.1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s="24">
        <v>95665.1</v>
      </c>
      <c r="AV323">
        <v>0</v>
      </c>
      <c r="AW323">
        <v>0</v>
      </c>
      <c r="AX323">
        <v>311000</v>
      </c>
      <c r="AY323" t="s">
        <v>161</v>
      </c>
      <c r="AZ323">
        <v>0</v>
      </c>
      <c r="BA323">
        <v>61</v>
      </c>
      <c r="BB323">
        <v>-61</v>
      </c>
      <c r="BC323" t="s">
        <v>193</v>
      </c>
      <c r="BD323">
        <v>1509</v>
      </c>
      <c r="BE323" t="s">
        <v>169</v>
      </c>
      <c r="BF323">
        <v>5094066084</v>
      </c>
      <c r="BG323" t="s">
        <v>336</v>
      </c>
    </row>
    <row r="324" spans="1:59">
      <c r="A324">
        <v>1115</v>
      </c>
      <c r="B324">
        <v>1115</v>
      </c>
      <c r="C324">
        <v>10</v>
      </c>
      <c r="D324">
        <v>2</v>
      </c>
      <c r="E324" t="s">
        <v>152</v>
      </c>
      <c r="F324" t="s">
        <v>153</v>
      </c>
      <c r="G324" t="s">
        <v>154</v>
      </c>
      <c r="H324">
        <v>1526005558</v>
      </c>
      <c r="I324">
        <v>1000005808</v>
      </c>
      <c r="L324" t="s">
        <v>336</v>
      </c>
      <c r="M324">
        <v>5100001919</v>
      </c>
      <c r="N324" t="s">
        <v>155</v>
      </c>
      <c r="O324" t="s">
        <v>156</v>
      </c>
      <c r="P324">
        <v>5500000930</v>
      </c>
      <c r="Q324" t="s">
        <v>157</v>
      </c>
      <c r="R324">
        <v>5356</v>
      </c>
      <c r="S324" t="s">
        <v>158</v>
      </c>
      <c r="W324">
        <v>1502010011</v>
      </c>
      <c r="X324" t="s">
        <v>35</v>
      </c>
      <c r="Y324" t="str">
        <f>VLOOKUP(W324,Sheet4!$A$5:$B$71,2,0)</f>
        <v>REAR MUDGAURD</v>
      </c>
      <c r="Z324">
        <v>87082900</v>
      </c>
      <c r="AA324">
        <v>432</v>
      </c>
      <c r="AB324" t="s">
        <v>159</v>
      </c>
      <c r="AC324">
        <v>89.25</v>
      </c>
      <c r="AD324" t="s">
        <v>160</v>
      </c>
      <c r="AE324" s="24">
        <v>38556</v>
      </c>
      <c r="AF324">
        <v>0</v>
      </c>
      <c r="AG324" s="24">
        <v>38556</v>
      </c>
      <c r="AH324">
        <v>0</v>
      </c>
      <c r="AI324">
        <v>0</v>
      </c>
      <c r="AJ324">
        <v>0</v>
      </c>
      <c r="AK324">
        <v>0</v>
      </c>
      <c r="AL324" s="24">
        <v>38556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s="24">
        <v>38556</v>
      </c>
      <c r="AV324">
        <v>0</v>
      </c>
      <c r="AW324">
        <v>0</v>
      </c>
      <c r="AX324">
        <v>311000</v>
      </c>
      <c r="AY324" t="s">
        <v>161</v>
      </c>
      <c r="AZ324">
        <v>1.32</v>
      </c>
      <c r="BA324">
        <v>0.72399999999999998</v>
      </c>
      <c r="BB324">
        <v>0.59599999999999997</v>
      </c>
      <c r="BC324">
        <v>2000001017</v>
      </c>
      <c r="BD324">
        <v>1508</v>
      </c>
      <c r="BE324" t="s">
        <v>162</v>
      </c>
      <c r="BF324" t="s">
        <v>163</v>
      </c>
      <c r="BG324" t="s">
        <v>164</v>
      </c>
    </row>
    <row r="325" spans="1:59">
      <c r="A325">
        <v>1115</v>
      </c>
      <c r="B325">
        <v>1115</v>
      </c>
      <c r="C325">
        <v>10</v>
      </c>
      <c r="D325">
        <v>2</v>
      </c>
      <c r="E325" t="s">
        <v>152</v>
      </c>
      <c r="F325" t="s">
        <v>153</v>
      </c>
      <c r="G325" t="s">
        <v>154</v>
      </c>
      <c r="H325">
        <v>1526005557</v>
      </c>
      <c r="I325">
        <v>1000005807</v>
      </c>
      <c r="L325" t="s">
        <v>336</v>
      </c>
      <c r="M325">
        <v>5100001919</v>
      </c>
      <c r="N325" t="s">
        <v>155</v>
      </c>
      <c r="O325" t="s">
        <v>156</v>
      </c>
      <c r="P325">
        <v>5500000930</v>
      </c>
      <c r="Q325" t="s">
        <v>157</v>
      </c>
      <c r="R325">
        <v>5356</v>
      </c>
      <c r="S325" t="s">
        <v>158</v>
      </c>
      <c r="W325">
        <v>1502010011</v>
      </c>
      <c r="X325" t="s">
        <v>35</v>
      </c>
      <c r="Y325" t="str">
        <f>VLOOKUP(W325,Sheet4!$A$5:$B$71,2,0)</f>
        <v>REAR MUDGAURD</v>
      </c>
      <c r="Z325">
        <v>87082900</v>
      </c>
      <c r="AA325">
        <v>432</v>
      </c>
      <c r="AB325" t="s">
        <v>159</v>
      </c>
      <c r="AC325">
        <v>89.25</v>
      </c>
      <c r="AD325" t="s">
        <v>160</v>
      </c>
      <c r="AE325" s="24">
        <v>38556</v>
      </c>
      <c r="AF325">
        <v>0</v>
      </c>
      <c r="AG325" s="24">
        <v>38556</v>
      </c>
      <c r="AH325">
        <v>0</v>
      </c>
      <c r="AI325">
        <v>0</v>
      </c>
      <c r="AJ325">
        <v>0</v>
      </c>
      <c r="AK325">
        <v>0</v>
      </c>
      <c r="AL325" s="24">
        <v>38556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s="24">
        <v>38556</v>
      </c>
      <c r="AV325">
        <v>0</v>
      </c>
      <c r="AW325">
        <v>0</v>
      </c>
      <c r="AX325">
        <v>311000</v>
      </c>
      <c r="AY325" t="s">
        <v>161</v>
      </c>
      <c r="AZ325">
        <v>1.32</v>
      </c>
      <c r="BA325">
        <v>0.72399999999999998</v>
      </c>
      <c r="BB325">
        <v>0.59599999999999997</v>
      </c>
      <c r="BC325">
        <v>2000001017</v>
      </c>
      <c r="BD325">
        <v>1508</v>
      </c>
      <c r="BE325" t="s">
        <v>162</v>
      </c>
      <c r="BF325" t="s">
        <v>163</v>
      </c>
      <c r="BG325" t="s">
        <v>164</v>
      </c>
    </row>
    <row r="326" spans="1:59">
      <c r="A326">
        <v>1115</v>
      </c>
      <c r="B326">
        <v>1115</v>
      </c>
      <c r="C326">
        <v>10</v>
      </c>
      <c r="D326">
        <v>2</v>
      </c>
      <c r="E326" t="s">
        <v>152</v>
      </c>
      <c r="F326" t="s">
        <v>153</v>
      </c>
      <c r="G326" t="s">
        <v>154</v>
      </c>
      <c r="H326">
        <v>1526005556</v>
      </c>
      <c r="I326">
        <v>1000005806</v>
      </c>
      <c r="L326" t="s">
        <v>336</v>
      </c>
      <c r="M326">
        <v>5100001919</v>
      </c>
      <c r="N326" t="s">
        <v>155</v>
      </c>
      <c r="O326" t="s">
        <v>156</v>
      </c>
      <c r="P326">
        <v>5500000930</v>
      </c>
      <c r="Q326" t="s">
        <v>157</v>
      </c>
      <c r="R326">
        <v>5356</v>
      </c>
      <c r="S326" t="s">
        <v>158</v>
      </c>
      <c r="W326">
        <v>1502010011</v>
      </c>
      <c r="X326" t="s">
        <v>35</v>
      </c>
      <c r="Y326" t="str">
        <f>VLOOKUP(W326,Sheet4!$A$5:$B$71,2,0)</f>
        <v>REAR MUDGAURD</v>
      </c>
      <c r="Z326">
        <v>87082900</v>
      </c>
      <c r="AA326">
        <v>432</v>
      </c>
      <c r="AB326" t="s">
        <v>159</v>
      </c>
      <c r="AC326">
        <v>89.25</v>
      </c>
      <c r="AD326" t="s">
        <v>160</v>
      </c>
      <c r="AE326" s="24">
        <v>38556</v>
      </c>
      <c r="AF326">
        <v>0</v>
      </c>
      <c r="AG326" s="24">
        <v>38556</v>
      </c>
      <c r="AH326">
        <v>0</v>
      </c>
      <c r="AI326">
        <v>0</v>
      </c>
      <c r="AJ326">
        <v>0</v>
      </c>
      <c r="AK326">
        <v>0</v>
      </c>
      <c r="AL326" s="24">
        <v>38556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s="24">
        <v>38556</v>
      </c>
      <c r="AV326">
        <v>0</v>
      </c>
      <c r="AW326">
        <v>0</v>
      </c>
      <c r="AX326">
        <v>311000</v>
      </c>
      <c r="AY326" t="s">
        <v>161</v>
      </c>
      <c r="AZ326">
        <v>1.32</v>
      </c>
      <c r="BA326">
        <v>0.72399999999999998</v>
      </c>
      <c r="BB326">
        <v>0.59599999999999997</v>
      </c>
      <c r="BC326">
        <v>2000001017</v>
      </c>
      <c r="BD326">
        <v>1508</v>
      </c>
      <c r="BE326" t="s">
        <v>162</v>
      </c>
      <c r="BF326" t="s">
        <v>163</v>
      </c>
      <c r="BG326" t="s">
        <v>164</v>
      </c>
    </row>
    <row r="327" spans="1:59">
      <c r="A327">
        <v>1115</v>
      </c>
      <c r="B327">
        <v>1115</v>
      </c>
      <c r="C327">
        <v>10</v>
      </c>
      <c r="D327">
        <v>2</v>
      </c>
      <c r="E327" t="s">
        <v>152</v>
      </c>
      <c r="F327" t="s">
        <v>153</v>
      </c>
      <c r="G327" t="s">
        <v>154</v>
      </c>
      <c r="H327">
        <v>1526005568</v>
      </c>
      <c r="I327">
        <v>1000005817</v>
      </c>
      <c r="L327" t="s">
        <v>336</v>
      </c>
      <c r="M327">
        <v>5100001603</v>
      </c>
      <c r="N327" t="s">
        <v>155</v>
      </c>
      <c r="O327" t="s">
        <v>156</v>
      </c>
      <c r="P327">
        <v>4110025468</v>
      </c>
      <c r="Q327" t="s">
        <v>165</v>
      </c>
      <c r="R327">
        <v>5000</v>
      </c>
      <c r="S327" t="s">
        <v>166</v>
      </c>
      <c r="V327" t="s">
        <v>167</v>
      </c>
      <c r="W327">
        <v>1502020102</v>
      </c>
      <c r="X327" t="s">
        <v>58</v>
      </c>
      <c r="Y327" t="str">
        <f>VLOOKUP(W327,Sheet4!$A$5:$B$71,2,0)</f>
        <v>MAXIMA HD</v>
      </c>
      <c r="Z327">
        <v>87082900</v>
      </c>
      <c r="AA327">
        <v>8</v>
      </c>
      <c r="AB327" t="s">
        <v>159</v>
      </c>
      <c r="AC327" s="24">
        <v>8593.51</v>
      </c>
      <c r="AD327" t="s">
        <v>160</v>
      </c>
      <c r="AE327" s="24">
        <v>68748.08</v>
      </c>
      <c r="AF327">
        <v>0</v>
      </c>
      <c r="AG327" s="24">
        <v>68748.08</v>
      </c>
      <c r="AH327">
        <v>0</v>
      </c>
      <c r="AI327">
        <v>0</v>
      </c>
      <c r="AJ327">
        <v>0</v>
      </c>
      <c r="AK327">
        <v>0</v>
      </c>
      <c r="AL327" s="24">
        <v>68748.08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s="24">
        <v>68748.08</v>
      </c>
      <c r="AV327">
        <v>0</v>
      </c>
      <c r="AW327">
        <v>0</v>
      </c>
      <c r="AX327">
        <v>311000</v>
      </c>
      <c r="AY327" t="s">
        <v>161</v>
      </c>
      <c r="AZ327">
        <v>93.34</v>
      </c>
      <c r="BA327">
        <v>75.430000000000007</v>
      </c>
      <c r="BB327">
        <v>17.91</v>
      </c>
      <c r="BC327" t="s">
        <v>168</v>
      </c>
      <c r="BD327">
        <v>1509</v>
      </c>
      <c r="BE327" t="s">
        <v>169</v>
      </c>
      <c r="BF327">
        <v>5094069833</v>
      </c>
      <c r="BG327" t="s">
        <v>337</v>
      </c>
    </row>
    <row r="328" spans="1:59">
      <c r="A328">
        <v>1115</v>
      </c>
      <c r="B328">
        <v>1115</v>
      </c>
      <c r="C328">
        <v>10</v>
      </c>
      <c r="D328">
        <v>2</v>
      </c>
      <c r="E328" t="s">
        <v>152</v>
      </c>
      <c r="F328" t="s">
        <v>153</v>
      </c>
      <c r="G328" t="s">
        <v>154</v>
      </c>
      <c r="H328">
        <v>1526005569</v>
      </c>
      <c r="I328">
        <v>1000005818</v>
      </c>
      <c r="L328" t="s">
        <v>336</v>
      </c>
      <c r="M328">
        <v>5100001099</v>
      </c>
      <c r="N328" t="s">
        <v>155</v>
      </c>
      <c r="O328" t="s">
        <v>156</v>
      </c>
      <c r="P328">
        <v>4110004650</v>
      </c>
      <c r="Q328" t="s">
        <v>177</v>
      </c>
      <c r="R328">
        <v>5000</v>
      </c>
      <c r="S328" t="s">
        <v>166</v>
      </c>
      <c r="V328" t="s">
        <v>167</v>
      </c>
      <c r="W328">
        <v>1502040127</v>
      </c>
      <c r="X328" t="s">
        <v>307</v>
      </c>
      <c r="Y328" t="str">
        <f>VLOOKUP(W328,Sheet4!$A$5:$B$71,2,0)</f>
        <v>ENG BKT</v>
      </c>
      <c r="Z328">
        <v>87141090</v>
      </c>
      <c r="AA328">
        <v>84</v>
      </c>
      <c r="AB328" t="s">
        <v>159</v>
      </c>
      <c r="AC328">
        <v>266.62</v>
      </c>
      <c r="AD328" t="s">
        <v>160</v>
      </c>
      <c r="AE328" s="24">
        <v>22396.080000000002</v>
      </c>
      <c r="AF328">
        <v>0</v>
      </c>
      <c r="AG328" s="24">
        <v>22396.080000000002</v>
      </c>
      <c r="AH328">
        <v>0</v>
      </c>
      <c r="AI328">
        <v>0</v>
      </c>
      <c r="AJ328">
        <v>0</v>
      </c>
      <c r="AK328">
        <v>0</v>
      </c>
      <c r="AL328" s="24">
        <v>22396.080000000002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s="24">
        <v>22396.080000000002</v>
      </c>
      <c r="AV328">
        <v>0</v>
      </c>
      <c r="AW328">
        <v>0</v>
      </c>
      <c r="AX328">
        <v>311000</v>
      </c>
      <c r="AY328" t="s">
        <v>161</v>
      </c>
      <c r="AZ328">
        <v>1.31</v>
      </c>
      <c r="BA328">
        <v>1.31</v>
      </c>
      <c r="BB328">
        <v>0</v>
      </c>
      <c r="BC328" t="s">
        <v>308</v>
      </c>
      <c r="BD328">
        <v>1511</v>
      </c>
      <c r="BE328" t="s">
        <v>174</v>
      </c>
      <c r="BF328">
        <v>5094062592</v>
      </c>
      <c r="BG328" t="s">
        <v>336</v>
      </c>
    </row>
    <row r="329" spans="1:59">
      <c r="A329">
        <v>1115</v>
      </c>
      <c r="B329">
        <v>1115</v>
      </c>
      <c r="C329">
        <v>10</v>
      </c>
      <c r="D329">
        <v>2</v>
      </c>
      <c r="E329" t="s">
        <v>152</v>
      </c>
      <c r="F329" t="s">
        <v>153</v>
      </c>
      <c r="G329" t="s">
        <v>154</v>
      </c>
      <c r="H329">
        <v>1526005573</v>
      </c>
      <c r="I329">
        <v>1000005823</v>
      </c>
      <c r="L329" t="s">
        <v>336</v>
      </c>
      <c r="M329">
        <v>5100001795</v>
      </c>
      <c r="N329" t="s">
        <v>155</v>
      </c>
      <c r="O329" t="s">
        <v>156</v>
      </c>
      <c r="P329">
        <v>4110032503</v>
      </c>
      <c r="Q329" t="s">
        <v>190</v>
      </c>
      <c r="R329">
        <v>5000</v>
      </c>
      <c r="S329" t="s">
        <v>166</v>
      </c>
      <c r="V329" t="s">
        <v>167</v>
      </c>
      <c r="W329">
        <v>1502010016</v>
      </c>
      <c r="X329" t="s">
        <v>69</v>
      </c>
      <c r="Y329" t="str">
        <f>VLOOKUP(W329,Sheet4!$A$5:$B$71,2,0)</f>
        <v>LOGISTICS</v>
      </c>
      <c r="Z329">
        <v>87082900</v>
      </c>
      <c r="AA329" s="24">
        <v>1500</v>
      </c>
      <c r="AB329" t="s">
        <v>159</v>
      </c>
      <c r="AC329">
        <v>8.4600000000000009</v>
      </c>
      <c r="AD329" t="s">
        <v>160</v>
      </c>
      <c r="AE329" s="24">
        <v>12690</v>
      </c>
      <c r="AF329">
        <v>0</v>
      </c>
      <c r="AG329" s="24">
        <v>12690</v>
      </c>
      <c r="AH329">
        <v>0</v>
      </c>
      <c r="AI329">
        <v>0</v>
      </c>
      <c r="AJ329">
        <v>0</v>
      </c>
      <c r="AK329">
        <v>0</v>
      </c>
      <c r="AL329" s="24">
        <v>12690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s="24">
        <v>12690</v>
      </c>
      <c r="AV329">
        <v>0</v>
      </c>
      <c r="AW329">
        <v>0</v>
      </c>
      <c r="AX329">
        <v>311000</v>
      </c>
      <c r="AY329" t="s">
        <v>161</v>
      </c>
      <c r="AZ329">
        <v>0.08</v>
      </c>
      <c r="BA329">
        <v>6.3E-2</v>
      </c>
      <c r="BB329">
        <v>1.7000000000000001E-2</v>
      </c>
      <c r="BC329" t="s">
        <v>191</v>
      </c>
      <c r="BD329">
        <v>1508</v>
      </c>
      <c r="BE329" t="s">
        <v>162</v>
      </c>
      <c r="BF329">
        <v>5094063076</v>
      </c>
      <c r="BG329" t="s">
        <v>336</v>
      </c>
    </row>
    <row r="330" spans="1:59">
      <c r="A330">
        <v>1115</v>
      </c>
      <c r="B330">
        <v>1115</v>
      </c>
      <c r="C330">
        <v>10</v>
      </c>
      <c r="D330">
        <v>2</v>
      </c>
      <c r="E330" t="s">
        <v>152</v>
      </c>
      <c r="F330" t="s">
        <v>153</v>
      </c>
      <c r="G330" t="s">
        <v>154</v>
      </c>
      <c r="H330">
        <v>1526005576</v>
      </c>
      <c r="I330">
        <v>1000005825</v>
      </c>
      <c r="L330" t="s">
        <v>336</v>
      </c>
      <c r="M330">
        <v>5100001603</v>
      </c>
      <c r="N330" t="s">
        <v>155</v>
      </c>
      <c r="O330" t="s">
        <v>156</v>
      </c>
      <c r="P330">
        <v>4110025468</v>
      </c>
      <c r="Q330" t="s">
        <v>165</v>
      </c>
      <c r="R330">
        <v>5000</v>
      </c>
      <c r="S330" t="s">
        <v>166</v>
      </c>
      <c r="V330" t="s">
        <v>167</v>
      </c>
      <c r="W330">
        <v>1502020102</v>
      </c>
      <c r="X330" t="s">
        <v>58</v>
      </c>
      <c r="Y330" t="str">
        <f>VLOOKUP(W330,Sheet4!$A$5:$B$71,2,0)</f>
        <v>MAXIMA HD</v>
      </c>
      <c r="Z330">
        <v>87082900</v>
      </c>
      <c r="AA330">
        <v>8</v>
      </c>
      <c r="AB330" t="s">
        <v>159</v>
      </c>
      <c r="AC330" s="24">
        <v>8593.51</v>
      </c>
      <c r="AD330" t="s">
        <v>160</v>
      </c>
      <c r="AE330" s="24">
        <v>68748.08</v>
      </c>
      <c r="AF330">
        <v>0</v>
      </c>
      <c r="AG330" s="24">
        <v>68748.08</v>
      </c>
      <c r="AH330">
        <v>0</v>
      </c>
      <c r="AI330">
        <v>0</v>
      </c>
      <c r="AJ330">
        <v>0</v>
      </c>
      <c r="AK330">
        <v>0</v>
      </c>
      <c r="AL330" s="24">
        <v>68748.08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s="24">
        <v>68748.08</v>
      </c>
      <c r="AV330">
        <v>0</v>
      </c>
      <c r="AW330">
        <v>0</v>
      </c>
      <c r="AX330">
        <v>311000</v>
      </c>
      <c r="AY330" t="s">
        <v>161</v>
      </c>
      <c r="AZ330">
        <v>93.34</v>
      </c>
      <c r="BA330">
        <v>75.430000000000007</v>
      </c>
      <c r="BB330">
        <v>17.91</v>
      </c>
      <c r="BC330" t="s">
        <v>168</v>
      </c>
      <c r="BD330">
        <v>1509</v>
      </c>
      <c r="BE330" t="s">
        <v>169</v>
      </c>
      <c r="BF330">
        <v>5094064280</v>
      </c>
      <c r="BG330" t="s">
        <v>336</v>
      </c>
    </row>
    <row r="331" spans="1:59">
      <c r="A331">
        <v>1115</v>
      </c>
      <c r="B331">
        <v>1115</v>
      </c>
      <c r="C331">
        <v>10</v>
      </c>
      <c r="D331">
        <v>2</v>
      </c>
      <c r="E331" t="s">
        <v>152</v>
      </c>
      <c r="F331" t="s">
        <v>153</v>
      </c>
      <c r="G331" t="s">
        <v>154</v>
      </c>
      <c r="H331">
        <v>1526005577</v>
      </c>
      <c r="I331">
        <v>1000005826</v>
      </c>
      <c r="L331" t="s">
        <v>336</v>
      </c>
      <c r="M331">
        <v>5100001603</v>
      </c>
      <c r="N331" t="s">
        <v>155</v>
      </c>
      <c r="O331" t="s">
        <v>156</v>
      </c>
      <c r="P331">
        <v>4110025468</v>
      </c>
      <c r="Q331" t="s">
        <v>165</v>
      </c>
      <c r="R331">
        <v>5000</v>
      </c>
      <c r="S331" t="s">
        <v>166</v>
      </c>
      <c r="V331" t="s">
        <v>167</v>
      </c>
      <c r="W331">
        <v>1502020102</v>
      </c>
      <c r="X331" t="s">
        <v>58</v>
      </c>
      <c r="Y331" t="str">
        <f>VLOOKUP(W331,Sheet4!$A$5:$B$71,2,0)</f>
        <v>MAXIMA HD</v>
      </c>
      <c r="Z331">
        <v>87082900</v>
      </c>
      <c r="AA331">
        <v>8</v>
      </c>
      <c r="AB331" t="s">
        <v>159</v>
      </c>
      <c r="AC331" s="24">
        <v>8593.51</v>
      </c>
      <c r="AD331" t="s">
        <v>160</v>
      </c>
      <c r="AE331" s="24">
        <v>68748.08</v>
      </c>
      <c r="AF331">
        <v>0</v>
      </c>
      <c r="AG331" s="24">
        <v>68748.08</v>
      </c>
      <c r="AH331">
        <v>0</v>
      </c>
      <c r="AI331">
        <v>0</v>
      </c>
      <c r="AJ331">
        <v>0</v>
      </c>
      <c r="AK331">
        <v>0</v>
      </c>
      <c r="AL331" s="24">
        <v>68748.08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s="24">
        <v>68748.08</v>
      </c>
      <c r="AV331">
        <v>0</v>
      </c>
      <c r="AW331">
        <v>0</v>
      </c>
      <c r="AX331">
        <v>311000</v>
      </c>
      <c r="AY331" t="s">
        <v>161</v>
      </c>
      <c r="AZ331">
        <v>93.34</v>
      </c>
      <c r="BA331">
        <v>75.430000000000007</v>
      </c>
      <c r="BB331">
        <v>17.91</v>
      </c>
      <c r="BC331" t="s">
        <v>168</v>
      </c>
      <c r="BD331">
        <v>1509</v>
      </c>
      <c r="BE331" t="s">
        <v>169</v>
      </c>
      <c r="BF331">
        <v>5094065907</v>
      </c>
      <c r="BG331" t="s">
        <v>336</v>
      </c>
    </row>
    <row r="332" spans="1:59">
      <c r="A332">
        <v>1115</v>
      </c>
      <c r="B332">
        <v>1115</v>
      </c>
      <c r="C332">
        <v>10</v>
      </c>
      <c r="D332">
        <v>2</v>
      </c>
      <c r="E332" t="s">
        <v>152</v>
      </c>
      <c r="F332" t="s">
        <v>153</v>
      </c>
      <c r="G332" t="s">
        <v>154</v>
      </c>
      <c r="H332">
        <v>1526005579</v>
      </c>
      <c r="I332">
        <v>1000005827</v>
      </c>
      <c r="L332" t="s">
        <v>336</v>
      </c>
      <c r="M332">
        <v>5100001928</v>
      </c>
      <c r="N332" t="s">
        <v>155</v>
      </c>
      <c r="O332" t="s">
        <v>156</v>
      </c>
      <c r="P332">
        <v>4110057393</v>
      </c>
      <c r="Q332" t="s">
        <v>192</v>
      </c>
      <c r="R332">
        <v>5000</v>
      </c>
      <c r="S332" t="s">
        <v>166</v>
      </c>
      <c r="V332" t="s">
        <v>167</v>
      </c>
      <c r="W332">
        <v>1502020122</v>
      </c>
      <c r="X332" t="s">
        <v>70</v>
      </c>
      <c r="Y332" t="str">
        <f>VLOOKUP(W332,Sheet4!$A$5:$B$71,2,0)</f>
        <v>MAX UG NEW EV</v>
      </c>
      <c r="Z332">
        <v>87082900</v>
      </c>
      <c r="AA332">
        <v>10</v>
      </c>
      <c r="AB332" t="s">
        <v>159</v>
      </c>
      <c r="AC332" s="24">
        <v>9566.51</v>
      </c>
      <c r="AD332" t="s">
        <v>160</v>
      </c>
      <c r="AE332" s="24">
        <v>95665.1</v>
      </c>
      <c r="AF332">
        <v>0</v>
      </c>
      <c r="AG332" s="24">
        <v>95665.1</v>
      </c>
      <c r="AH332">
        <v>0</v>
      </c>
      <c r="AI332">
        <v>0</v>
      </c>
      <c r="AJ332">
        <v>0</v>
      </c>
      <c r="AK332">
        <v>0</v>
      </c>
      <c r="AL332" s="24">
        <v>95665.1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s="24">
        <v>95665.1</v>
      </c>
      <c r="AV332">
        <v>0</v>
      </c>
      <c r="AW332">
        <v>0</v>
      </c>
      <c r="AX332">
        <v>311000</v>
      </c>
      <c r="AY332" t="s">
        <v>161</v>
      </c>
      <c r="AZ332">
        <v>0</v>
      </c>
      <c r="BA332">
        <v>61</v>
      </c>
      <c r="BB332">
        <v>-61</v>
      </c>
      <c r="BC332" t="s">
        <v>193</v>
      </c>
      <c r="BD332">
        <v>1509</v>
      </c>
      <c r="BE332" t="s">
        <v>169</v>
      </c>
      <c r="BF332">
        <v>5094069534</v>
      </c>
      <c r="BG332" t="s">
        <v>336</v>
      </c>
    </row>
    <row r="333" spans="1:59">
      <c r="A333">
        <v>1115</v>
      </c>
      <c r="B333">
        <v>1115</v>
      </c>
      <c r="C333">
        <v>10</v>
      </c>
      <c r="D333">
        <v>2</v>
      </c>
      <c r="E333" t="s">
        <v>152</v>
      </c>
      <c r="F333" t="s">
        <v>153</v>
      </c>
      <c r="G333" t="s">
        <v>154</v>
      </c>
      <c r="H333">
        <v>1526005583</v>
      </c>
      <c r="I333">
        <v>1000005828</v>
      </c>
      <c r="L333" t="s">
        <v>336</v>
      </c>
      <c r="M333">
        <v>5100001899</v>
      </c>
      <c r="N333" t="s">
        <v>155</v>
      </c>
      <c r="O333" t="s">
        <v>156</v>
      </c>
      <c r="P333">
        <v>4110041854</v>
      </c>
      <c r="Q333" t="s">
        <v>172</v>
      </c>
      <c r="R333">
        <v>5000</v>
      </c>
      <c r="S333" t="s">
        <v>166</v>
      </c>
      <c r="V333" t="s">
        <v>167</v>
      </c>
      <c r="W333">
        <v>1502040267</v>
      </c>
      <c r="X333" t="s">
        <v>63</v>
      </c>
      <c r="Y333" t="str">
        <f>VLOOKUP(W333,Sheet4!$A$5:$B$71,2,0)</f>
        <v>DASH BOARD</v>
      </c>
      <c r="Z333">
        <v>87082900</v>
      </c>
      <c r="AA333">
        <v>352</v>
      </c>
      <c r="AB333" t="s">
        <v>159</v>
      </c>
      <c r="AC333">
        <v>290.89999999999998</v>
      </c>
      <c r="AD333" t="s">
        <v>160</v>
      </c>
      <c r="AE333" s="24">
        <v>102396.8</v>
      </c>
      <c r="AF333">
        <v>0</v>
      </c>
      <c r="AG333" s="24">
        <v>102396.8</v>
      </c>
      <c r="AH333">
        <v>0</v>
      </c>
      <c r="AI333">
        <v>0</v>
      </c>
      <c r="AJ333">
        <v>0</v>
      </c>
      <c r="AK333">
        <v>0</v>
      </c>
      <c r="AL333" s="24">
        <v>102396.8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 s="24">
        <v>102396.8</v>
      </c>
      <c r="AV333">
        <v>0</v>
      </c>
      <c r="AW333">
        <v>0</v>
      </c>
      <c r="AX333">
        <v>311000</v>
      </c>
      <c r="AY333" t="s">
        <v>161</v>
      </c>
      <c r="AZ333">
        <v>4.5</v>
      </c>
      <c r="BA333">
        <v>4.5</v>
      </c>
      <c r="BB333">
        <v>0</v>
      </c>
      <c r="BC333" t="s">
        <v>173</v>
      </c>
      <c r="BD333">
        <v>1511</v>
      </c>
      <c r="BE333" t="s">
        <v>174</v>
      </c>
      <c r="BF333">
        <v>5094071055</v>
      </c>
      <c r="BG333" t="s">
        <v>337</v>
      </c>
    </row>
    <row r="334" spans="1:59">
      <c r="A334">
        <v>1115</v>
      </c>
      <c r="B334">
        <v>1115</v>
      </c>
      <c r="C334">
        <v>10</v>
      </c>
      <c r="D334">
        <v>2</v>
      </c>
      <c r="E334" t="s">
        <v>152</v>
      </c>
      <c r="F334" t="s">
        <v>153</v>
      </c>
      <c r="G334" t="s">
        <v>154</v>
      </c>
      <c r="H334">
        <v>1526005584</v>
      </c>
      <c r="I334">
        <v>1000005829</v>
      </c>
      <c r="L334" t="s">
        <v>336</v>
      </c>
      <c r="M334">
        <v>5100001949</v>
      </c>
      <c r="N334" t="s">
        <v>155</v>
      </c>
      <c r="O334" t="s">
        <v>156</v>
      </c>
      <c r="P334">
        <v>4110063766</v>
      </c>
      <c r="Q334" t="s">
        <v>252</v>
      </c>
      <c r="R334">
        <v>5000</v>
      </c>
      <c r="S334" t="s">
        <v>166</v>
      </c>
      <c r="V334" t="s">
        <v>167</v>
      </c>
      <c r="W334">
        <v>1502040322</v>
      </c>
      <c r="X334" t="s">
        <v>250</v>
      </c>
      <c r="Y334" t="str">
        <f>VLOOKUP(W334,Sheet4!$A$5:$B$71,2,0)</f>
        <v>DASH BOARD</v>
      </c>
      <c r="Z334">
        <v>87082900</v>
      </c>
      <c r="AA334">
        <v>60</v>
      </c>
      <c r="AB334" t="s">
        <v>159</v>
      </c>
      <c r="AC334">
        <v>291.27999999999997</v>
      </c>
      <c r="AD334" t="s">
        <v>160</v>
      </c>
      <c r="AE334" s="24">
        <v>17476.8</v>
      </c>
      <c r="AF334">
        <v>0</v>
      </c>
      <c r="AG334" s="24">
        <v>17476.8</v>
      </c>
      <c r="AH334">
        <v>0</v>
      </c>
      <c r="AI334">
        <v>0</v>
      </c>
      <c r="AJ334">
        <v>0</v>
      </c>
      <c r="AK334">
        <v>0</v>
      </c>
      <c r="AL334" s="24">
        <v>17476.8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s="24">
        <v>17476.8</v>
      </c>
      <c r="AV334">
        <v>0</v>
      </c>
      <c r="AW334">
        <v>0</v>
      </c>
      <c r="AX334">
        <v>311000</v>
      </c>
      <c r="AY334" t="s">
        <v>161</v>
      </c>
      <c r="AZ334">
        <v>2.37</v>
      </c>
      <c r="BA334">
        <v>2.37</v>
      </c>
      <c r="BB334">
        <v>0</v>
      </c>
      <c r="BC334" t="s">
        <v>251</v>
      </c>
      <c r="BD334">
        <v>1511</v>
      </c>
      <c r="BE334" t="s">
        <v>174</v>
      </c>
      <c r="BF334">
        <v>5094071060</v>
      </c>
      <c r="BG334" t="s">
        <v>337</v>
      </c>
    </row>
    <row r="335" spans="1:59">
      <c r="A335">
        <v>1115</v>
      </c>
      <c r="B335">
        <v>1115</v>
      </c>
      <c r="C335">
        <v>10</v>
      </c>
      <c r="D335">
        <v>2</v>
      </c>
      <c r="E335" t="s">
        <v>152</v>
      </c>
      <c r="F335" t="s">
        <v>153</v>
      </c>
      <c r="G335" t="s">
        <v>154</v>
      </c>
      <c r="H335">
        <v>1526005585</v>
      </c>
      <c r="I335">
        <v>1000005830</v>
      </c>
      <c r="L335" t="s">
        <v>336</v>
      </c>
      <c r="M335">
        <v>5100001666</v>
      </c>
      <c r="N335" t="s">
        <v>155</v>
      </c>
      <c r="O335" t="s">
        <v>156</v>
      </c>
      <c r="P335">
        <v>4110027035</v>
      </c>
      <c r="Q335" t="s">
        <v>225</v>
      </c>
      <c r="R335">
        <v>5000</v>
      </c>
      <c r="S335" t="s">
        <v>166</v>
      </c>
      <c r="V335" t="s">
        <v>167</v>
      </c>
      <c r="W335">
        <v>1502020105</v>
      </c>
      <c r="X335" t="s">
        <v>226</v>
      </c>
      <c r="Y335" t="str">
        <f>VLOOKUP(W335,Sheet4!$A$5:$B$71,2,0)</f>
        <v>RE STYLING</v>
      </c>
      <c r="Z335">
        <v>87082900</v>
      </c>
      <c r="AA335">
        <v>15</v>
      </c>
      <c r="AB335" t="s">
        <v>159</v>
      </c>
      <c r="AC335" s="24">
        <v>6570.77</v>
      </c>
      <c r="AD335" t="s">
        <v>160</v>
      </c>
      <c r="AE335" s="24">
        <v>98561.55</v>
      </c>
      <c r="AF335">
        <v>0</v>
      </c>
      <c r="AG335" s="24">
        <v>98561.55</v>
      </c>
      <c r="AH335">
        <v>0</v>
      </c>
      <c r="AI335">
        <v>0</v>
      </c>
      <c r="AJ335">
        <v>0</v>
      </c>
      <c r="AK335">
        <v>0</v>
      </c>
      <c r="AL335" s="24">
        <v>98561.55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s="24">
        <v>98561.55</v>
      </c>
      <c r="AV335">
        <v>0</v>
      </c>
      <c r="AW335">
        <v>0</v>
      </c>
      <c r="AX335">
        <v>311000</v>
      </c>
      <c r="AY335" t="s">
        <v>161</v>
      </c>
      <c r="AZ335">
        <v>49.75</v>
      </c>
      <c r="BA335">
        <v>49.75</v>
      </c>
      <c r="BB335">
        <v>0</v>
      </c>
      <c r="BC335" t="s">
        <v>227</v>
      </c>
      <c r="BD335">
        <v>1509</v>
      </c>
      <c r="BE335" t="s">
        <v>169</v>
      </c>
      <c r="BF335">
        <v>5094071275</v>
      </c>
      <c r="BG335" t="s">
        <v>337</v>
      </c>
    </row>
    <row r="336" spans="1:59">
      <c r="A336">
        <v>1115</v>
      </c>
      <c r="B336">
        <v>1115</v>
      </c>
      <c r="C336">
        <v>10</v>
      </c>
      <c r="D336">
        <v>2</v>
      </c>
      <c r="E336" t="s">
        <v>152</v>
      </c>
      <c r="F336" t="s">
        <v>153</v>
      </c>
      <c r="G336" t="s">
        <v>154</v>
      </c>
      <c r="H336">
        <v>1526005586</v>
      </c>
      <c r="I336">
        <v>1000005831</v>
      </c>
      <c r="L336" t="s">
        <v>336</v>
      </c>
      <c r="M336">
        <v>5100001666</v>
      </c>
      <c r="N336" t="s">
        <v>155</v>
      </c>
      <c r="O336" t="s">
        <v>156</v>
      </c>
      <c r="P336">
        <v>4110027035</v>
      </c>
      <c r="Q336" t="s">
        <v>225</v>
      </c>
      <c r="R336">
        <v>5000</v>
      </c>
      <c r="S336" t="s">
        <v>166</v>
      </c>
      <c r="V336" t="s">
        <v>167</v>
      </c>
      <c r="W336">
        <v>1502020105</v>
      </c>
      <c r="X336" t="s">
        <v>226</v>
      </c>
      <c r="Y336" t="str">
        <f>VLOOKUP(W336,Sheet4!$A$5:$B$71,2,0)</f>
        <v>RE STYLING</v>
      </c>
      <c r="Z336">
        <v>87082900</v>
      </c>
      <c r="AA336">
        <v>15</v>
      </c>
      <c r="AB336" t="s">
        <v>159</v>
      </c>
      <c r="AC336" s="24">
        <v>6570.77</v>
      </c>
      <c r="AD336" t="s">
        <v>160</v>
      </c>
      <c r="AE336" s="24">
        <v>98561.55</v>
      </c>
      <c r="AF336">
        <v>0</v>
      </c>
      <c r="AG336" s="24">
        <v>98561.55</v>
      </c>
      <c r="AH336">
        <v>0</v>
      </c>
      <c r="AI336">
        <v>0</v>
      </c>
      <c r="AJ336">
        <v>0</v>
      </c>
      <c r="AK336">
        <v>0</v>
      </c>
      <c r="AL336" s="24">
        <v>98561.55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s="24">
        <v>98561.55</v>
      </c>
      <c r="AV336">
        <v>0</v>
      </c>
      <c r="AW336">
        <v>0</v>
      </c>
      <c r="AX336">
        <v>311000</v>
      </c>
      <c r="AY336" t="s">
        <v>161</v>
      </c>
      <c r="AZ336">
        <v>49.75</v>
      </c>
      <c r="BA336">
        <v>49.75</v>
      </c>
      <c r="BB336">
        <v>0</v>
      </c>
      <c r="BC336" t="s">
        <v>227</v>
      </c>
      <c r="BD336">
        <v>1509</v>
      </c>
      <c r="BE336" t="s">
        <v>169</v>
      </c>
      <c r="BF336">
        <v>5094071056</v>
      </c>
      <c r="BG336" t="s">
        <v>337</v>
      </c>
    </row>
    <row r="337" spans="1:59">
      <c r="A337">
        <v>1115</v>
      </c>
      <c r="B337">
        <v>1115</v>
      </c>
      <c r="C337">
        <v>10</v>
      </c>
      <c r="D337">
        <v>2</v>
      </c>
      <c r="E337" t="s">
        <v>152</v>
      </c>
      <c r="F337" t="s">
        <v>153</v>
      </c>
      <c r="G337" t="s">
        <v>154</v>
      </c>
      <c r="H337">
        <v>1526005555</v>
      </c>
      <c r="I337">
        <v>1000005805</v>
      </c>
      <c r="L337" t="s">
        <v>336</v>
      </c>
      <c r="M337">
        <v>5100001919</v>
      </c>
      <c r="N337" t="s">
        <v>155</v>
      </c>
      <c r="O337" t="s">
        <v>156</v>
      </c>
      <c r="P337">
        <v>5500000930</v>
      </c>
      <c r="Q337" t="s">
        <v>157</v>
      </c>
      <c r="R337">
        <v>5356</v>
      </c>
      <c r="S337" t="s">
        <v>158</v>
      </c>
      <c r="W337">
        <v>1502010011</v>
      </c>
      <c r="X337" t="s">
        <v>35</v>
      </c>
      <c r="Y337" t="str">
        <f>VLOOKUP(W337,Sheet4!$A$5:$B$71,2,0)</f>
        <v>REAR MUDGAURD</v>
      </c>
      <c r="Z337">
        <v>87082900</v>
      </c>
      <c r="AA337">
        <v>432</v>
      </c>
      <c r="AB337" t="s">
        <v>159</v>
      </c>
      <c r="AC337">
        <v>89.25</v>
      </c>
      <c r="AD337" t="s">
        <v>160</v>
      </c>
      <c r="AE337" s="24">
        <v>38556</v>
      </c>
      <c r="AF337">
        <v>0</v>
      </c>
      <c r="AG337" s="24">
        <v>38556</v>
      </c>
      <c r="AH337">
        <v>0</v>
      </c>
      <c r="AI337">
        <v>0</v>
      </c>
      <c r="AJ337">
        <v>0</v>
      </c>
      <c r="AK337">
        <v>0</v>
      </c>
      <c r="AL337" s="24">
        <v>38556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s="24">
        <v>38556</v>
      </c>
      <c r="AV337">
        <v>0</v>
      </c>
      <c r="AW337">
        <v>0</v>
      </c>
      <c r="AX337">
        <v>311000</v>
      </c>
      <c r="AY337" t="s">
        <v>161</v>
      </c>
      <c r="AZ337">
        <v>1.32</v>
      </c>
      <c r="BA337">
        <v>0.72399999999999998</v>
      </c>
      <c r="BB337">
        <v>0.59599999999999997</v>
      </c>
      <c r="BC337">
        <v>2000001017</v>
      </c>
      <c r="BD337">
        <v>1508</v>
      </c>
      <c r="BE337" t="s">
        <v>162</v>
      </c>
      <c r="BF337" t="s">
        <v>163</v>
      </c>
      <c r="BG337" t="s">
        <v>164</v>
      </c>
    </row>
    <row r="338" spans="1:59">
      <c r="A338">
        <v>1115</v>
      </c>
      <c r="B338">
        <v>1115</v>
      </c>
      <c r="C338">
        <v>10</v>
      </c>
      <c r="D338">
        <v>2</v>
      </c>
      <c r="E338" t="s">
        <v>152</v>
      </c>
      <c r="F338" t="s">
        <v>153</v>
      </c>
      <c r="G338" t="s">
        <v>154</v>
      </c>
      <c r="H338">
        <v>1526005552</v>
      </c>
      <c r="I338">
        <v>1000005804</v>
      </c>
      <c r="L338" t="s">
        <v>336</v>
      </c>
      <c r="M338">
        <v>5100001919</v>
      </c>
      <c r="N338" t="s">
        <v>155</v>
      </c>
      <c r="O338" t="s">
        <v>156</v>
      </c>
      <c r="P338">
        <v>5500000930</v>
      </c>
      <c r="Q338" t="s">
        <v>157</v>
      </c>
      <c r="R338">
        <v>5356</v>
      </c>
      <c r="S338" t="s">
        <v>158</v>
      </c>
      <c r="W338">
        <v>1502010011</v>
      </c>
      <c r="X338" t="s">
        <v>35</v>
      </c>
      <c r="Y338" t="str">
        <f>VLOOKUP(W338,Sheet4!$A$5:$B$71,2,0)</f>
        <v>REAR MUDGAURD</v>
      </c>
      <c r="Z338">
        <v>87082900</v>
      </c>
      <c r="AA338">
        <v>432</v>
      </c>
      <c r="AB338" t="s">
        <v>159</v>
      </c>
      <c r="AC338">
        <v>89.25</v>
      </c>
      <c r="AD338" t="s">
        <v>160</v>
      </c>
      <c r="AE338" s="24">
        <v>38556</v>
      </c>
      <c r="AF338">
        <v>0</v>
      </c>
      <c r="AG338" s="24">
        <v>38556</v>
      </c>
      <c r="AH338">
        <v>0</v>
      </c>
      <c r="AI338">
        <v>0</v>
      </c>
      <c r="AJ338">
        <v>0</v>
      </c>
      <c r="AK338">
        <v>0</v>
      </c>
      <c r="AL338" s="24">
        <v>38556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s="24">
        <v>38556</v>
      </c>
      <c r="AV338">
        <v>0</v>
      </c>
      <c r="AW338">
        <v>0</v>
      </c>
      <c r="AX338">
        <v>311000</v>
      </c>
      <c r="AY338" t="s">
        <v>161</v>
      </c>
      <c r="AZ338">
        <v>1.32</v>
      </c>
      <c r="BA338">
        <v>0.72399999999999998</v>
      </c>
      <c r="BB338">
        <v>0.59599999999999997</v>
      </c>
      <c r="BC338">
        <v>2000001017</v>
      </c>
      <c r="BD338">
        <v>1508</v>
      </c>
      <c r="BE338" t="s">
        <v>162</v>
      </c>
      <c r="BF338" t="s">
        <v>163</v>
      </c>
      <c r="BG338" t="s">
        <v>164</v>
      </c>
    </row>
    <row r="339" spans="1:59">
      <c r="A339">
        <v>1115</v>
      </c>
      <c r="B339">
        <v>1115</v>
      </c>
      <c r="C339">
        <v>10</v>
      </c>
      <c r="D339">
        <v>2</v>
      </c>
      <c r="E339" t="s">
        <v>152</v>
      </c>
      <c r="F339" t="s">
        <v>153</v>
      </c>
      <c r="G339" t="s">
        <v>154</v>
      </c>
      <c r="H339">
        <v>1526005551</v>
      </c>
      <c r="I339">
        <v>1000005803</v>
      </c>
      <c r="L339" t="s">
        <v>336</v>
      </c>
      <c r="M339">
        <v>5100001919</v>
      </c>
      <c r="N339" t="s">
        <v>155</v>
      </c>
      <c r="O339" t="s">
        <v>156</v>
      </c>
      <c r="P339">
        <v>5500000930</v>
      </c>
      <c r="Q339" t="s">
        <v>157</v>
      </c>
      <c r="R339">
        <v>5356</v>
      </c>
      <c r="S339" t="s">
        <v>158</v>
      </c>
      <c r="W339">
        <v>1502010011</v>
      </c>
      <c r="X339" t="s">
        <v>35</v>
      </c>
      <c r="Y339" t="str">
        <f>VLOOKUP(W339,Sheet4!$A$5:$B$71,2,0)</f>
        <v>REAR MUDGAURD</v>
      </c>
      <c r="Z339">
        <v>87082900</v>
      </c>
      <c r="AA339">
        <v>432</v>
      </c>
      <c r="AB339" t="s">
        <v>159</v>
      </c>
      <c r="AC339">
        <v>89.25</v>
      </c>
      <c r="AD339" t="s">
        <v>160</v>
      </c>
      <c r="AE339" s="24">
        <v>38556</v>
      </c>
      <c r="AF339">
        <v>0</v>
      </c>
      <c r="AG339" s="24">
        <v>38556</v>
      </c>
      <c r="AH339">
        <v>0</v>
      </c>
      <c r="AI339">
        <v>0</v>
      </c>
      <c r="AJ339">
        <v>0</v>
      </c>
      <c r="AK339">
        <v>0</v>
      </c>
      <c r="AL339" s="24">
        <v>38556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s="24">
        <v>38556</v>
      </c>
      <c r="AV339">
        <v>0</v>
      </c>
      <c r="AW339">
        <v>0</v>
      </c>
      <c r="AX339">
        <v>311000</v>
      </c>
      <c r="AY339" t="s">
        <v>161</v>
      </c>
      <c r="AZ339">
        <v>1.32</v>
      </c>
      <c r="BA339">
        <v>0.72399999999999998</v>
      </c>
      <c r="BB339">
        <v>0.59599999999999997</v>
      </c>
      <c r="BC339">
        <v>2000001017</v>
      </c>
      <c r="BD339">
        <v>1508</v>
      </c>
      <c r="BE339" t="s">
        <v>162</v>
      </c>
      <c r="BF339" t="s">
        <v>163</v>
      </c>
      <c r="BG339" t="s">
        <v>164</v>
      </c>
    </row>
    <row r="340" spans="1:59">
      <c r="A340">
        <v>1115</v>
      </c>
      <c r="B340">
        <v>1115</v>
      </c>
      <c r="C340">
        <v>10</v>
      </c>
      <c r="D340">
        <v>2</v>
      </c>
      <c r="E340" t="s">
        <v>152</v>
      </c>
      <c r="F340" t="s">
        <v>153</v>
      </c>
      <c r="G340" t="s">
        <v>154</v>
      </c>
      <c r="H340">
        <v>1526005550</v>
      </c>
      <c r="I340">
        <v>1000005802</v>
      </c>
      <c r="L340" t="s">
        <v>336</v>
      </c>
      <c r="M340">
        <v>5100001636</v>
      </c>
      <c r="N340" t="s">
        <v>155</v>
      </c>
      <c r="O340" t="s">
        <v>156</v>
      </c>
      <c r="P340">
        <v>4110026445</v>
      </c>
      <c r="Q340" t="s">
        <v>170</v>
      </c>
      <c r="R340">
        <v>5000</v>
      </c>
      <c r="S340" t="s">
        <v>166</v>
      </c>
      <c r="V340" t="s">
        <v>167</v>
      </c>
      <c r="W340">
        <v>1502020101</v>
      </c>
      <c r="X340" t="s">
        <v>25</v>
      </c>
      <c r="Y340" t="str">
        <f>VLOOKUP(W340,Sheet4!$A$5:$B$71,2,0)</f>
        <v>RE STYLING</v>
      </c>
      <c r="Z340">
        <v>87082900</v>
      </c>
      <c r="AA340">
        <v>15</v>
      </c>
      <c r="AB340" t="s">
        <v>159</v>
      </c>
      <c r="AC340" s="24">
        <v>6240.88</v>
      </c>
      <c r="AD340" t="s">
        <v>160</v>
      </c>
      <c r="AE340" s="24">
        <v>93613.2</v>
      </c>
      <c r="AF340">
        <v>0</v>
      </c>
      <c r="AG340" s="24">
        <v>93613.2</v>
      </c>
      <c r="AH340">
        <v>0</v>
      </c>
      <c r="AI340">
        <v>0</v>
      </c>
      <c r="AJ340">
        <v>0</v>
      </c>
      <c r="AK340">
        <v>0</v>
      </c>
      <c r="AL340" s="24">
        <v>93613.2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s="24">
        <v>93613.2</v>
      </c>
      <c r="AV340">
        <v>0</v>
      </c>
      <c r="AW340">
        <v>0</v>
      </c>
      <c r="AX340">
        <v>311000</v>
      </c>
      <c r="AY340" t="s">
        <v>161</v>
      </c>
      <c r="AZ340">
        <v>58</v>
      </c>
      <c r="BA340">
        <v>58</v>
      </c>
      <c r="BB340">
        <v>0</v>
      </c>
      <c r="BC340" t="s">
        <v>208</v>
      </c>
      <c r="BD340">
        <v>1509</v>
      </c>
      <c r="BE340" t="s">
        <v>169</v>
      </c>
      <c r="BF340">
        <v>5094066144</v>
      </c>
      <c r="BG340" t="s">
        <v>336</v>
      </c>
    </row>
    <row r="341" spans="1:59">
      <c r="A341">
        <v>1115</v>
      </c>
      <c r="B341">
        <v>1115</v>
      </c>
      <c r="C341">
        <v>10</v>
      </c>
      <c r="D341">
        <v>2</v>
      </c>
      <c r="E341" t="s">
        <v>152</v>
      </c>
      <c r="F341" t="s">
        <v>153</v>
      </c>
      <c r="G341" t="s">
        <v>154</v>
      </c>
      <c r="H341">
        <v>1526005549</v>
      </c>
      <c r="I341">
        <v>1000005801</v>
      </c>
      <c r="L341" t="s">
        <v>336</v>
      </c>
      <c r="M341">
        <v>5100001919</v>
      </c>
      <c r="N341" t="s">
        <v>155</v>
      </c>
      <c r="O341" t="s">
        <v>156</v>
      </c>
      <c r="P341">
        <v>5500000930</v>
      </c>
      <c r="Q341" t="s">
        <v>157</v>
      </c>
      <c r="R341">
        <v>5356</v>
      </c>
      <c r="S341" t="s">
        <v>158</v>
      </c>
      <c r="W341">
        <v>1502010011</v>
      </c>
      <c r="X341" t="s">
        <v>35</v>
      </c>
      <c r="Y341" t="str">
        <f>VLOOKUP(W341,Sheet4!$A$5:$B$71,2,0)</f>
        <v>REAR MUDGAURD</v>
      </c>
      <c r="Z341">
        <v>87082900</v>
      </c>
      <c r="AA341">
        <v>432</v>
      </c>
      <c r="AB341" t="s">
        <v>159</v>
      </c>
      <c r="AC341">
        <v>89.25</v>
      </c>
      <c r="AD341" t="s">
        <v>160</v>
      </c>
      <c r="AE341" s="24">
        <v>38556</v>
      </c>
      <c r="AF341">
        <v>0</v>
      </c>
      <c r="AG341" s="24">
        <v>38556</v>
      </c>
      <c r="AH341">
        <v>0</v>
      </c>
      <c r="AI341">
        <v>0</v>
      </c>
      <c r="AJ341">
        <v>0</v>
      </c>
      <c r="AK341">
        <v>0</v>
      </c>
      <c r="AL341" s="24">
        <v>38556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s="24">
        <v>38556</v>
      </c>
      <c r="AV341">
        <v>0</v>
      </c>
      <c r="AW341">
        <v>0</v>
      </c>
      <c r="AX341">
        <v>311000</v>
      </c>
      <c r="AY341" t="s">
        <v>161</v>
      </c>
      <c r="AZ341">
        <v>1.32</v>
      </c>
      <c r="BA341">
        <v>0.72399999999999998</v>
      </c>
      <c r="BB341">
        <v>0.59599999999999997</v>
      </c>
      <c r="BC341">
        <v>2000001017</v>
      </c>
      <c r="BD341">
        <v>1508</v>
      </c>
      <c r="BE341" t="s">
        <v>162</v>
      </c>
      <c r="BF341" t="s">
        <v>163</v>
      </c>
      <c r="BG341" t="s">
        <v>164</v>
      </c>
    </row>
    <row r="342" spans="1:59">
      <c r="A342">
        <v>1115</v>
      </c>
      <c r="B342">
        <v>1115</v>
      </c>
      <c r="C342">
        <v>10</v>
      </c>
      <c r="D342">
        <v>2</v>
      </c>
      <c r="E342" t="s">
        <v>152</v>
      </c>
      <c r="F342" t="s">
        <v>153</v>
      </c>
      <c r="G342" t="s">
        <v>154</v>
      </c>
      <c r="H342">
        <v>1526005548</v>
      </c>
      <c r="I342">
        <v>1000005800</v>
      </c>
      <c r="L342" t="s">
        <v>336</v>
      </c>
      <c r="M342">
        <v>5100001919</v>
      </c>
      <c r="N342" t="s">
        <v>155</v>
      </c>
      <c r="O342" t="s">
        <v>156</v>
      </c>
      <c r="P342">
        <v>5500000930</v>
      </c>
      <c r="Q342" t="s">
        <v>157</v>
      </c>
      <c r="R342">
        <v>5356</v>
      </c>
      <c r="S342" t="s">
        <v>158</v>
      </c>
      <c r="W342">
        <v>1502010011</v>
      </c>
      <c r="X342" t="s">
        <v>35</v>
      </c>
      <c r="Y342" t="str">
        <f>VLOOKUP(W342,Sheet4!$A$5:$B$71,2,0)</f>
        <v>REAR MUDGAURD</v>
      </c>
      <c r="Z342">
        <v>87082900</v>
      </c>
      <c r="AA342">
        <v>432</v>
      </c>
      <c r="AB342" t="s">
        <v>159</v>
      </c>
      <c r="AC342">
        <v>89.25</v>
      </c>
      <c r="AD342" t="s">
        <v>160</v>
      </c>
      <c r="AE342" s="24">
        <v>38556</v>
      </c>
      <c r="AF342">
        <v>0</v>
      </c>
      <c r="AG342" s="24">
        <v>38556</v>
      </c>
      <c r="AH342">
        <v>0</v>
      </c>
      <c r="AI342">
        <v>0</v>
      </c>
      <c r="AJ342">
        <v>0</v>
      </c>
      <c r="AK342">
        <v>0</v>
      </c>
      <c r="AL342" s="24">
        <v>38556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s="24">
        <v>38556</v>
      </c>
      <c r="AV342">
        <v>0</v>
      </c>
      <c r="AW342">
        <v>0</v>
      </c>
      <c r="AX342">
        <v>311000</v>
      </c>
      <c r="AY342" t="s">
        <v>161</v>
      </c>
      <c r="AZ342">
        <v>1.32</v>
      </c>
      <c r="BA342">
        <v>0.72399999999999998</v>
      </c>
      <c r="BB342">
        <v>0.59599999999999997</v>
      </c>
      <c r="BC342">
        <v>2000001017</v>
      </c>
      <c r="BD342">
        <v>1508</v>
      </c>
      <c r="BE342" t="s">
        <v>162</v>
      </c>
      <c r="BF342" t="s">
        <v>163</v>
      </c>
      <c r="BG342" t="s">
        <v>164</v>
      </c>
    </row>
    <row r="343" spans="1:59">
      <c r="A343">
        <v>1115</v>
      </c>
      <c r="B343">
        <v>1115</v>
      </c>
      <c r="C343">
        <v>10</v>
      </c>
      <c r="D343">
        <v>2</v>
      </c>
      <c r="E343" t="s">
        <v>152</v>
      </c>
      <c r="F343" t="s">
        <v>153</v>
      </c>
      <c r="G343" t="s">
        <v>154</v>
      </c>
      <c r="H343">
        <v>1526005547</v>
      </c>
      <c r="I343">
        <v>1000005798</v>
      </c>
      <c r="L343" t="s">
        <v>336</v>
      </c>
      <c r="M343">
        <v>5100001919</v>
      </c>
      <c r="N343" t="s">
        <v>155</v>
      </c>
      <c r="O343" t="s">
        <v>156</v>
      </c>
      <c r="P343">
        <v>5500000930</v>
      </c>
      <c r="Q343" t="s">
        <v>157</v>
      </c>
      <c r="R343">
        <v>5356</v>
      </c>
      <c r="S343" t="s">
        <v>158</v>
      </c>
      <c r="W343">
        <v>1502010011</v>
      </c>
      <c r="X343" t="s">
        <v>35</v>
      </c>
      <c r="Y343" t="str">
        <f>VLOOKUP(W343,Sheet4!$A$5:$B$71,2,0)</f>
        <v>REAR MUDGAURD</v>
      </c>
      <c r="Z343">
        <v>87082900</v>
      </c>
      <c r="AA343">
        <v>432</v>
      </c>
      <c r="AB343" t="s">
        <v>159</v>
      </c>
      <c r="AC343">
        <v>89.25</v>
      </c>
      <c r="AD343" t="s">
        <v>160</v>
      </c>
      <c r="AE343" s="24">
        <v>38556</v>
      </c>
      <c r="AF343">
        <v>0</v>
      </c>
      <c r="AG343" s="24">
        <v>38556</v>
      </c>
      <c r="AH343">
        <v>0</v>
      </c>
      <c r="AI343">
        <v>0</v>
      </c>
      <c r="AJ343">
        <v>0</v>
      </c>
      <c r="AK343">
        <v>0</v>
      </c>
      <c r="AL343" s="24">
        <v>38556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s="24">
        <v>38556</v>
      </c>
      <c r="AV343">
        <v>0</v>
      </c>
      <c r="AW343">
        <v>0</v>
      </c>
      <c r="AX343">
        <v>311000</v>
      </c>
      <c r="AY343" t="s">
        <v>161</v>
      </c>
      <c r="AZ343">
        <v>1.32</v>
      </c>
      <c r="BA343">
        <v>0.72399999999999998</v>
      </c>
      <c r="BB343">
        <v>0.59599999999999997</v>
      </c>
      <c r="BC343">
        <v>2000001017</v>
      </c>
      <c r="BD343">
        <v>1508</v>
      </c>
      <c r="BE343" t="s">
        <v>162</v>
      </c>
      <c r="BF343" t="s">
        <v>163</v>
      </c>
      <c r="BG343" t="s">
        <v>164</v>
      </c>
    </row>
    <row r="344" spans="1:59">
      <c r="A344">
        <v>1115</v>
      </c>
      <c r="B344">
        <v>1115</v>
      </c>
      <c r="C344">
        <v>10</v>
      </c>
      <c r="D344">
        <v>2</v>
      </c>
      <c r="E344" t="s">
        <v>152</v>
      </c>
      <c r="F344" t="s">
        <v>153</v>
      </c>
      <c r="G344" t="s">
        <v>154</v>
      </c>
      <c r="H344">
        <v>1526005546</v>
      </c>
      <c r="I344">
        <v>1000005796</v>
      </c>
      <c r="L344" t="s">
        <v>336</v>
      </c>
      <c r="M344">
        <v>5100001636</v>
      </c>
      <c r="N344" t="s">
        <v>155</v>
      </c>
      <c r="O344" t="s">
        <v>156</v>
      </c>
      <c r="P344">
        <v>4110026445</v>
      </c>
      <c r="Q344" t="s">
        <v>170</v>
      </c>
      <c r="R344">
        <v>5000</v>
      </c>
      <c r="S344" t="s">
        <v>166</v>
      </c>
      <c r="V344" t="s">
        <v>167</v>
      </c>
      <c r="W344">
        <v>1502020101</v>
      </c>
      <c r="X344" t="s">
        <v>25</v>
      </c>
      <c r="Y344" t="str">
        <f>VLOOKUP(W344,Sheet4!$A$5:$B$71,2,0)</f>
        <v>RE STYLING</v>
      </c>
      <c r="Z344">
        <v>87082900</v>
      </c>
      <c r="AA344">
        <v>15</v>
      </c>
      <c r="AB344" t="s">
        <v>159</v>
      </c>
      <c r="AC344" s="24">
        <v>6240.88</v>
      </c>
      <c r="AD344" t="s">
        <v>160</v>
      </c>
      <c r="AE344" s="24">
        <v>93613.2</v>
      </c>
      <c r="AF344">
        <v>0</v>
      </c>
      <c r="AG344" s="24">
        <v>93613.2</v>
      </c>
      <c r="AH344">
        <v>0</v>
      </c>
      <c r="AI344">
        <v>0</v>
      </c>
      <c r="AJ344">
        <v>0</v>
      </c>
      <c r="AK344">
        <v>0</v>
      </c>
      <c r="AL344" s="24">
        <v>93613.2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 s="24">
        <v>93613.2</v>
      </c>
      <c r="AV344">
        <v>0</v>
      </c>
      <c r="AW344">
        <v>0</v>
      </c>
      <c r="AX344">
        <v>311000</v>
      </c>
      <c r="AY344" t="s">
        <v>161</v>
      </c>
      <c r="AZ344">
        <v>58</v>
      </c>
      <c r="BA344">
        <v>58</v>
      </c>
      <c r="BB344">
        <v>0</v>
      </c>
      <c r="BC344" t="s">
        <v>208</v>
      </c>
      <c r="BD344">
        <v>1509</v>
      </c>
      <c r="BE344" t="s">
        <v>169</v>
      </c>
      <c r="BF344">
        <v>5094070971</v>
      </c>
      <c r="BG344" t="s">
        <v>337</v>
      </c>
    </row>
    <row r="345" spans="1:59">
      <c r="A345">
        <v>1115</v>
      </c>
      <c r="B345">
        <v>1115</v>
      </c>
      <c r="C345">
        <v>10</v>
      </c>
      <c r="D345">
        <v>2</v>
      </c>
      <c r="E345" t="s">
        <v>152</v>
      </c>
      <c r="F345" t="s">
        <v>153</v>
      </c>
      <c r="G345" t="s">
        <v>154</v>
      </c>
      <c r="H345">
        <v>1526005545</v>
      </c>
      <c r="I345">
        <v>1000005795</v>
      </c>
      <c r="L345" t="s">
        <v>336</v>
      </c>
      <c r="M345">
        <v>5100001636</v>
      </c>
      <c r="N345" t="s">
        <v>155</v>
      </c>
      <c r="O345" t="s">
        <v>156</v>
      </c>
      <c r="P345">
        <v>4110026445</v>
      </c>
      <c r="Q345" t="s">
        <v>170</v>
      </c>
      <c r="R345">
        <v>5000</v>
      </c>
      <c r="S345" t="s">
        <v>166</v>
      </c>
      <c r="V345" t="s">
        <v>167</v>
      </c>
      <c r="W345">
        <v>1502020101</v>
      </c>
      <c r="X345" t="s">
        <v>25</v>
      </c>
      <c r="Y345" t="str">
        <f>VLOOKUP(W345,Sheet4!$A$5:$B$71,2,0)</f>
        <v>RE STYLING</v>
      </c>
      <c r="Z345">
        <v>87082900</v>
      </c>
      <c r="AA345">
        <v>15</v>
      </c>
      <c r="AB345" t="s">
        <v>159</v>
      </c>
      <c r="AC345" s="24">
        <v>6240.88</v>
      </c>
      <c r="AD345" t="s">
        <v>160</v>
      </c>
      <c r="AE345" s="24">
        <v>93613.2</v>
      </c>
      <c r="AF345">
        <v>0</v>
      </c>
      <c r="AG345" s="24">
        <v>93613.2</v>
      </c>
      <c r="AH345">
        <v>0</v>
      </c>
      <c r="AI345">
        <v>0</v>
      </c>
      <c r="AJ345">
        <v>0</v>
      </c>
      <c r="AK345">
        <v>0</v>
      </c>
      <c r="AL345" s="24">
        <v>93613.2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s="24">
        <v>93613.2</v>
      </c>
      <c r="AV345">
        <v>0</v>
      </c>
      <c r="AW345">
        <v>0</v>
      </c>
      <c r="AX345">
        <v>311000</v>
      </c>
      <c r="AY345" t="s">
        <v>161</v>
      </c>
      <c r="AZ345">
        <v>58</v>
      </c>
      <c r="BA345">
        <v>58</v>
      </c>
      <c r="BB345">
        <v>0</v>
      </c>
      <c r="BC345" t="s">
        <v>208</v>
      </c>
      <c r="BD345">
        <v>1509</v>
      </c>
      <c r="BE345" t="s">
        <v>169</v>
      </c>
      <c r="BF345">
        <v>5094068433</v>
      </c>
      <c r="BG345" t="s">
        <v>336</v>
      </c>
    </row>
    <row r="346" spans="1:59">
      <c r="A346">
        <v>1115</v>
      </c>
      <c r="B346">
        <v>1115</v>
      </c>
      <c r="C346">
        <v>10</v>
      </c>
      <c r="D346">
        <v>2</v>
      </c>
      <c r="E346" t="s">
        <v>152</v>
      </c>
      <c r="F346" t="s">
        <v>153</v>
      </c>
      <c r="G346" t="s">
        <v>154</v>
      </c>
      <c r="H346">
        <v>1526005544</v>
      </c>
      <c r="I346">
        <v>1000005791</v>
      </c>
      <c r="L346" t="s">
        <v>336</v>
      </c>
      <c r="M346">
        <v>5100001666</v>
      </c>
      <c r="N346" t="s">
        <v>155</v>
      </c>
      <c r="O346" t="s">
        <v>156</v>
      </c>
      <c r="P346">
        <v>4110027035</v>
      </c>
      <c r="Q346" t="s">
        <v>225</v>
      </c>
      <c r="R346">
        <v>5000</v>
      </c>
      <c r="S346" t="s">
        <v>166</v>
      </c>
      <c r="V346" t="s">
        <v>167</v>
      </c>
      <c r="W346">
        <v>1502020105</v>
      </c>
      <c r="X346" t="s">
        <v>226</v>
      </c>
      <c r="Y346" t="str">
        <f>VLOOKUP(W346,Sheet4!$A$5:$B$71,2,0)</f>
        <v>RE STYLING</v>
      </c>
      <c r="Z346">
        <v>87082900</v>
      </c>
      <c r="AA346">
        <v>15</v>
      </c>
      <c r="AB346" t="s">
        <v>159</v>
      </c>
      <c r="AC346" s="24">
        <v>6570.77</v>
      </c>
      <c r="AD346" t="s">
        <v>160</v>
      </c>
      <c r="AE346" s="24">
        <v>98561.55</v>
      </c>
      <c r="AF346">
        <v>0</v>
      </c>
      <c r="AG346" s="24">
        <v>98561.55</v>
      </c>
      <c r="AH346">
        <v>0</v>
      </c>
      <c r="AI346">
        <v>0</v>
      </c>
      <c r="AJ346">
        <v>0</v>
      </c>
      <c r="AK346">
        <v>0</v>
      </c>
      <c r="AL346" s="24">
        <v>98561.55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 s="24">
        <v>98561.55</v>
      </c>
      <c r="AV346">
        <v>0</v>
      </c>
      <c r="AW346">
        <v>0</v>
      </c>
      <c r="AX346">
        <v>311000</v>
      </c>
      <c r="AY346" t="s">
        <v>161</v>
      </c>
      <c r="AZ346">
        <v>49.75</v>
      </c>
      <c r="BA346">
        <v>49.75</v>
      </c>
      <c r="BB346">
        <v>0</v>
      </c>
      <c r="BC346" t="s">
        <v>227</v>
      </c>
      <c r="BD346">
        <v>1509</v>
      </c>
      <c r="BE346" t="s">
        <v>169</v>
      </c>
      <c r="BF346">
        <v>5094071064</v>
      </c>
      <c r="BG346" t="s">
        <v>337</v>
      </c>
    </row>
    <row r="347" spans="1:59">
      <c r="A347">
        <v>1115</v>
      </c>
      <c r="B347">
        <v>1115</v>
      </c>
      <c r="C347">
        <v>10</v>
      </c>
      <c r="D347">
        <v>2</v>
      </c>
      <c r="E347" t="s">
        <v>152</v>
      </c>
      <c r="F347" t="s">
        <v>153</v>
      </c>
      <c r="G347" t="s">
        <v>154</v>
      </c>
      <c r="H347">
        <v>1526005543</v>
      </c>
      <c r="I347">
        <v>1000005790</v>
      </c>
      <c r="L347" t="s">
        <v>336</v>
      </c>
      <c r="M347">
        <v>5100001919</v>
      </c>
      <c r="N347" t="s">
        <v>155</v>
      </c>
      <c r="O347" t="s">
        <v>156</v>
      </c>
      <c r="P347">
        <v>5500000930</v>
      </c>
      <c r="Q347" t="s">
        <v>157</v>
      </c>
      <c r="R347">
        <v>5356</v>
      </c>
      <c r="S347" t="s">
        <v>158</v>
      </c>
      <c r="W347">
        <v>1502010011</v>
      </c>
      <c r="X347" t="s">
        <v>35</v>
      </c>
      <c r="Y347" t="str">
        <f>VLOOKUP(W347,Sheet4!$A$5:$B$71,2,0)</f>
        <v>REAR MUDGAURD</v>
      </c>
      <c r="Z347">
        <v>87082900</v>
      </c>
      <c r="AA347">
        <v>432</v>
      </c>
      <c r="AB347" t="s">
        <v>159</v>
      </c>
      <c r="AC347">
        <v>89.25</v>
      </c>
      <c r="AD347" t="s">
        <v>160</v>
      </c>
      <c r="AE347" s="24">
        <v>38556</v>
      </c>
      <c r="AF347">
        <v>0</v>
      </c>
      <c r="AG347" s="24">
        <v>38556</v>
      </c>
      <c r="AH347">
        <v>0</v>
      </c>
      <c r="AI347">
        <v>0</v>
      </c>
      <c r="AJ347">
        <v>0</v>
      </c>
      <c r="AK347">
        <v>0</v>
      </c>
      <c r="AL347" s="24">
        <v>38556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s="24">
        <v>38556</v>
      </c>
      <c r="AV347">
        <v>0</v>
      </c>
      <c r="AW347">
        <v>0</v>
      </c>
      <c r="AX347">
        <v>311000</v>
      </c>
      <c r="AY347" t="s">
        <v>161</v>
      </c>
      <c r="AZ347">
        <v>1.32</v>
      </c>
      <c r="BA347">
        <v>0.72399999999999998</v>
      </c>
      <c r="BB347">
        <v>0.59599999999999997</v>
      </c>
      <c r="BC347">
        <v>2000001017</v>
      </c>
      <c r="BD347">
        <v>1508</v>
      </c>
      <c r="BE347" t="s">
        <v>162</v>
      </c>
      <c r="BF347" t="s">
        <v>163</v>
      </c>
      <c r="BG347" t="s">
        <v>164</v>
      </c>
    </row>
    <row r="348" spans="1:59">
      <c r="A348">
        <v>1115</v>
      </c>
      <c r="B348">
        <v>1115</v>
      </c>
      <c r="C348">
        <v>10</v>
      </c>
      <c r="D348">
        <v>2</v>
      </c>
      <c r="E348" t="s">
        <v>152</v>
      </c>
      <c r="F348" t="s">
        <v>153</v>
      </c>
      <c r="G348" t="s">
        <v>154</v>
      </c>
      <c r="H348">
        <v>1526005542</v>
      </c>
      <c r="I348">
        <v>1000005789</v>
      </c>
      <c r="L348" t="s">
        <v>336</v>
      </c>
      <c r="M348">
        <v>5100001919</v>
      </c>
      <c r="N348" t="s">
        <v>155</v>
      </c>
      <c r="O348" t="s">
        <v>156</v>
      </c>
      <c r="P348">
        <v>5500000930</v>
      </c>
      <c r="Q348" t="s">
        <v>157</v>
      </c>
      <c r="R348">
        <v>5356</v>
      </c>
      <c r="S348" t="s">
        <v>158</v>
      </c>
      <c r="W348">
        <v>1502010011</v>
      </c>
      <c r="X348" t="s">
        <v>35</v>
      </c>
      <c r="Y348" t="str">
        <f>VLOOKUP(W348,Sheet4!$A$5:$B$71,2,0)</f>
        <v>REAR MUDGAURD</v>
      </c>
      <c r="Z348">
        <v>87082900</v>
      </c>
      <c r="AA348">
        <v>432</v>
      </c>
      <c r="AB348" t="s">
        <v>159</v>
      </c>
      <c r="AC348">
        <v>89.25</v>
      </c>
      <c r="AD348" t="s">
        <v>160</v>
      </c>
      <c r="AE348" s="24">
        <v>38556</v>
      </c>
      <c r="AF348">
        <v>0</v>
      </c>
      <c r="AG348" s="24">
        <v>38556</v>
      </c>
      <c r="AH348">
        <v>0</v>
      </c>
      <c r="AI348">
        <v>0</v>
      </c>
      <c r="AJ348">
        <v>0</v>
      </c>
      <c r="AK348">
        <v>0</v>
      </c>
      <c r="AL348" s="24">
        <v>38556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s="24">
        <v>38556</v>
      </c>
      <c r="AV348">
        <v>0</v>
      </c>
      <c r="AW348">
        <v>0</v>
      </c>
      <c r="AX348">
        <v>311000</v>
      </c>
      <c r="AY348" t="s">
        <v>161</v>
      </c>
      <c r="AZ348">
        <v>1.32</v>
      </c>
      <c r="BA348">
        <v>0.72399999999999998</v>
      </c>
      <c r="BB348">
        <v>0.59599999999999997</v>
      </c>
      <c r="BC348">
        <v>2000001017</v>
      </c>
      <c r="BD348">
        <v>1508</v>
      </c>
      <c r="BE348" t="s">
        <v>162</v>
      </c>
      <c r="BF348" t="s">
        <v>163</v>
      </c>
      <c r="BG348" t="s">
        <v>164</v>
      </c>
    </row>
    <row r="349" spans="1:59">
      <c r="A349">
        <v>1115</v>
      </c>
      <c r="B349">
        <v>1115</v>
      </c>
      <c r="C349">
        <v>10</v>
      </c>
      <c r="D349">
        <v>2</v>
      </c>
      <c r="E349" t="s">
        <v>152</v>
      </c>
      <c r="F349" t="s">
        <v>153</v>
      </c>
      <c r="G349" t="s">
        <v>154</v>
      </c>
      <c r="H349">
        <v>1526005541</v>
      </c>
      <c r="I349">
        <v>1000005788</v>
      </c>
      <c r="L349" t="s">
        <v>336</v>
      </c>
      <c r="M349">
        <v>5100001666</v>
      </c>
      <c r="N349" t="s">
        <v>155</v>
      </c>
      <c r="O349" t="s">
        <v>156</v>
      </c>
      <c r="P349">
        <v>4110027035</v>
      </c>
      <c r="Q349" t="s">
        <v>225</v>
      </c>
      <c r="R349">
        <v>5000</v>
      </c>
      <c r="S349" t="s">
        <v>166</v>
      </c>
      <c r="V349" t="s">
        <v>167</v>
      </c>
      <c r="W349">
        <v>1502020105</v>
      </c>
      <c r="X349" t="s">
        <v>226</v>
      </c>
      <c r="Y349" t="str">
        <f>VLOOKUP(W349,Sheet4!$A$5:$B$71,2,0)</f>
        <v>RE STYLING</v>
      </c>
      <c r="Z349">
        <v>87082900</v>
      </c>
      <c r="AA349">
        <v>15</v>
      </c>
      <c r="AB349" t="s">
        <v>159</v>
      </c>
      <c r="AC349" s="24">
        <v>6570.77</v>
      </c>
      <c r="AD349" t="s">
        <v>160</v>
      </c>
      <c r="AE349" s="24">
        <v>98561.55</v>
      </c>
      <c r="AF349">
        <v>0</v>
      </c>
      <c r="AG349" s="24">
        <v>98561.55</v>
      </c>
      <c r="AH349">
        <v>0</v>
      </c>
      <c r="AI349">
        <v>0</v>
      </c>
      <c r="AJ349">
        <v>0</v>
      </c>
      <c r="AK349">
        <v>0</v>
      </c>
      <c r="AL349" s="24">
        <v>98561.55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s="24">
        <v>98561.55</v>
      </c>
      <c r="AV349">
        <v>0</v>
      </c>
      <c r="AW349">
        <v>0</v>
      </c>
      <c r="AX349">
        <v>311000</v>
      </c>
      <c r="AY349" t="s">
        <v>161</v>
      </c>
      <c r="AZ349">
        <v>49.75</v>
      </c>
      <c r="BA349">
        <v>49.75</v>
      </c>
      <c r="BB349">
        <v>0</v>
      </c>
      <c r="BC349" t="s">
        <v>227</v>
      </c>
      <c r="BD349">
        <v>1509</v>
      </c>
      <c r="BE349" t="s">
        <v>169</v>
      </c>
      <c r="BF349">
        <v>5094068337</v>
      </c>
      <c r="BG349" t="s">
        <v>336</v>
      </c>
    </row>
    <row r="350" spans="1:59">
      <c r="A350">
        <v>1115</v>
      </c>
      <c r="B350">
        <v>1115</v>
      </c>
      <c r="C350">
        <v>10</v>
      </c>
      <c r="D350">
        <v>2</v>
      </c>
      <c r="E350" t="s">
        <v>152</v>
      </c>
      <c r="F350" t="s">
        <v>153</v>
      </c>
      <c r="G350" t="s">
        <v>154</v>
      </c>
      <c r="H350">
        <v>1526005540</v>
      </c>
      <c r="I350">
        <v>1000005787</v>
      </c>
      <c r="L350" t="s">
        <v>336</v>
      </c>
      <c r="M350">
        <v>5100001666</v>
      </c>
      <c r="N350" t="s">
        <v>155</v>
      </c>
      <c r="O350" t="s">
        <v>156</v>
      </c>
      <c r="P350">
        <v>4110027035</v>
      </c>
      <c r="Q350" t="s">
        <v>225</v>
      </c>
      <c r="R350">
        <v>5000</v>
      </c>
      <c r="S350" t="s">
        <v>166</v>
      </c>
      <c r="V350" t="s">
        <v>167</v>
      </c>
      <c r="W350">
        <v>1502020105</v>
      </c>
      <c r="X350" t="s">
        <v>226</v>
      </c>
      <c r="Y350" t="str">
        <f>VLOOKUP(W350,Sheet4!$A$5:$B$71,2,0)</f>
        <v>RE STYLING</v>
      </c>
      <c r="Z350">
        <v>87082900</v>
      </c>
      <c r="AA350">
        <v>15</v>
      </c>
      <c r="AB350" t="s">
        <v>159</v>
      </c>
      <c r="AC350" s="24">
        <v>6570.77</v>
      </c>
      <c r="AD350" t="s">
        <v>160</v>
      </c>
      <c r="AE350" s="24">
        <v>98561.55</v>
      </c>
      <c r="AF350">
        <v>0</v>
      </c>
      <c r="AG350" s="24">
        <v>98561.55</v>
      </c>
      <c r="AH350">
        <v>0</v>
      </c>
      <c r="AI350">
        <v>0</v>
      </c>
      <c r="AJ350">
        <v>0</v>
      </c>
      <c r="AK350">
        <v>0</v>
      </c>
      <c r="AL350" s="24">
        <v>98561.55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s="24">
        <v>98561.55</v>
      </c>
      <c r="AV350">
        <v>0</v>
      </c>
      <c r="AW350">
        <v>0</v>
      </c>
      <c r="AX350">
        <v>311000</v>
      </c>
      <c r="AY350" t="s">
        <v>161</v>
      </c>
      <c r="AZ350">
        <v>49.75</v>
      </c>
      <c r="BA350">
        <v>49.75</v>
      </c>
      <c r="BB350">
        <v>0</v>
      </c>
      <c r="BC350" t="s">
        <v>227</v>
      </c>
      <c r="BD350">
        <v>1509</v>
      </c>
      <c r="BE350" t="s">
        <v>169</v>
      </c>
      <c r="BF350">
        <v>5094068445</v>
      </c>
      <c r="BG350" t="s">
        <v>336</v>
      </c>
    </row>
    <row r="351" spans="1:59">
      <c r="A351">
        <v>1115</v>
      </c>
      <c r="B351">
        <v>1115</v>
      </c>
      <c r="C351">
        <v>10</v>
      </c>
      <c r="D351">
        <v>2</v>
      </c>
      <c r="E351" t="s">
        <v>152</v>
      </c>
      <c r="F351" t="s">
        <v>153</v>
      </c>
      <c r="G351" t="s">
        <v>154</v>
      </c>
      <c r="H351">
        <v>1526005539</v>
      </c>
      <c r="I351">
        <v>1000005786</v>
      </c>
      <c r="L351" t="s">
        <v>336</v>
      </c>
      <c r="M351">
        <v>5100001919</v>
      </c>
      <c r="N351" t="s">
        <v>155</v>
      </c>
      <c r="O351" t="s">
        <v>156</v>
      </c>
      <c r="P351">
        <v>5500000930</v>
      </c>
      <c r="Q351" t="s">
        <v>157</v>
      </c>
      <c r="R351">
        <v>5356</v>
      </c>
      <c r="S351" t="s">
        <v>158</v>
      </c>
      <c r="W351">
        <v>1502010011</v>
      </c>
      <c r="X351" t="s">
        <v>35</v>
      </c>
      <c r="Y351" t="str">
        <f>VLOOKUP(W351,Sheet4!$A$5:$B$71,2,0)</f>
        <v>REAR MUDGAURD</v>
      </c>
      <c r="Z351">
        <v>87082900</v>
      </c>
      <c r="AA351">
        <v>432</v>
      </c>
      <c r="AB351" t="s">
        <v>159</v>
      </c>
      <c r="AC351">
        <v>89.25</v>
      </c>
      <c r="AD351" t="s">
        <v>160</v>
      </c>
      <c r="AE351" s="24">
        <v>38556</v>
      </c>
      <c r="AF351">
        <v>0</v>
      </c>
      <c r="AG351" s="24">
        <v>38556</v>
      </c>
      <c r="AH351">
        <v>0</v>
      </c>
      <c r="AI351">
        <v>0</v>
      </c>
      <c r="AJ351">
        <v>0</v>
      </c>
      <c r="AK351">
        <v>0</v>
      </c>
      <c r="AL351" s="24">
        <v>38556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 s="24">
        <v>38556</v>
      </c>
      <c r="AV351">
        <v>0</v>
      </c>
      <c r="AW351">
        <v>0</v>
      </c>
      <c r="AX351">
        <v>311000</v>
      </c>
      <c r="AY351" t="s">
        <v>161</v>
      </c>
      <c r="AZ351">
        <v>1.32</v>
      </c>
      <c r="BA351">
        <v>0.72399999999999998</v>
      </c>
      <c r="BB351">
        <v>0.59599999999999997</v>
      </c>
      <c r="BC351">
        <v>2000001017</v>
      </c>
      <c r="BD351">
        <v>1508</v>
      </c>
      <c r="BE351" t="s">
        <v>162</v>
      </c>
      <c r="BF351" t="s">
        <v>163</v>
      </c>
      <c r="BG351" t="s">
        <v>164</v>
      </c>
    </row>
    <row r="352" spans="1:59">
      <c r="A352">
        <v>1115</v>
      </c>
      <c r="B352">
        <v>1115</v>
      </c>
      <c r="C352">
        <v>10</v>
      </c>
      <c r="D352">
        <v>2</v>
      </c>
      <c r="E352" t="s">
        <v>152</v>
      </c>
      <c r="F352" t="s">
        <v>153</v>
      </c>
      <c r="G352" t="s">
        <v>154</v>
      </c>
      <c r="H352">
        <v>1526005537</v>
      </c>
      <c r="I352">
        <v>1000005783</v>
      </c>
      <c r="L352" t="s">
        <v>336</v>
      </c>
      <c r="M352">
        <v>5200000433</v>
      </c>
      <c r="N352" t="s">
        <v>304</v>
      </c>
      <c r="O352" t="s">
        <v>305</v>
      </c>
      <c r="P352">
        <v>4310040987</v>
      </c>
      <c r="Q352" t="s">
        <v>311</v>
      </c>
      <c r="R352">
        <v>5000</v>
      </c>
      <c r="S352" t="s">
        <v>166</v>
      </c>
      <c r="V352" t="s">
        <v>167</v>
      </c>
      <c r="W352">
        <v>1502040236</v>
      </c>
      <c r="X352" t="s">
        <v>50</v>
      </c>
      <c r="Y352" t="str">
        <f>VLOOKUP(W352,Sheet4!$A$5:$B$71,2,0)</f>
        <v>SUPPORT TOP</v>
      </c>
      <c r="Z352">
        <v>87082900</v>
      </c>
      <c r="AA352">
        <v>75</v>
      </c>
      <c r="AB352" t="s">
        <v>159</v>
      </c>
      <c r="AC352">
        <v>134.19999999999999</v>
      </c>
      <c r="AD352" t="s">
        <v>160</v>
      </c>
      <c r="AE352" s="24">
        <v>10065</v>
      </c>
      <c r="AF352">
        <v>0</v>
      </c>
      <c r="AG352" s="24">
        <v>10065</v>
      </c>
      <c r="AH352">
        <v>0</v>
      </c>
      <c r="AI352">
        <v>0</v>
      </c>
      <c r="AJ352">
        <v>0</v>
      </c>
      <c r="AK352">
        <v>0</v>
      </c>
      <c r="AL352" s="24">
        <v>10065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 s="24">
        <v>10065</v>
      </c>
      <c r="AV352">
        <v>0</v>
      </c>
      <c r="AW352">
        <v>0</v>
      </c>
      <c r="AX352">
        <v>311000</v>
      </c>
      <c r="AY352" t="s">
        <v>161</v>
      </c>
      <c r="AZ352">
        <v>1.19</v>
      </c>
      <c r="BA352">
        <v>1.19</v>
      </c>
      <c r="BB352">
        <v>0</v>
      </c>
      <c r="BC352" t="s">
        <v>183</v>
      </c>
      <c r="BD352">
        <v>1511</v>
      </c>
      <c r="BE352" t="s">
        <v>174</v>
      </c>
      <c r="BF352">
        <v>5094068156</v>
      </c>
      <c r="BG352" t="s">
        <v>336</v>
      </c>
    </row>
    <row r="353" spans="1:59">
      <c r="A353">
        <v>1115</v>
      </c>
      <c r="B353">
        <v>1115</v>
      </c>
      <c r="C353">
        <v>10</v>
      </c>
      <c r="D353">
        <v>2</v>
      </c>
      <c r="E353" t="s">
        <v>152</v>
      </c>
      <c r="F353" t="s">
        <v>153</v>
      </c>
      <c r="G353" t="s">
        <v>154</v>
      </c>
      <c r="H353">
        <v>1526005536</v>
      </c>
      <c r="I353">
        <v>1000005782</v>
      </c>
      <c r="L353" t="s">
        <v>336</v>
      </c>
      <c r="M353">
        <v>5200000319</v>
      </c>
      <c r="N353" t="s">
        <v>304</v>
      </c>
      <c r="O353" t="s">
        <v>305</v>
      </c>
      <c r="P353">
        <v>4310001698</v>
      </c>
      <c r="Q353" t="s">
        <v>177</v>
      </c>
      <c r="R353">
        <v>5000</v>
      </c>
      <c r="S353" t="s">
        <v>166</v>
      </c>
      <c r="V353" t="s">
        <v>167</v>
      </c>
      <c r="W353">
        <v>1502040118</v>
      </c>
      <c r="X353" t="s">
        <v>306</v>
      </c>
      <c r="Y353" t="str">
        <f>VLOOKUP(W353,Sheet4!$A$5:$B$71,2,0)</f>
        <v>SUPPORT TOP</v>
      </c>
      <c r="Z353">
        <v>87082900</v>
      </c>
      <c r="AA353">
        <v>45</v>
      </c>
      <c r="AB353" t="s">
        <v>159</v>
      </c>
      <c r="AC353">
        <v>129.77000000000001</v>
      </c>
      <c r="AD353" t="s">
        <v>160</v>
      </c>
      <c r="AE353" s="24">
        <v>5839.65</v>
      </c>
      <c r="AF353">
        <v>0</v>
      </c>
      <c r="AG353" s="24">
        <v>5839.65</v>
      </c>
      <c r="AH353">
        <v>0</v>
      </c>
      <c r="AI353">
        <v>0</v>
      </c>
      <c r="AJ353">
        <v>0</v>
      </c>
      <c r="AK353">
        <v>0</v>
      </c>
      <c r="AL353" s="24">
        <v>5839.65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 s="24">
        <v>5839.65</v>
      </c>
      <c r="AV353">
        <v>0</v>
      </c>
      <c r="AW353">
        <v>0</v>
      </c>
      <c r="AX353">
        <v>311000</v>
      </c>
      <c r="AY353" t="s">
        <v>161</v>
      </c>
      <c r="AZ353">
        <v>1.256</v>
      </c>
      <c r="BA353">
        <v>1.256</v>
      </c>
      <c r="BB353">
        <v>0</v>
      </c>
      <c r="BC353">
        <v>24231620</v>
      </c>
      <c r="BD353">
        <v>1511</v>
      </c>
      <c r="BE353" t="s">
        <v>174</v>
      </c>
      <c r="BF353">
        <v>5094068155</v>
      </c>
      <c r="BG353" t="s">
        <v>336</v>
      </c>
    </row>
    <row r="354" spans="1:59">
      <c r="A354">
        <v>1115</v>
      </c>
      <c r="B354">
        <v>1115</v>
      </c>
      <c r="C354">
        <v>10</v>
      </c>
      <c r="D354">
        <v>2</v>
      </c>
      <c r="E354" t="s">
        <v>152</v>
      </c>
      <c r="F354" t="s">
        <v>153</v>
      </c>
      <c r="G354" t="s">
        <v>154</v>
      </c>
      <c r="H354">
        <v>1526005535</v>
      </c>
      <c r="I354">
        <v>1000005781</v>
      </c>
      <c r="L354" t="s">
        <v>336</v>
      </c>
      <c r="M354">
        <v>5200000319</v>
      </c>
      <c r="N354" t="s">
        <v>304</v>
      </c>
      <c r="O354" t="s">
        <v>305</v>
      </c>
      <c r="P354">
        <v>4310001698</v>
      </c>
      <c r="Q354" t="s">
        <v>177</v>
      </c>
      <c r="R354">
        <v>5000</v>
      </c>
      <c r="S354" t="s">
        <v>166</v>
      </c>
      <c r="V354" t="s">
        <v>167</v>
      </c>
      <c r="W354">
        <v>1502040119</v>
      </c>
      <c r="X354" t="s">
        <v>46</v>
      </c>
      <c r="Y354" t="str">
        <f>VLOOKUP(W354,Sheet4!$A$5:$B$71,2,0)</f>
        <v>STARTING HANDLE</v>
      </c>
      <c r="Z354">
        <v>87082900</v>
      </c>
      <c r="AA354">
        <v>320</v>
      </c>
      <c r="AB354" t="s">
        <v>159</v>
      </c>
      <c r="AC354">
        <v>164.33</v>
      </c>
      <c r="AD354" t="s">
        <v>160</v>
      </c>
      <c r="AE354" s="24">
        <v>52585.599999999999</v>
      </c>
      <c r="AF354">
        <v>0</v>
      </c>
      <c r="AG354" s="24">
        <v>52585.599999999999</v>
      </c>
      <c r="AH354">
        <v>0</v>
      </c>
      <c r="AI354">
        <v>0</v>
      </c>
      <c r="AJ354">
        <v>0</v>
      </c>
      <c r="AK354">
        <v>0</v>
      </c>
      <c r="AL354" s="24">
        <v>52585.599999999999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s="24">
        <v>52585.599999999999</v>
      </c>
      <c r="AV354">
        <v>0</v>
      </c>
      <c r="AW354">
        <v>0</v>
      </c>
      <c r="AX354">
        <v>311000</v>
      </c>
      <c r="AY354" t="s">
        <v>161</v>
      </c>
      <c r="AZ354">
        <v>1.63</v>
      </c>
      <c r="BA354">
        <v>1.1020000000000001</v>
      </c>
      <c r="BB354">
        <v>0.52800000000000002</v>
      </c>
      <c r="BC354" t="s">
        <v>300</v>
      </c>
      <c r="BD354">
        <v>1511</v>
      </c>
      <c r="BE354" t="s">
        <v>174</v>
      </c>
      <c r="BF354">
        <v>5094096058</v>
      </c>
      <c r="BG354" t="s">
        <v>333</v>
      </c>
    </row>
    <row r="355" spans="1:59">
      <c r="A355">
        <v>1115</v>
      </c>
      <c r="B355">
        <v>1115</v>
      </c>
      <c r="C355">
        <v>10</v>
      </c>
      <c r="D355">
        <v>2</v>
      </c>
      <c r="E355" t="s">
        <v>152</v>
      </c>
      <c r="F355" t="s">
        <v>153</v>
      </c>
      <c r="G355" t="s">
        <v>154</v>
      </c>
      <c r="H355">
        <v>1526005533</v>
      </c>
      <c r="I355">
        <v>1000005779</v>
      </c>
      <c r="L355" t="s">
        <v>336</v>
      </c>
      <c r="M355">
        <v>5200000328</v>
      </c>
      <c r="N355" t="s">
        <v>304</v>
      </c>
      <c r="O355" t="s">
        <v>305</v>
      </c>
      <c r="P355">
        <v>4310001699</v>
      </c>
      <c r="Q355" t="s">
        <v>177</v>
      </c>
      <c r="R355">
        <v>5000</v>
      </c>
      <c r="S355" t="s">
        <v>166</v>
      </c>
      <c r="V355" t="s">
        <v>167</v>
      </c>
      <c r="W355">
        <v>1502010019</v>
      </c>
      <c r="X355" t="s">
        <v>309</v>
      </c>
      <c r="Y355" t="str">
        <f>VLOOKUP(W355,Sheet4!$A$5:$B$71,2,0)</f>
        <v>LOGISTICS</v>
      </c>
      <c r="Z355">
        <v>87082900</v>
      </c>
      <c r="AA355" s="24">
        <v>13600</v>
      </c>
      <c r="AB355" t="s">
        <v>159</v>
      </c>
      <c r="AC355">
        <v>13.37</v>
      </c>
      <c r="AD355" t="s">
        <v>160</v>
      </c>
      <c r="AE355" s="24">
        <v>181832</v>
      </c>
      <c r="AF355">
        <v>0</v>
      </c>
      <c r="AG355" s="24">
        <v>181832</v>
      </c>
      <c r="AH355">
        <v>0</v>
      </c>
      <c r="AI355">
        <v>0</v>
      </c>
      <c r="AJ355">
        <v>0</v>
      </c>
      <c r="AK355">
        <v>0</v>
      </c>
      <c r="AL355" s="24">
        <v>181832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s="24">
        <v>181832</v>
      </c>
      <c r="AV355">
        <v>0</v>
      </c>
      <c r="AW355">
        <v>0</v>
      </c>
      <c r="AX355">
        <v>311000</v>
      </c>
      <c r="AY355" t="s">
        <v>161</v>
      </c>
      <c r="AZ355">
        <v>7.0000000000000007E-2</v>
      </c>
      <c r="BA355">
        <v>4.2000000000000003E-2</v>
      </c>
      <c r="BB355">
        <v>2.8000000000000001E-2</v>
      </c>
      <c r="BC355" t="s">
        <v>310</v>
      </c>
      <c r="BD355">
        <v>1508</v>
      </c>
      <c r="BE355" t="s">
        <v>162</v>
      </c>
      <c r="BF355">
        <v>5094060356</v>
      </c>
      <c r="BG355" t="s">
        <v>336</v>
      </c>
    </row>
    <row r="356" spans="1:59">
      <c r="A356">
        <v>1115</v>
      </c>
      <c r="B356">
        <v>1115</v>
      </c>
      <c r="C356">
        <v>10</v>
      </c>
      <c r="D356">
        <v>2</v>
      </c>
      <c r="E356" t="s">
        <v>152</v>
      </c>
      <c r="F356" t="s">
        <v>153</v>
      </c>
      <c r="G356" t="s">
        <v>154</v>
      </c>
      <c r="H356">
        <v>1526005529</v>
      </c>
      <c r="I356">
        <v>1000005776</v>
      </c>
      <c r="L356" t="s">
        <v>336</v>
      </c>
      <c r="M356">
        <v>5100001636</v>
      </c>
      <c r="N356" t="s">
        <v>155</v>
      </c>
      <c r="O356" t="s">
        <v>156</v>
      </c>
      <c r="P356">
        <v>4110026445</v>
      </c>
      <c r="Q356" t="s">
        <v>170</v>
      </c>
      <c r="R356">
        <v>5000</v>
      </c>
      <c r="S356" t="s">
        <v>166</v>
      </c>
      <c r="V356" t="s">
        <v>167</v>
      </c>
      <c r="W356">
        <v>1502020104</v>
      </c>
      <c r="X356" t="s">
        <v>26</v>
      </c>
      <c r="Y356" t="str">
        <f>VLOOKUP(W356,Sheet4!$A$5:$B$71,2,0)</f>
        <v>RE STYLING</v>
      </c>
      <c r="Z356">
        <v>87082900</v>
      </c>
      <c r="AA356">
        <v>15</v>
      </c>
      <c r="AB356" t="s">
        <v>159</v>
      </c>
      <c r="AC356" s="24">
        <v>6585.55</v>
      </c>
      <c r="AD356" t="s">
        <v>160</v>
      </c>
      <c r="AE356" s="24">
        <v>98783.25</v>
      </c>
      <c r="AF356">
        <v>0</v>
      </c>
      <c r="AG356" s="24">
        <v>98783.25</v>
      </c>
      <c r="AH356">
        <v>0</v>
      </c>
      <c r="AI356">
        <v>0</v>
      </c>
      <c r="AJ356">
        <v>0</v>
      </c>
      <c r="AK356">
        <v>0</v>
      </c>
      <c r="AL356" s="24">
        <v>98783.25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 s="24">
        <v>98783.25</v>
      </c>
      <c r="AV356">
        <v>0</v>
      </c>
      <c r="AW356">
        <v>0</v>
      </c>
      <c r="AX356">
        <v>311000</v>
      </c>
      <c r="AY356" t="s">
        <v>161</v>
      </c>
      <c r="AZ356">
        <v>49.75</v>
      </c>
      <c r="BA356">
        <v>49.75</v>
      </c>
      <c r="BB356">
        <v>0</v>
      </c>
      <c r="BC356" t="s">
        <v>171</v>
      </c>
      <c r="BD356">
        <v>1509</v>
      </c>
      <c r="BE356" t="s">
        <v>169</v>
      </c>
      <c r="BF356">
        <v>5094067532</v>
      </c>
      <c r="BG356" t="s">
        <v>336</v>
      </c>
    </row>
    <row r="357" spans="1:59">
      <c r="A357">
        <v>1115</v>
      </c>
      <c r="B357">
        <v>1115</v>
      </c>
      <c r="C357">
        <v>10</v>
      </c>
      <c r="D357">
        <v>2</v>
      </c>
      <c r="E357" t="s">
        <v>152</v>
      </c>
      <c r="F357" t="s">
        <v>153</v>
      </c>
      <c r="G357" t="s">
        <v>154</v>
      </c>
      <c r="H357">
        <v>1526005588</v>
      </c>
      <c r="I357">
        <v>1000005834</v>
      </c>
      <c r="L357" t="s">
        <v>336</v>
      </c>
      <c r="M357">
        <v>5100001101</v>
      </c>
      <c r="N357" t="s">
        <v>155</v>
      </c>
      <c r="O357" t="s">
        <v>156</v>
      </c>
      <c r="P357">
        <v>4110004653</v>
      </c>
      <c r="Q357" t="s">
        <v>177</v>
      </c>
      <c r="R357">
        <v>5000</v>
      </c>
      <c r="S357" t="s">
        <v>166</v>
      </c>
      <c r="V357" t="s">
        <v>167</v>
      </c>
      <c r="W357">
        <v>1502040194</v>
      </c>
      <c r="X357" t="s">
        <v>44</v>
      </c>
      <c r="Y357" t="str">
        <f>VLOOKUP(W357,Sheet4!$A$5:$B$71,2,0)</f>
        <v>CRADEL</v>
      </c>
      <c r="Z357">
        <v>87082900</v>
      </c>
      <c r="AA357">
        <v>48</v>
      </c>
      <c r="AB357" t="s">
        <v>159</v>
      </c>
      <c r="AC357">
        <v>956.92</v>
      </c>
      <c r="AD357" t="s">
        <v>160</v>
      </c>
      <c r="AE357" s="24">
        <v>45932.160000000003</v>
      </c>
      <c r="AF357">
        <v>0</v>
      </c>
      <c r="AG357" s="24">
        <v>45932.160000000003</v>
      </c>
      <c r="AH357">
        <v>0</v>
      </c>
      <c r="AI357">
        <v>0</v>
      </c>
      <c r="AJ357">
        <v>0</v>
      </c>
      <c r="AK357">
        <v>0</v>
      </c>
      <c r="AL357" s="24">
        <v>45932.160000000003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 s="24">
        <v>45932.160000000003</v>
      </c>
      <c r="AV357">
        <v>0</v>
      </c>
      <c r="AW357">
        <v>0</v>
      </c>
      <c r="AX357">
        <v>311000</v>
      </c>
      <c r="AY357" t="s">
        <v>161</v>
      </c>
      <c r="AZ357">
        <v>6.3769999999999998</v>
      </c>
      <c r="BA357">
        <v>6.3769999999999998</v>
      </c>
      <c r="BB357">
        <v>0</v>
      </c>
      <c r="BC357" t="s">
        <v>184</v>
      </c>
      <c r="BD357">
        <v>1511</v>
      </c>
      <c r="BE357" t="s">
        <v>174</v>
      </c>
      <c r="BF357">
        <v>5094062738</v>
      </c>
      <c r="BG357" t="s">
        <v>336</v>
      </c>
    </row>
    <row r="358" spans="1:59">
      <c r="A358">
        <v>1115</v>
      </c>
      <c r="B358">
        <v>1115</v>
      </c>
      <c r="C358">
        <v>10</v>
      </c>
      <c r="D358">
        <v>2</v>
      </c>
      <c r="E358" t="s">
        <v>152</v>
      </c>
      <c r="F358" t="s">
        <v>153</v>
      </c>
      <c r="G358" t="s">
        <v>154</v>
      </c>
      <c r="H358">
        <v>1526005632</v>
      </c>
      <c r="I358">
        <v>1000005879</v>
      </c>
      <c r="L358" t="s">
        <v>336</v>
      </c>
      <c r="M358">
        <v>5100001666</v>
      </c>
      <c r="N358" t="s">
        <v>155</v>
      </c>
      <c r="O358" t="s">
        <v>156</v>
      </c>
      <c r="P358">
        <v>4110027035</v>
      </c>
      <c r="Q358" t="s">
        <v>225</v>
      </c>
      <c r="R358">
        <v>5000</v>
      </c>
      <c r="S358" t="s">
        <v>166</v>
      </c>
      <c r="V358" t="s">
        <v>167</v>
      </c>
      <c r="W358">
        <v>1502020105</v>
      </c>
      <c r="X358" t="s">
        <v>226</v>
      </c>
      <c r="Y358" t="str">
        <f>VLOOKUP(W358,Sheet4!$A$5:$B$71,2,0)</f>
        <v>RE STYLING</v>
      </c>
      <c r="Z358">
        <v>87082900</v>
      </c>
      <c r="AA358">
        <v>15</v>
      </c>
      <c r="AB358" t="s">
        <v>159</v>
      </c>
      <c r="AC358" s="24">
        <v>6570.77</v>
      </c>
      <c r="AD358" t="s">
        <v>160</v>
      </c>
      <c r="AE358" s="24">
        <v>98561.55</v>
      </c>
      <c r="AF358">
        <v>0</v>
      </c>
      <c r="AG358" s="24">
        <v>98561.55</v>
      </c>
      <c r="AH358">
        <v>0</v>
      </c>
      <c r="AI358">
        <v>0</v>
      </c>
      <c r="AJ358">
        <v>0</v>
      </c>
      <c r="AK358">
        <v>0</v>
      </c>
      <c r="AL358" s="24">
        <v>98561.55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 s="24">
        <v>98561.55</v>
      </c>
      <c r="AV358">
        <v>0</v>
      </c>
      <c r="AW358">
        <v>0</v>
      </c>
      <c r="AX358">
        <v>311000</v>
      </c>
      <c r="AY358" t="s">
        <v>161</v>
      </c>
      <c r="AZ358">
        <v>49.75</v>
      </c>
      <c r="BA358">
        <v>49.75</v>
      </c>
      <c r="BB358">
        <v>0</v>
      </c>
      <c r="BC358" t="s">
        <v>227</v>
      </c>
      <c r="BD358">
        <v>1509</v>
      </c>
      <c r="BE358" t="s">
        <v>169</v>
      </c>
      <c r="BF358">
        <v>5094071706</v>
      </c>
      <c r="BG358" t="s">
        <v>337</v>
      </c>
    </row>
    <row r="359" spans="1:59">
      <c r="A359">
        <v>1115</v>
      </c>
      <c r="B359">
        <v>1115</v>
      </c>
      <c r="C359">
        <v>10</v>
      </c>
      <c r="D359">
        <v>2</v>
      </c>
      <c r="E359" t="s">
        <v>152</v>
      </c>
      <c r="F359" t="s">
        <v>153</v>
      </c>
      <c r="G359" t="s">
        <v>154</v>
      </c>
      <c r="H359">
        <v>1526005631</v>
      </c>
      <c r="I359">
        <v>1000005878</v>
      </c>
      <c r="L359" t="s">
        <v>336</v>
      </c>
      <c r="M359">
        <v>5100001666</v>
      </c>
      <c r="N359" t="s">
        <v>155</v>
      </c>
      <c r="O359" t="s">
        <v>156</v>
      </c>
      <c r="P359">
        <v>4110027035</v>
      </c>
      <c r="Q359" t="s">
        <v>225</v>
      </c>
      <c r="R359">
        <v>5000</v>
      </c>
      <c r="S359" t="s">
        <v>166</v>
      </c>
      <c r="V359" t="s">
        <v>167</v>
      </c>
      <c r="W359">
        <v>1502020105</v>
      </c>
      <c r="X359" t="s">
        <v>226</v>
      </c>
      <c r="Y359" t="str">
        <f>VLOOKUP(W359,Sheet4!$A$5:$B$71,2,0)</f>
        <v>RE STYLING</v>
      </c>
      <c r="Z359">
        <v>87082900</v>
      </c>
      <c r="AA359">
        <v>15</v>
      </c>
      <c r="AB359" t="s">
        <v>159</v>
      </c>
      <c r="AC359" s="24">
        <v>6570.77</v>
      </c>
      <c r="AD359" t="s">
        <v>160</v>
      </c>
      <c r="AE359" s="24">
        <v>98561.55</v>
      </c>
      <c r="AF359">
        <v>0</v>
      </c>
      <c r="AG359" s="24">
        <v>98561.55</v>
      </c>
      <c r="AH359">
        <v>0</v>
      </c>
      <c r="AI359">
        <v>0</v>
      </c>
      <c r="AJ359">
        <v>0</v>
      </c>
      <c r="AK359">
        <v>0</v>
      </c>
      <c r="AL359" s="24">
        <v>98561.55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s="24">
        <v>98561.55</v>
      </c>
      <c r="AV359">
        <v>0</v>
      </c>
      <c r="AW359">
        <v>0</v>
      </c>
      <c r="AX359">
        <v>311000</v>
      </c>
      <c r="AY359" t="s">
        <v>161</v>
      </c>
      <c r="AZ359">
        <v>49.75</v>
      </c>
      <c r="BA359">
        <v>49.75</v>
      </c>
      <c r="BB359">
        <v>0</v>
      </c>
      <c r="BC359" t="s">
        <v>227</v>
      </c>
      <c r="BD359">
        <v>1509</v>
      </c>
      <c r="BE359" t="s">
        <v>169</v>
      </c>
      <c r="BF359">
        <v>5094071571</v>
      </c>
      <c r="BG359" t="s">
        <v>337</v>
      </c>
    </row>
    <row r="360" spans="1:59">
      <c r="A360">
        <v>1115</v>
      </c>
      <c r="B360">
        <v>1115</v>
      </c>
      <c r="C360">
        <v>10</v>
      </c>
      <c r="D360">
        <v>2</v>
      </c>
      <c r="E360" t="s">
        <v>152</v>
      </c>
      <c r="F360" t="s">
        <v>153</v>
      </c>
      <c r="G360" t="s">
        <v>154</v>
      </c>
      <c r="H360">
        <v>1526005630</v>
      </c>
      <c r="I360">
        <v>1000005877</v>
      </c>
      <c r="L360" t="s">
        <v>336</v>
      </c>
      <c r="M360">
        <v>5100001666</v>
      </c>
      <c r="N360" t="s">
        <v>155</v>
      </c>
      <c r="O360" t="s">
        <v>156</v>
      </c>
      <c r="P360">
        <v>4110027035</v>
      </c>
      <c r="Q360" t="s">
        <v>225</v>
      </c>
      <c r="R360">
        <v>5000</v>
      </c>
      <c r="S360" t="s">
        <v>166</v>
      </c>
      <c r="V360" t="s">
        <v>167</v>
      </c>
      <c r="W360">
        <v>1502020105</v>
      </c>
      <c r="X360" t="s">
        <v>226</v>
      </c>
      <c r="Y360" t="str">
        <f>VLOOKUP(W360,Sheet4!$A$5:$B$71,2,0)</f>
        <v>RE STYLING</v>
      </c>
      <c r="Z360">
        <v>87082900</v>
      </c>
      <c r="AA360">
        <v>15</v>
      </c>
      <c r="AB360" t="s">
        <v>159</v>
      </c>
      <c r="AC360" s="24">
        <v>6570.77</v>
      </c>
      <c r="AD360" t="s">
        <v>160</v>
      </c>
      <c r="AE360" s="24">
        <v>98561.55</v>
      </c>
      <c r="AF360">
        <v>0</v>
      </c>
      <c r="AG360" s="24">
        <v>98561.55</v>
      </c>
      <c r="AH360">
        <v>0</v>
      </c>
      <c r="AI360">
        <v>0</v>
      </c>
      <c r="AJ360">
        <v>0</v>
      </c>
      <c r="AK360">
        <v>0</v>
      </c>
      <c r="AL360" s="24">
        <v>98561.55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s="24">
        <v>98561.55</v>
      </c>
      <c r="AV360">
        <v>0</v>
      </c>
      <c r="AW360">
        <v>0</v>
      </c>
      <c r="AX360">
        <v>311000</v>
      </c>
      <c r="AY360" t="s">
        <v>161</v>
      </c>
      <c r="AZ360">
        <v>49.75</v>
      </c>
      <c r="BA360">
        <v>49.75</v>
      </c>
      <c r="BB360">
        <v>0</v>
      </c>
      <c r="BC360" t="s">
        <v>227</v>
      </c>
      <c r="BD360">
        <v>1509</v>
      </c>
      <c r="BE360" t="s">
        <v>169</v>
      </c>
      <c r="BF360">
        <v>5094071552</v>
      </c>
      <c r="BG360" t="s">
        <v>337</v>
      </c>
    </row>
    <row r="361" spans="1:59">
      <c r="A361">
        <v>1115</v>
      </c>
      <c r="B361">
        <v>1115</v>
      </c>
      <c r="C361">
        <v>10</v>
      </c>
      <c r="D361">
        <v>2</v>
      </c>
      <c r="E361" t="s">
        <v>152</v>
      </c>
      <c r="F361" t="s">
        <v>153</v>
      </c>
      <c r="G361" t="s">
        <v>154</v>
      </c>
      <c r="H361">
        <v>1526005629</v>
      </c>
      <c r="I361">
        <v>1000005876</v>
      </c>
      <c r="L361" t="s">
        <v>336</v>
      </c>
      <c r="M361">
        <v>5100001666</v>
      </c>
      <c r="N361" t="s">
        <v>155</v>
      </c>
      <c r="O361" t="s">
        <v>156</v>
      </c>
      <c r="P361">
        <v>4110027035</v>
      </c>
      <c r="Q361" t="s">
        <v>225</v>
      </c>
      <c r="R361">
        <v>5000</v>
      </c>
      <c r="S361" t="s">
        <v>166</v>
      </c>
      <c r="V361" t="s">
        <v>167</v>
      </c>
      <c r="W361">
        <v>1502020105</v>
      </c>
      <c r="X361" t="s">
        <v>226</v>
      </c>
      <c r="Y361" t="str">
        <f>VLOOKUP(W361,Sheet4!$A$5:$B$71,2,0)</f>
        <v>RE STYLING</v>
      </c>
      <c r="Z361">
        <v>87082900</v>
      </c>
      <c r="AA361">
        <v>15</v>
      </c>
      <c r="AB361" t="s">
        <v>159</v>
      </c>
      <c r="AC361" s="24">
        <v>6570.77</v>
      </c>
      <c r="AD361" t="s">
        <v>160</v>
      </c>
      <c r="AE361" s="24">
        <v>98561.55</v>
      </c>
      <c r="AF361">
        <v>0</v>
      </c>
      <c r="AG361" s="24">
        <v>98561.55</v>
      </c>
      <c r="AH361">
        <v>0</v>
      </c>
      <c r="AI361">
        <v>0</v>
      </c>
      <c r="AJ361">
        <v>0</v>
      </c>
      <c r="AK361">
        <v>0</v>
      </c>
      <c r="AL361" s="24">
        <v>98561.55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s="24">
        <v>98561.55</v>
      </c>
      <c r="AV361">
        <v>0</v>
      </c>
      <c r="AW361">
        <v>0</v>
      </c>
      <c r="AX361">
        <v>311000</v>
      </c>
      <c r="AY361" t="s">
        <v>161</v>
      </c>
      <c r="AZ361">
        <v>49.75</v>
      </c>
      <c r="BA361">
        <v>49.75</v>
      </c>
      <c r="BB361">
        <v>0</v>
      </c>
      <c r="BC361" t="s">
        <v>227</v>
      </c>
      <c r="BD361">
        <v>1509</v>
      </c>
      <c r="BE361" t="s">
        <v>169</v>
      </c>
      <c r="BF361">
        <v>5094071616</v>
      </c>
      <c r="BG361" t="s">
        <v>337</v>
      </c>
    </row>
    <row r="362" spans="1:59">
      <c r="A362">
        <v>1115</v>
      </c>
      <c r="B362">
        <v>1115</v>
      </c>
      <c r="C362">
        <v>10</v>
      </c>
      <c r="D362">
        <v>2</v>
      </c>
      <c r="E362" t="s">
        <v>152</v>
      </c>
      <c r="F362" t="s">
        <v>153</v>
      </c>
      <c r="G362" t="s">
        <v>154</v>
      </c>
      <c r="H362">
        <v>1526005628</v>
      </c>
      <c r="I362">
        <v>1000005875</v>
      </c>
      <c r="L362" t="s">
        <v>336</v>
      </c>
      <c r="M362">
        <v>5100001666</v>
      </c>
      <c r="N362" t="s">
        <v>155</v>
      </c>
      <c r="O362" t="s">
        <v>156</v>
      </c>
      <c r="P362">
        <v>4110027035</v>
      </c>
      <c r="Q362" t="s">
        <v>225</v>
      </c>
      <c r="R362">
        <v>5000</v>
      </c>
      <c r="S362" t="s">
        <v>166</v>
      </c>
      <c r="V362" t="s">
        <v>167</v>
      </c>
      <c r="W362">
        <v>1502020105</v>
      </c>
      <c r="X362" t="s">
        <v>226</v>
      </c>
      <c r="Y362" t="str">
        <f>VLOOKUP(W362,Sheet4!$A$5:$B$71,2,0)</f>
        <v>RE STYLING</v>
      </c>
      <c r="Z362">
        <v>87082900</v>
      </c>
      <c r="AA362">
        <v>15</v>
      </c>
      <c r="AB362" t="s">
        <v>159</v>
      </c>
      <c r="AC362" s="24">
        <v>6570.77</v>
      </c>
      <c r="AD362" t="s">
        <v>160</v>
      </c>
      <c r="AE362" s="24">
        <v>98561.55</v>
      </c>
      <c r="AF362">
        <v>0</v>
      </c>
      <c r="AG362" s="24">
        <v>98561.55</v>
      </c>
      <c r="AH362">
        <v>0</v>
      </c>
      <c r="AI362">
        <v>0</v>
      </c>
      <c r="AJ362">
        <v>0</v>
      </c>
      <c r="AK362">
        <v>0</v>
      </c>
      <c r="AL362" s="24">
        <v>98561.55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s="24">
        <v>98561.55</v>
      </c>
      <c r="AV362">
        <v>0</v>
      </c>
      <c r="AW362">
        <v>0</v>
      </c>
      <c r="AX362">
        <v>311000</v>
      </c>
      <c r="AY362" t="s">
        <v>161</v>
      </c>
      <c r="AZ362">
        <v>49.75</v>
      </c>
      <c r="BA362">
        <v>49.75</v>
      </c>
      <c r="BB362">
        <v>0</v>
      </c>
      <c r="BC362" t="s">
        <v>227</v>
      </c>
      <c r="BD362">
        <v>1509</v>
      </c>
      <c r="BE362" t="s">
        <v>169</v>
      </c>
      <c r="BF362">
        <v>5094071539</v>
      </c>
      <c r="BG362" t="s">
        <v>337</v>
      </c>
    </row>
    <row r="363" spans="1:59">
      <c r="A363">
        <v>1115</v>
      </c>
      <c r="B363">
        <v>1115</v>
      </c>
      <c r="C363">
        <v>10</v>
      </c>
      <c r="D363">
        <v>2</v>
      </c>
      <c r="E363" t="s">
        <v>152</v>
      </c>
      <c r="F363" t="s">
        <v>153</v>
      </c>
      <c r="G363" t="s">
        <v>154</v>
      </c>
      <c r="H363">
        <v>1526005627</v>
      </c>
      <c r="I363">
        <v>1000005874</v>
      </c>
      <c r="L363" t="s">
        <v>336</v>
      </c>
      <c r="M363">
        <v>5100001666</v>
      </c>
      <c r="N363" t="s">
        <v>155</v>
      </c>
      <c r="O363" t="s">
        <v>156</v>
      </c>
      <c r="P363">
        <v>4110027035</v>
      </c>
      <c r="Q363" t="s">
        <v>225</v>
      </c>
      <c r="R363">
        <v>5000</v>
      </c>
      <c r="S363" t="s">
        <v>166</v>
      </c>
      <c r="V363" t="s">
        <v>167</v>
      </c>
      <c r="W363">
        <v>1502020105</v>
      </c>
      <c r="X363" t="s">
        <v>226</v>
      </c>
      <c r="Y363" t="str">
        <f>VLOOKUP(W363,Sheet4!$A$5:$B$71,2,0)</f>
        <v>RE STYLING</v>
      </c>
      <c r="Z363">
        <v>87082900</v>
      </c>
      <c r="AA363">
        <v>15</v>
      </c>
      <c r="AB363" t="s">
        <v>159</v>
      </c>
      <c r="AC363" s="24">
        <v>6570.77</v>
      </c>
      <c r="AD363" t="s">
        <v>160</v>
      </c>
      <c r="AE363" s="24">
        <v>98561.55</v>
      </c>
      <c r="AF363">
        <v>0</v>
      </c>
      <c r="AG363" s="24">
        <v>98561.55</v>
      </c>
      <c r="AH363">
        <v>0</v>
      </c>
      <c r="AI363">
        <v>0</v>
      </c>
      <c r="AJ363">
        <v>0</v>
      </c>
      <c r="AK363">
        <v>0</v>
      </c>
      <c r="AL363" s="24">
        <v>98561.55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 s="24">
        <v>98561.55</v>
      </c>
      <c r="AV363">
        <v>0</v>
      </c>
      <c r="AW363">
        <v>0</v>
      </c>
      <c r="AX363">
        <v>311000</v>
      </c>
      <c r="AY363" t="s">
        <v>161</v>
      </c>
      <c r="AZ363">
        <v>49.75</v>
      </c>
      <c r="BA363">
        <v>49.75</v>
      </c>
      <c r="BB363">
        <v>0</v>
      </c>
      <c r="BC363" t="s">
        <v>227</v>
      </c>
      <c r="BD363">
        <v>1509</v>
      </c>
      <c r="BE363" t="s">
        <v>169</v>
      </c>
      <c r="BF363">
        <v>5094071334</v>
      </c>
      <c r="BG363" t="s">
        <v>337</v>
      </c>
    </row>
    <row r="364" spans="1:59">
      <c r="A364">
        <v>1115</v>
      </c>
      <c r="B364">
        <v>1115</v>
      </c>
      <c r="C364">
        <v>10</v>
      </c>
      <c r="D364">
        <v>2</v>
      </c>
      <c r="E364" t="s">
        <v>152</v>
      </c>
      <c r="F364" t="s">
        <v>153</v>
      </c>
      <c r="G364" t="s">
        <v>154</v>
      </c>
      <c r="H364">
        <v>1526005626</v>
      </c>
      <c r="I364">
        <v>1000005873</v>
      </c>
      <c r="L364" t="s">
        <v>336</v>
      </c>
      <c r="M364">
        <v>5100001666</v>
      </c>
      <c r="N364" t="s">
        <v>155</v>
      </c>
      <c r="O364" t="s">
        <v>156</v>
      </c>
      <c r="P364">
        <v>4110027035</v>
      </c>
      <c r="Q364" t="s">
        <v>225</v>
      </c>
      <c r="R364">
        <v>5000</v>
      </c>
      <c r="S364" t="s">
        <v>166</v>
      </c>
      <c r="V364" t="s">
        <v>167</v>
      </c>
      <c r="W364">
        <v>1502020105</v>
      </c>
      <c r="X364" t="s">
        <v>226</v>
      </c>
      <c r="Y364" t="str">
        <f>VLOOKUP(W364,Sheet4!$A$5:$B$71,2,0)</f>
        <v>RE STYLING</v>
      </c>
      <c r="Z364">
        <v>87082900</v>
      </c>
      <c r="AA364">
        <v>15</v>
      </c>
      <c r="AB364" t="s">
        <v>159</v>
      </c>
      <c r="AC364" s="24">
        <v>6570.77</v>
      </c>
      <c r="AD364" t="s">
        <v>160</v>
      </c>
      <c r="AE364" s="24">
        <v>98561.55</v>
      </c>
      <c r="AF364">
        <v>0</v>
      </c>
      <c r="AG364" s="24">
        <v>98561.55</v>
      </c>
      <c r="AH364">
        <v>0</v>
      </c>
      <c r="AI364">
        <v>0</v>
      </c>
      <c r="AJ364">
        <v>0</v>
      </c>
      <c r="AK364">
        <v>0</v>
      </c>
      <c r="AL364" s="24">
        <v>98561.55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 s="24">
        <v>98561.55</v>
      </c>
      <c r="AV364">
        <v>0</v>
      </c>
      <c r="AW364">
        <v>0</v>
      </c>
      <c r="AX364">
        <v>311000</v>
      </c>
      <c r="AY364" t="s">
        <v>161</v>
      </c>
      <c r="AZ364">
        <v>49.75</v>
      </c>
      <c r="BA364">
        <v>49.75</v>
      </c>
      <c r="BB364">
        <v>0</v>
      </c>
      <c r="BC364" t="s">
        <v>227</v>
      </c>
      <c r="BD364">
        <v>1509</v>
      </c>
      <c r="BE364" t="s">
        <v>169</v>
      </c>
      <c r="BF364">
        <v>5094071554</v>
      </c>
      <c r="BG364" t="s">
        <v>337</v>
      </c>
    </row>
    <row r="365" spans="1:59">
      <c r="A365">
        <v>1115</v>
      </c>
      <c r="B365">
        <v>1115</v>
      </c>
      <c r="C365">
        <v>10</v>
      </c>
      <c r="D365">
        <v>2</v>
      </c>
      <c r="E365" t="s">
        <v>152</v>
      </c>
      <c r="F365" t="s">
        <v>153</v>
      </c>
      <c r="G365" t="s">
        <v>154</v>
      </c>
      <c r="H365">
        <v>1526005625</v>
      </c>
      <c r="I365">
        <v>1000005872</v>
      </c>
      <c r="L365" t="s">
        <v>336</v>
      </c>
      <c r="M365">
        <v>5100001666</v>
      </c>
      <c r="N365" t="s">
        <v>155</v>
      </c>
      <c r="O365" t="s">
        <v>156</v>
      </c>
      <c r="P365">
        <v>4110027035</v>
      </c>
      <c r="Q365" t="s">
        <v>225</v>
      </c>
      <c r="R365">
        <v>5000</v>
      </c>
      <c r="S365" t="s">
        <v>166</v>
      </c>
      <c r="V365" t="s">
        <v>167</v>
      </c>
      <c r="W365">
        <v>1502020105</v>
      </c>
      <c r="X365" t="s">
        <v>226</v>
      </c>
      <c r="Y365" t="str">
        <f>VLOOKUP(W365,Sheet4!$A$5:$B$71,2,0)</f>
        <v>RE STYLING</v>
      </c>
      <c r="Z365">
        <v>87082900</v>
      </c>
      <c r="AA365">
        <v>15</v>
      </c>
      <c r="AB365" t="s">
        <v>159</v>
      </c>
      <c r="AC365" s="24">
        <v>6570.77</v>
      </c>
      <c r="AD365" t="s">
        <v>160</v>
      </c>
      <c r="AE365" s="24">
        <v>98561.55</v>
      </c>
      <c r="AF365">
        <v>0</v>
      </c>
      <c r="AG365" s="24">
        <v>98561.55</v>
      </c>
      <c r="AH365">
        <v>0</v>
      </c>
      <c r="AI365">
        <v>0</v>
      </c>
      <c r="AJ365">
        <v>0</v>
      </c>
      <c r="AK365">
        <v>0</v>
      </c>
      <c r="AL365" s="24">
        <v>98561.55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 s="24">
        <v>98561.55</v>
      </c>
      <c r="AV365">
        <v>0</v>
      </c>
      <c r="AW365">
        <v>0</v>
      </c>
      <c r="AX365">
        <v>311000</v>
      </c>
      <c r="AY365" t="s">
        <v>161</v>
      </c>
      <c r="AZ365">
        <v>49.75</v>
      </c>
      <c r="BA365">
        <v>49.75</v>
      </c>
      <c r="BB365">
        <v>0</v>
      </c>
      <c r="BC365" t="s">
        <v>227</v>
      </c>
      <c r="BD365">
        <v>1509</v>
      </c>
      <c r="BE365" t="s">
        <v>169</v>
      </c>
      <c r="BF365">
        <v>5094071330</v>
      </c>
      <c r="BG365" t="s">
        <v>337</v>
      </c>
    </row>
    <row r="366" spans="1:59">
      <c r="A366">
        <v>1115</v>
      </c>
      <c r="B366">
        <v>1115</v>
      </c>
      <c r="C366">
        <v>10</v>
      </c>
      <c r="D366">
        <v>2</v>
      </c>
      <c r="E366" t="s">
        <v>152</v>
      </c>
      <c r="F366" t="s">
        <v>153</v>
      </c>
      <c r="G366" t="s">
        <v>154</v>
      </c>
      <c r="H366">
        <v>1526005624</v>
      </c>
      <c r="I366">
        <v>1000005871</v>
      </c>
      <c r="L366" t="s">
        <v>336</v>
      </c>
      <c r="M366">
        <v>5100001934</v>
      </c>
      <c r="N366" t="s">
        <v>155</v>
      </c>
      <c r="O366" t="s">
        <v>156</v>
      </c>
      <c r="P366">
        <v>4110058649</v>
      </c>
      <c r="Q366" t="s">
        <v>196</v>
      </c>
      <c r="R366">
        <v>5000</v>
      </c>
      <c r="S366" t="s">
        <v>166</v>
      </c>
      <c r="V366" t="s">
        <v>167</v>
      </c>
      <c r="W366">
        <v>1502040217</v>
      </c>
      <c r="X366" t="s">
        <v>197</v>
      </c>
      <c r="Y366" t="str">
        <f>VLOOKUP(W366,Sheet4!$A$5:$B$71,2,0)</f>
        <v>FRONT MUDGARD GOGO</v>
      </c>
      <c r="Z366">
        <v>87082900</v>
      </c>
      <c r="AA366">
        <v>100</v>
      </c>
      <c r="AB366" t="s">
        <v>159</v>
      </c>
      <c r="AC366">
        <v>380.93</v>
      </c>
      <c r="AD366" t="s">
        <v>160</v>
      </c>
      <c r="AE366" s="24">
        <v>38093</v>
      </c>
      <c r="AF366">
        <v>0</v>
      </c>
      <c r="AG366" s="24">
        <v>38093</v>
      </c>
      <c r="AH366">
        <v>0</v>
      </c>
      <c r="AI366">
        <v>0</v>
      </c>
      <c r="AJ366">
        <v>0</v>
      </c>
      <c r="AK366">
        <v>0</v>
      </c>
      <c r="AL366" s="24">
        <v>38093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 s="24">
        <v>38093</v>
      </c>
      <c r="AV366">
        <v>0</v>
      </c>
      <c r="AW366">
        <v>0</v>
      </c>
      <c r="AX366">
        <v>311000</v>
      </c>
      <c r="AY366" t="s">
        <v>161</v>
      </c>
      <c r="AZ366">
        <v>2.13</v>
      </c>
      <c r="BA366">
        <v>2.13</v>
      </c>
      <c r="BB366">
        <v>0</v>
      </c>
      <c r="BC366" t="s">
        <v>198</v>
      </c>
      <c r="BD366">
        <v>1511</v>
      </c>
      <c r="BE366" t="s">
        <v>174</v>
      </c>
      <c r="BF366">
        <v>5094066246</v>
      </c>
      <c r="BG366" t="s">
        <v>336</v>
      </c>
    </row>
    <row r="367" spans="1:59">
      <c r="A367">
        <v>1115</v>
      </c>
      <c r="B367">
        <v>1115</v>
      </c>
      <c r="C367">
        <v>10</v>
      </c>
      <c r="D367">
        <v>2</v>
      </c>
      <c r="E367" t="s">
        <v>152</v>
      </c>
      <c r="F367" t="s">
        <v>153</v>
      </c>
      <c r="G367" t="s">
        <v>154</v>
      </c>
      <c r="H367">
        <v>1526005623</v>
      </c>
      <c r="I367">
        <v>1000005870</v>
      </c>
      <c r="L367" t="s">
        <v>336</v>
      </c>
      <c r="M367">
        <v>5100001899</v>
      </c>
      <c r="N367" t="s">
        <v>155</v>
      </c>
      <c r="O367" t="s">
        <v>156</v>
      </c>
      <c r="P367">
        <v>4110041854</v>
      </c>
      <c r="Q367" t="s">
        <v>172</v>
      </c>
      <c r="R367">
        <v>5000</v>
      </c>
      <c r="S367" t="s">
        <v>166</v>
      </c>
      <c r="V367" t="s">
        <v>167</v>
      </c>
      <c r="W367">
        <v>1502040267</v>
      </c>
      <c r="X367" t="s">
        <v>63</v>
      </c>
      <c r="Y367" t="str">
        <f>VLOOKUP(W367,Sheet4!$A$5:$B$71,2,0)</f>
        <v>DASH BOARD</v>
      </c>
      <c r="Z367">
        <v>87082900</v>
      </c>
      <c r="AA367">
        <v>416</v>
      </c>
      <c r="AB367" t="s">
        <v>159</v>
      </c>
      <c r="AC367">
        <v>290.89999999999998</v>
      </c>
      <c r="AD367" t="s">
        <v>160</v>
      </c>
      <c r="AE367" s="24">
        <v>121014.39999999999</v>
      </c>
      <c r="AF367">
        <v>0</v>
      </c>
      <c r="AG367" s="24">
        <v>121014.39999999999</v>
      </c>
      <c r="AH367">
        <v>0</v>
      </c>
      <c r="AI367">
        <v>0</v>
      </c>
      <c r="AJ367">
        <v>0</v>
      </c>
      <c r="AK367">
        <v>0</v>
      </c>
      <c r="AL367" s="24">
        <v>121014.39999999999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 s="24">
        <v>121014.39999999999</v>
      </c>
      <c r="AV367">
        <v>0</v>
      </c>
      <c r="AW367">
        <v>0</v>
      </c>
      <c r="AX367">
        <v>311000</v>
      </c>
      <c r="AY367" t="s">
        <v>161</v>
      </c>
      <c r="AZ367">
        <v>4.5</v>
      </c>
      <c r="BA367">
        <v>4.5</v>
      </c>
      <c r="BB367">
        <v>0</v>
      </c>
      <c r="BC367" t="s">
        <v>173</v>
      </c>
      <c r="BD367">
        <v>1511</v>
      </c>
      <c r="BE367" t="s">
        <v>174</v>
      </c>
      <c r="BF367">
        <v>5094085351</v>
      </c>
      <c r="BG367" t="s">
        <v>333</v>
      </c>
    </row>
    <row r="368" spans="1:59">
      <c r="A368">
        <v>1115</v>
      </c>
      <c r="B368">
        <v>1115</v>
      </c>
      <c r="C368">
        <v>10</v>
      </c>
      <c r="D368">
        <v>2</v>
      </c>
      <c r="E368" t="s">
        <v>152</v>
      </c>
      <c r="F368" t="s">
        <v>153</v>
      </c>
      <c r="G368" t="s">
        <v>154</v>
      </c>
      <c r="H368">
        <v>1526005622</v>
      </c>
      <c r="I368">
        <v>1000005869</v>
      </c>
      <c r="L368" t="s">
        <v>336</v>
      </c>
      <c r="M368">
        <v>5100001928</v>
      </c>
      <c r="N368" t="s">
        <v>155</v>
      </c>
      <c r="O368" t="s">
        <v>156</v>
      </c>
      <c r="P368">
        <v>4110057393</v>
      </c>
      <c r="Q368" t="s">
        <v>192</v>
      </c>
      <c r="R368">
        <v>5000</v>
      </c>
      <c r="S368" t="s">
        <v>166</v>
      </c>
      <c r="V368" t="s">
        <v>167</v>
      </c>
      <c r="W368">
        <v>1502020122</v>
      </c>
      <c r="X368" t="s">
        <v>70</v>
      </c>
      <c r="Y368" t="str">
        <f>VLOOKUP(W368,Sheet4!$A$5:$B$71,2,0)</f>
        <v>MAX UG NEW EV</v>
      </c>
      <c r="Z368">
        <v>87082900</v>
      </c>
      <c r="AA368">
        <v>10</v>
      </c>
      <c r="AB368" t="s">
        <v>159</v>
      </c>
      <c r="AC368" s="24">
        <v>9566.51</v>
      </c>
      <c r="AD368" t="s">
        <v>160</v>
      </c>
      <c r="AE368" s="24">
        <v>95665.1</v>
      </c>
      <c r="AF368">
        <v>0</v>
      </c>
      <c r="AG368" s="24">
        <v>95665.1</v>
      </c>
      <c r="AH368">
        <v>0</v>
      </c>
      <c r="AI368">
        <v>0</v>
      </c>
      <c r="AJ368">
        <v>0</v>
      </c>
      <c r="AK368">
        <v>0</v>
      </c>
      <c r="AL368" s="24">
        <v>95665.1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 s="24">
        <v>95665.1</v>
      </c>
      <c r="AV368">
        <v>0</v>
      </c>
      <c r="AW368">
        <v>0</v>
      </c>
      <c r="AX368">
        <v>311000</v>
      </c>
      <c r="AY368" t="s">
        <v>161</v>
      </c>
      <c r="AZ368">
        <v>0</v>
      </c>
      <c r="BA368">
        <v>61</v>
      </c>
      <c r="BB368">
        <v>-61</v>
      </c>
      <c r="BC368" t="s">
        <v>193</v>
      </c>
      <c r="BD368">
        <v>1509</v>
      </c>
      <c r="BE368" t="s">
        <v>169</v>
      </c>
      <c r="BF368">
        <v>5094069561</v>
      </c>
      <c r="BG368" t="s">
        <v>336</v>
      </c>
    </row>
    <row r="369" spans="1:59">
      <c r="A369">
        <v>1115</v>
      </c>
      <c r="B369">
        <v>1115</v>
      </c>
      <c r="C369">
        <v>10</v>
      </c>
      <c r="D369">
        <v>2</v>
      </c>
      <c r="E369" t="s">
        <v>152</v>
      </c>
      <c r="F369" t="s">
        <v>153</v>
      </c>
      <c r="G369" t="s">
        <v>154</v>
      </c>
      <c r="H369">
        <v>1526005621</v>
      </c>
      <c r="I369">
        <v>1000005868</v>
      </c>
      <c r="L369" t="s">
        <v>336</v>
      </c>
      <c r="M369">
        <v>5100001928</v>
      </c>
      <c r="N369" t="s">
        <v>155</v>
      </c>
      <c r="O369" t="s">
        <v>156</v>
      </c>
      <c r="P369">
        <v>4110057393</v>
      </c>
      <c r="Q369" t="s">
        <v>192</v>
      </c>
      <c r="R369">
        <v>5000</v>
      </c>
      <c r="S369" t="s">
        <v>166</v>
      </c>
      <c r="V369" t="s">
        <v>167</v>
      </c>
      <c r="W369">
        <v>1502020122</v>
      </c>
      <c r="X369" t="s">
        <v>70</v>
      </c>
      <c r="Y369" t="str">
        <f>VLOOKUP(W369,Sheet4!$A$5:$B$71,2,0)</f>
        <v>MAX UG NEW EV</v>
      </c>
      <c r="Z369">
        <v>87082900</v>
      </c>
      <c r="AA369">
        <v>10</v>
      </c>
      <c r="AB369" t="s">
        <v>159</v>
      </c>
      <c r="AC369" s="24">
        <v>9566.51</v>
      </c>
      <c r="AD369" t="s">
        <v>160</v>
      </c>
      <c r="AE369" s="24">
        <v>95665.1</v>
      </c>
      <c r="AF369">
        <v>0</v>
      </c>
      <c r="AG369" s="24">
        <v>95665.1</v>
      </c>
      <c r="AH369">
        <v>0</v>
      </c>
      <c r="AI369">
        <v>0</v>
      </c>
      <c r="AJ369">
        <v>0</v>
      </c>
      <c r="AK369">
        <v>0</v>
      </c>
      <c r="AL369" s="24">
        <v>95665.1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 s="24">
        <v>95665.1</v>
      </c>
      <c r="AV369">
        <v>0</v>
      </c>
      <c r="AW369">
        <v>0</v>
      </c>
      <c r="AX369">
        <v>311000</v>
      </c>
      <c r="AY369" t="s">
        <v>161</v>
      </c>
      <c r="AZ369">
        <v>0</v>
      </c>
      <c r="BA369">
        <v>61</v>
      </c>
      <c r="BB369">
        <v>-61</v>
      </c>
      <c r="BC369" t="s">
        <v>193</v>
      </c>
      <c r="BD369">
        <v>1509</v>
      </c>
      <c r="BE369" t="s">
        <v>169</v>
      </c>
      <c r="BF369">
        <v>5094069569</v>
      </c>
      <c r="BG369" t="s">
        <v>336</v>
      </c>
    </row>
    <row r="370" spans="1:59">
      <c r="A370">
        <v>1115</v>
      </c>
      <c r="B370">
        <v>1115</v>
      </c>
      <c r="C370">
        <v>10</v>
      </c>
      <c r="D370">
        <v>2</v>
      </c>
      <c r="E370" t="s">
        <v>152</v>
      </c>
      <c r="F370" t="s">
        <v>153</v>
      </c>
      <c r="G370" t="s">
        <v>154</v>
      </c>
      <c r="H370">
        <v>1526005620</v>
      </c>
      <c r="I370">
        <v>1000005867</v>
      </c>
      <c r="L370" t="s">
        <v>336</v>
      </c>
      <c r="M370">
        <v>5100001928</v>
      </c>
      <c r="N370" t="s">
        <v>155</v>
      </c>
      <c r="O370" t="s">
        <v>156</v>
      </c>
      <c r="P370">
        <v>4110057393</v>
      </c>
      <c r="Q370" t="s">
        <v>192</v>
      </c>
      <c r="R370">
        <v>5000</v>
      </c>
      <c r="S370" t="s">
        <v>166</v>
      </c>
      <c r="V370" t="s">
        <v>167</v>
      </c>
      <c r="W370">
        <v>1502020122</v>
      </c>
      <c r="X370" t="s">
        <v>70</v>
      </c>
      <c r="Y370" t="str">
        <f>VLOOKUP(W370,Sheet4!$A$5:$B$71,2,0)</f>
        <v>MAX UG NEW EV</v>
      </c>
      <c r="Z370">
        <v>87082900</v>
      </c>
      <c r="AA370">
        <v>10</v>
      </c>
      <c r="AB370" t="s">
        <v>159</v>
      </c>
      <c r="AC370" s="24">
        <v>9566.51</v>
      </c>
      <c r="AD370" t="s">
        <v>160</v>
      </c>
      <c r="AE370" s="24">
        <v>95665.1</v>
      </c>
      <c r="AF370">
        <v>0</v>
      </c>
      <c r="AG370" s="24">
        <v>95665.1</v>
      </c>
      <c r="AH370">
        <v>0</v>
      </c>
      <c r="AI370">
        <v>0</v>
      </c>
      <c r="AJ370">
        <v>0</v>
      </c>
      <c r="AK370">
        <v>0</v>
      </c>
      <c r="AL370" s="24">
        <v>95665.1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 s="24">
        <v>95665.1</v>
      </c>
      <c r="AV370">
        <v>0</v>
      </c>
      <c r="AW370">
        <v>0</v>
      </c>
      <c r="AX370">
        <v>311000</v>
      </c>
      <c r="AY370" t="s">
        <v>161</v>
      </c>
      <c r="AZ370">
        <v>0</v>
      </c>
      <c r="BA370">
        <v>61</v>
      </c>
      <c r="BB370">
        <v>-61</v>
      </c>
      <c r="BC370" t="s">
        <v>193</v>
      </c>
      <c r="BD370">
        <v>1509</v>
      </c>
      <c r="BE370" t="s">
        <v>169</v>
      </c>
      <c r="BF370">
        <v>5094069514</v>
      </c>
      <c r="BG370" t="s">
        <v>336</v>
      </c>
    </row>
    <row r="371" spans="1:59">
      <c r="A371">
        <v>1115</v>
      </c>
      <c r="B371">
        <v>1115</v>
      </c>
      <c r="C371">
        <v>10</v>
      </c>
      <c r="D371">
        <v>2</v>
      </c>
      <c r="E371" t="s">
        <v>152</v>
      </c>
      <c r="F371" t="s">
        <v>153</v>
      </c>
      <c r="G371" t="s">
        <v>154</v>
      </c>
      <c r="H371">
        <v>1526005619</v>
      </c>
      <c r="I371">
        <v>1000005866</v>
      </c>
      <c r="L371" t="s">
        <v>336</v>
      </c>
      <c r="M371">
        <v>5100001928</v>
      </c>
      <c r="N371" t="s">
        <v>155</v>
      </c>
      <c r="O371" t="s">
        <v>156</v>
      </c>
      <c r="P371">
        <v>4110057393</v>
      </c>
      <c r="Q371" t="s">
        <v>192</v>
      </c>
      <c r="R371">
        <v>5000</v>
      </c>
      <c r="S371" t="s">
        <v>166</v>
      </c>
      <c r="V371" t="s">
        <v>167</v>
      </c>
      <c r="W371">
        <v>1502020122</v>
      </c>
      <c r="X371" t="s">
        <v>70</v>
      </c>
      <c r="Y371" t="str">
        <f>VLOOKUP(W371,Sheet4!$A$5:$B$71,2,0)</f>
        <v>MAX UG NEW EV</v>
      </c>
      <c r="Z371">
        <v>87082900</v>
      </c>
      <c r="AA371">
        <v>10</v>
      </c>
      <c r="AB371" t="s">
        <v>159</v>
      </c>
      <c r="AC371" s="24">
        <v>9566.51</v>
      </c>
      <c r="AD371" t="s">
        <v>160</v>
      </c>
      <c r="AE371" s="24">
        <v>95665.1</v>
      </c>
      <c r="AF371">
        <v>0</v>
      </c>
      <c r="AG371" s="24">
        <v>95665.1</v>
      </c>
      <c r="AH371">
        <v>0</v>
      </c>
      <c r="AI371">
        <v>0</v>
      </c>
      <c r="AJ371">
        <v>0</v>
      </c>
      <c r="AK371">
        <v>0</v>
      </c>
      <c r="AL371" s="24">
        <v>95665.1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 s="24">
        <v>95665.1</v>
      </c>
      <c r="AV371">
        <v>0</v>
      </c>
      <c r="AW371">
        <v>0</v>
      </c>
      <c r="AX371">
        <v>311000</v>
      </c>
      <c r="AY371" t="s">
        <v>161</v>
      </c>
      <c r="AZ371">
        <v>0</v>
      </c>
      <c r="BA371">
        <v>61</v>
      </c>
      <c r="BB371">
        <v>-61</v>
      </c>
      <c r="BC371" t="s">
        <v>193</v>
      </c>
      <c r="BD371">
        <v>1509</v>
      </c>
      <c r="BE371" t="s">
        <v>169</v>
      </c>
      <c r="BF371">
        <v>5094071416</v>
      </c>
      <c r="BG371" t="s">
        <v>337</v>
      </c>
    </row>
    <row r="372" spans="1:59">
      <c r="A372">
        <v>1115</v>
      </c>
      <c r="B372">
        <v>1115</v>
      </c>
      <c r="C372">
        <v>10</v>
      </c>
      <c r="D372">
        <v>2</v>
      </c>
      <c r="E372" t="s">
        <v>152</v>
      </c>
      <c r="F372" t="s">
        <v>153</v>
      </c>
      <c r="G372" t="s">
        <v>154</v>
      </c>
      <c r="H372">
        <v>1526005618</v>
      </c>
      <c r="I372">
        <v>1000005865</v>
      </c>
      <c r="L372" t="s">
        <v>336</v>
      </c>
      <c r="M372">
        <v>5100001666</v>
      </c>
      <c r="N372" t="s">
        <v>155</v>
      </c>
      <c r="O372" t="s">
        <v>156</v>
      </c>
      <c r="P372">
        <v>4110027035</v>
      </c>
      <c r="Q372" t="s">
        <v>225</v>
      </c>
      <c r="R372">
        <v>5000</v>
      </c>
      <c r="S372" t="s">
        <v>166</v>
      </c>
      <c r="V372" t="s">
        <v>167</v>
      </c>
      <c r="W372">
        <v>1502020105</v>
      </c>
      <c r="X372" t="s">
        <v>226</v>
      </c>
      <c r="Y372" t="str">
        <f>VLOOKUP(W372,Sheet4!$A$5:$B$71,2,0)</f>
        <v>RE STYLING</v>
      </c>
      <c r="Z372">
        <v>87082900</v>
      </c>
      <c r="AA372">
        <v>6</v>
      </c>
      <c r="AB372" t="s">
        <v>159</v>
      </c>
      <c r="AC372" s="24">
        <v>6570.77</v>
      </c>
      <c r="AD372" t="s">
        <v>160</v>
      </c>
      <c r="AE372" s="24">
        <v>39424.620000000003</v>
      </c>
      <c r="AF372">
        <v>0</v>
      </c>
      <c r="AG372" s="24">
        <v>39424.620000000003</v>
      </c>
      <c r="AH372">
        <v>0</v>
      </c>
      <c r="AI372">
        <v>0</v>
      </c>
      <c r="AJ372">
        <v>0</v>
      </c>
      <c r="AK372">
        <v>0</v>
      </c>
      <c r="AL372" s="24">
        <v>39424.620000000003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 s="24">
        <v>39424.620000000003</v>
      </c>
      <c r="AV372">
        <v>0</v>
      </c>
      <c r="AW372">
        <v>0</v>
      </c>
      <c r="AX372">
        <v>311000</v>
      </c>
      <c r="AY372" t="s">
        <v>161</v>
      </c>
      <c r="AZ372">
        <v>49.75</v>
      </c>
      <c r="BA372">
        <v>49.75</v>
      </c>
      <c r="BB372">
        <v>0</v>
      </c>
      <c r="BC372" t="s">
        <v>227</v>
      </c>
      <c r="BD372">
        <v>1509</v>
      </c>
      <c r="BE372" t="s">
        <v>169</v>
      </c>
      <c r="BF372">
        <v>5094071306</v>
      </c>
      <c r="BG372" t="s">
        <v>337</v>
      </c>
    </row>
    <row r="373" spans="1:59">
      <c r="A373">
        <v>1115</v>
      </c>
      <c r="B373">
        <v>1115</v>
      </c>
      <c r="C373">
        <v>10</v>
      </c>
      <c r="D373">
        <v>2</v>
      </c>
      <c r="E373" t="s">
        <v>152</v>
      </c>
      <c r="F373" t="s">
        <v>153</v>
      </c>
      <c r="G373" t="s">
        <v>154</v>
      </c>
      <c r="H373">
        <v>1526005617</v>
      </c>
      <c r="I373">
        <v>1000005864</v>
      </c>
      <c r="L373" t="s">
        <v>336</v>
      </c>
      <c r="M373">
        <v>5100001407</v>
      </c>
      <c r="N373" t="s">
        <v>155</v>
      </c>
      <c r="O373" t="s">
        <v>156</v>
      </c>
      <c r="P373">
        <v>4110019623</v>
      </c>
      <c r="Q373" t="s">
        <v>188</v>
      </c>
      <c r="R373">
        <v>5000</v>
      </c>
      <c r="S373" t="s">
        <v>166</v>
      </c>
      <c r="V373" t="s">
        <v>167</v>
      </c>
      <c r="W373">
        <v>1502040216</v>
      </c>
      <c r="X373" t="s">
        <v>64</v>
      </c>
      <c r="Y373" t="str">
        <f>VLOOKUP(W373,Sheet4!$A$5:$B$71,2,0)</f>
        <v>FRONT MUDGAURD</v>
      </c>
      <c r="Z373">
        <v>87082900</v>
      </c>
      <c r="AA373">
        <v>960</v>
      </c>
      <c r="AB373" t="s">
        <v>159</v>
      </c>
      <c r="AC373">
        <v>174.11</v>
      </c>
      <c r="AD373" t="s">
        <v>160</v>
      </c>
      <c r="AE373" s="24">
        <v>167145.60000000001</v>
      </c>
      <c r="AF373">
        <v>0</v>
      </c>
      <c r="AG373" s="24">
        <v>167145.60000000001</v>
      </c>
      <c r="AH373">
        <v>0</v>
      </c>
      <c r="AI373">
        <v>0</v>
      </c>
      <c r="AJ373">
        <v>0</v>
      </c>
      <c r="AK373">
        <v>0</v>
      </c>
      <c r="AL373" s="24">
        <v>167145.60000000001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 s="24">
        <v>167145.60000000001</v>
      </c>
      <c r="AV373">
        <v>0</v>
      </c>
      <c r="AW373">
        <v>0</v>
      </c>
      <c r="AX373">
        <v>311000</v>
      </c>
      <c r="AY373" t="s">
        <v>161</v>
      </c>
      <c r="AZ373">
        <v>2.573</v>
      </c>
      <c r="BA373">
        <v>1.4910000000000001</v>
      </c>
      <c r="BB373">
        <v>1.0820000000000001</v>
      </c>
      <c r="BC373" t="s">
        <v>189</v>
      </c>
      <c r="BD373">
        <v>1511</v>
      </c>
      <c r="BE373" t="s">
        <v>174</v>
      </c>
      <c r="BF373">
        <v>5094071307</v>
      </c>
      <c r="BG373" t="s">
        <v>337</v>
      </c>
    </row>
    <row r="374" spans="1:59">
      <c r="A374">
        <v>1115</v>
      </c>
      <c r="B374">
        <v>1115</v>
      </c>
      <c r="C374">
        <v>10</v>
      </c>
      <c r="D374">
        <v>2</v>
      </c>
      <c r="E374" t="s">
        <v>152</v>
      </c>
      <c r="F374" t="s">
        <v>153</v>
      </c>
      <c r="G374" t="s">
        <v>154</v>
      </c>
      <c r="H374">
        <v>1526005615</v>
      </c>
      <c r="I374">
        <v>1000005862</v>
      </c>
      <c r="L374" t="s">
        <v>336</v>
      </c>
      <c r="M374">
        <v>5100001568</v>
      </c>
      <c r="N374" t="s">
        <v>155</v>
      </c>
      <c r="O374" t="s">
        <v>156</v>
      </c>
      <c r="P374">
        <v>4110023868</v>
      </c>
      <c r="Q374" t="s">
        <v>182</v>
      </c>
      <c r="R374">
        <v>5000</v>
      </c>
      <c r="S374" t="s">
        <v>166</v>
      </c>
      <c r="V374" t="s">
        <v>167</v>
      </c>
      <c r="W374">
        <v>1502040236</v>
      </c>
      <c r="X374" t="s">
        <v>50</v>
      </c>
      <c r="Y374" t="str">
        <f>VLOOKUP(W374,Sheet4!$A$5:$B$71,2,0)</f>
        <v>SUPPORT TOP</v>
      </c>
      <c r="Z374">
        <v>87082900</v>
      </c>
      <c r="AA374">
        <v>576</v>
      </c>
      <c r="AB374" t="s">
        <v>159</v>
      </c>
      <c r="AC374">
        <v>134.19999999999999</v>
      </c>
      <c r="AD374" t="s">
        <v>160</v>
      </c>
      <c r="AE374" s="24">
        <v>77299.199999999997</v>
      </c>
      <c r="AF374">
        <v>0</v>
      </c>
      <c r="AG374" s="24">
        <v>77299.199999999997</v>
      </c>
      <c r="AH374">
        <v>0</v>
      </c>
      <c r="AI374">
        <v>0</v>
      </c>
      <c r="AJ374">
        <v>0</v>
      </c>
      <c r="AK374">
        <v>0</v>
      </c>
      <c r="AL374" s="24">
        <v>77299.199999999997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 s="24">
        <v>77299.199999999997</v>
      </c>
      <c r="AV374">
        <v>0</v>
      </c>
      <c r="AW374">
        <v>0</v>
      </c>
      <c r="AX374">
        <v>311000</v>
      </c>
      <c r="AY374" t="s">
        <v>161</v>
      </c>
      <c r="AZ374">
        <v>1.19</v>
      </c>
      <c r="BA374">
        <v>1.19</v>
      </c>
      <c r="BB374">
        <v>0</v>
      </c>
      <c r="BC374" t="s">
        <v>183</v>
      </c>
      <c r="BD374">
        <v>1511</v>
      </c>
      <c r="BE374" t="s">
        <v>174</v>
      </c>
      <c r="BF374">
        <v>5094066698</v>
      </c>
      <c r="BG374" t="s">
        <v>336</v>
      </c>
    </row>
    <row r="375" spans="1:59">
      <c r="A375">
        <v>1115</v>
      </c>
      <c r="B375">
        <v>1115</v>
      </c>
      <c r="C375">
        <v>10</v>
      </c>
      <c r="D375">
        <v>2</v>
      </c>
      <c r="E375" t="s">
        <v>152</v>
      </c>
      <c r="F375" t="s">
        <v>153</v>
      </c>
      <c r="G375" t="s">
        <v>154</v>
      </c>
      <c r="H375">
        <v>1526005614</v>
      </c>
      <c r="I375">
        <v>1000005861</v>
      </c>
      <c r="L375" t="s">
        <v>336</v>
      </c>
      <c r="M375">
        <v>5100001925</v>
      </c>
      <c r="N375" t="s">
        <v>155</v>
      </c>
      <c r="O375" t="s">
        <v>156</v>
      </c>
      <c r="P375">
        <v>4110055667</v>
      </c>
      <c r="Q375" t="s">
        <v>185</v>
      </c>
      <c r="R375">
        <v>5000</v>
      </c>
      <c r="S375" t="s">
        <v>166</v>
      </c>
      <c r="V375" t="s">
        <v>167</v>
      </c>
      <c r="W375">
        <v>1502040318</v>
      </c>
      <c r="X375" t="s">
        <v>72</v>
      </c>
      <c r="Y375" t="str">
        <f>VLOOKUP(W375,Sheet4!$A$5:$B$71,2,0)</f>
        <v>Re Side Door</v>
      </c>
      <c r="Z375">
        <v>87082900</v>
      </c>
      <c r="AA375">
        <v>120</v>
      </c>
      <c r="AB375" t="s">
        <v>159</v>
      </c>
      <c r="AC375">
        <v>506.59</v>
      </c>
      <c r="AD375" t="s">
        <v>160</v>
      </c>
      <c r="AE375" s="24">
        <v>60790.8</v>
      </c>
      <c r="AF375">
        <v>0</v>
      </c>
      <c r="AG375" s="24">
        <v>60790.8</v>
      </c>
      <c r="AH375">
        <v>0</v>
      </c>
      <c r="AI375">
        <v>0</v>
      </c>
      <c r="AJ375">
        <v>0</v>
      </c>
      <c r="AK375">
        <v>0</v>
      </c>
      <c r="AL375" s="24">
        <v>60790.8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 s="24">
        <v>60790.8</v>
      </c>
      <c r="AV375">
        <v>0</v>
      </c>
      <c r="AW375">
        <v>0</v>
      </c>
      <c r="AX375">
        <v>311000</v>
      </c>
      <c r="AY375" t="s">
        <v>161</v>
      </c>
      <c r="AZ375">
        <v>2.27</v>
      </c>
      <c r="BA375">
        <v>2.27</v>
      </c>
      <c r="BB375">
        <v>0</v>
      </c>
      <c r="BC375" t="s">
        <v>187</v>
      </c>
      <c r="BD375">
        <v>1511</v>
      </c>
      <c r="BE375" t="s">
        <v>174</v>
      </c>
      <c r="BF375">
        <v>5094064971</v>
      </c>
      <c r="BG375" t="s">
        <v>336</v>
      </c>
    </row>
    <row r="376" spans="1:59">
      <c r="A376">
        <v>1115</v>
      </c>
      <c r="B376">
        <v>1115</v>
      </c>
      <c r="C376">
        <v>10</v>
      </c>
      <c r="D376">
        <v>2</v>
      </c>
      <c r="E376" t="s">
        <v>152</v>
      </c>
      <c r="F376" t="s">
        <v>153</v>
      </c>
      <c r="G376" t="s">
        <v>154</v>
      </c>
      <c r="H376">
        <v>1526005613</v>
      </c>
      <c r="I376">
        <v>1000005860</v>
      </c>
      <c r="L376" t="s">
        <v>336</v>
      </c>
      <c r="M376">
        <v>5100001925</v>
      </c>
      <c r="N376" t="s">
        <v>155</v>
      </c>
      <c r="O376" t="s">
        <v>156</v>
      </c>
      <c r="P376">
        <v>4110055667</v>
      </c>
      <c r="Q376" t="s">
        <v>185</v>
      </c>
      <c r="R376">
        <v>5000</v>
      </c>
      <c r="S376" t="s">
        <v>166</v>
      </c>
      <c r="V376" t="s">
        <v>167</v>
      </c>
      <c r="W376">
        <v>1502040317</v>
      </c>
      <c r="X376" t="s">
        <v>73</v>
      </c>
      <c r="Y376" t="str">
        <f>VLOOKUP(W376,Sheet4!$A$5:$B$71,2,0)</f>
        <v>Re Side Door</v>
      </c>
      <c r="Z376">
        <v>87082900</v>
      </c>
      <c r="AA376">
        <v>120</v>
      </c>
      <c r="AB376" t="s">
        <v>159</v>
      </c>
      <c r="AC376">
        <v>506.59</v>
      </c>
      <c r="AD376" t="s">
        <v>160</v>
      </c>
      <c r="AE376" s="24">
        <v>60790.8</v>
      </c>
      <c r="AF376">
        <v>0</v>
      </c>
      <c r="AG376" s="24">
        <v>60790.8</v>
      </c>
      <c r="AH376">
        <v>0</v>
      </c>
      <c r="AI376">
        <v>0</v>
      </c>
      <c r="AJ376">
        <v>0</v>
      </c>
      <c r="AK376">
        <v>0</v>
      </c>
      <c r="AL376" s="24">
        <v>60790.8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 s="24">
        <v>60790.8</v>
      </c>
      <c r="AV376">
        <v>0</v>
      </c>
      <c r="AW376">
        <v>0</v>
      </c>
      <c r="AX376">
        <v>311000</v>
      </c>
      <c r="AY376" t="s">
        <v>161</v>
      </c>
      <c r="AZ376">
        <v>2.27</v>
      </c>
      <c r="BA376">
        <v>2.27</v>
      </c>
      <c r="BB376">
        <v>0</v>
      </c>
      <c r="BC376" t="s">
        <v>186</v>
      </c>
      <c r="BD376">
        <v>1511</v>
      </c>
      <c r="BE376" t="s">
        <v>174</v>
      </c>
      <c r="BF376">
        <v>5094064969</v>
      </c>
      <c r="BG376" t="s">
        <v>336</v>
      </c>
    </row>
    <row r="377" spans="1:59">
      <c r="A377">
        <v>1115</v>
      </c>
      <c r="B377">
        <v>1115</v>
      </c>
      <c r="C377">
        <v>10</v>
      </c>
      <c r="D377">
        <v>2</v>
      </c>
      <c r="E377" t="s">
        <v>152</v>
      </c>
      <c r="F377" t="s">
        <v>153</v>
      </c>
      <c r="G377" t="s">
        <v>154</v>
      </c>
      <c r="H377">
        <v>1526005612</v>
      </c>
      <c r="I377">
        <v>1000005859</v>
      </c>
      <c r="L377" t="s">
        <v>336</v>
      </c>
      <c r="M377">
        <v>5100001603</v>
      </c>
      <c r="N377" t="s">
        <v>155</v>
      </c>
      <c r="O377" t="s">
        <v>156</v>
      </c>
      <c r="P377">
        <v>4110025468</v>
      </c>
      <c r="Q377" t="s">
        <v>165</v>
      </c>
      <c r="R377">
        <v>5000</v>
      </c>
      <c r="S377" t="s">
        <v>166</v>
      </c>
      <c r="V377" t="s">
        <v>167</v>
      </c>
      <c r="W377">
        <v>1502020102</v>
      </c>
      <c r="X377" t="s">
        <v>58</v>
      </c>
      <c r="Y377" t="str">
        <f>VLOOKUP(W377,Sheet4!$A$5:$B$71,2,0)</f>
        <v>MAXIMA HD</v>
      </c>
      <c r="Z377">
        <v>87082900</v>
      </c>
      <c r="AA377">
        <v>8</v>
      </c>
      <c r="AB377" t="s">
        <v>159</v>
      </c>
      <c r="AC377" s="24">
        <v>8593.51</v>
      </c>
      <c r="AD377" t="s">
        <v>160</v>
      </c>
      <c r="AE377" s="24">
        <v>68748.08</v>
      </c>
      <c r="AF377">
        <v>0</v>
      </c>
      <c r="AG377" s="24">
        <v>68748.08</v>
      </c>
      <c r="AH377">
        <v>0</v>
      </c>
      <c r="AI377">
        <v>0</v>
      </c>
      <c r="AJ377">
        <v>0</v>
      </c>
      <c r="AK377">
        <v>0</v>
      </c>
      <c r="AL377" s="24">
        <v>68748.08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 s="24">
        <v>68748.08</v>
      </c>
      <c r="AV377">
        <v>0</v>
      </c>
      <c r="AW377">
        <v>0</v>
      </c>
      <c r="AX377">
        <v>311000</v>
      </c>
      <c r="AY377" t="s">
        <v>161</v>
      </c>
      <c r="AZ377">
        <v>93.34</v>
      </c>
      <c r="BA377">
        <v>75.430000000000007</v>
      </c>
      <c r="BB377">
        <v>17.91</v>
      </c>
      <c r="BC377" t="s">
        <v>168</v>
      </c>
      <c r="BD377">
        <v>1509</v>
      </c>
      <c r="BE377" t="s">
        <v>169</v>
      </c>
      <c r="BF377">
        <v>5094066086</v>
      </c>
      <c r="BG377" t="s">
        <v>336</v>
      </c>
    </row>
    <row r="378" spans="1:59">
      <c r="A378">
        <v>1115</v>
      </c>
      <c r="B378">
        <v>1115</v>
      </c>
      <c r="C378">
        <v>10</v>
      </c>
      <c r="D378">
        <v>2</v>
      </c>
      <c r="E378" t="s">
        <v>152</v>
      </c>
      <c r="F378" t="s">
        <v>153</v>
      </c>
      <c r="G378" t="s">
        <v>154</v>
      </c>
      <c r="H378">
        <v>1526005611</v>
      </c>
      <c r="I378">
        <v>1000005858</v>
      </c>
      <c r="L378" t="s">
        <v>336</v>
      </c>
      <c r="M378">
        <v>5100001603</v>
      </c>
      <c r="N378" t="s">
        <v>155</v>
      </c>
      <c r="O378" t="s">
        <v>156</v>
      </c>
      <c r="P378">
        <v>4110025468</v>
      </c>
      <c r="Q378" t="s">
        <v>165</v>
      </c>
      <c r="R378">
        <v>5000</v>
      </c>
      <c r="S378" t="s">
        <v>166</v>
      </c>
      <c r="V378" t="s">
        <v>167</v>
      </c>
      <c r="W378">
        <v>1502020102</v>
      </c>
      <c r="X378" t="s">
        <v>58</v>
      </c>
      <c r="Y378" t="str">
        <f>VLOOKUP(W378,Sheet4!$A$5:$B$71,2,0)</f>
        <v>MAXIMA HD</v>
      </c>
      <c r="Z378">
        <v>87082900</v>
      </c>
      <c r="AA378">
        <v>8</v>
      </c>
      <c r="AB378" t="s">
        <v>159</v>
      </c>
      <c r="AC378" s="24">
        <v>8593.51</v>
      </c>
      <c r="AD378" t="s">
        <v>160</v>
      </c>
      <c r="AE378" s="24">
        <v>68748.08</v>
      </c>
      <c r="AF378">
        <v>0</v>
      </c>
      <c r="AG378" s="24">
        <v>68748.08</v>
      </c>
      <c r="AH378">
        <v>0</v>
      </c>
      <c r="AI378">
        <v>0</v>
      </c>
      <c r="AJ378">
        <v>0</v>
      </c>
      <c r="AK378">
        <v>0</v>
      </c>
      <c r="AL378" s="24">
        <v>68748.08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 s="24">
        <v>68748.08</v>
      </c>
      <c r="AV378">
        <v>0</v>
      </c>
      <c r="AW378">
        <v>0</v>
      </c>
      <c r="AX378">
        <v>311000</v>
      </c>
      <c r="AY378" t="s">
        <v>161</v>
      </c>
      <c r="AZ378">
        <v>93.34</v>
      </c>
      <c r="BA378">
        <v>75.430000000000007</v>
      </c>
      <c r="BB378">
        <v>17.91</v>
      </c>
      <c r="BC378" t="s">
        <v>168</v>
      </c>
      <c r="BD378">
        <v>1509</v>
      </c>
      <c r="BE378" t="s">
        <v>169</v>
      </c>
      <c r="BF378">
        <v>5094069994</v>
      </c>
      <c r="BG378" t="s">
        <v>337</v>
      </c>
    </row>
    <row r="379" spans="1:59">
      <c r="A379">
        <v>1115</v>
      </c>
      <c r="B379">
        <v>1115</v>
      </c>
      <c r="C379">
        <v>10</v>
      </c>
      <c r="D379">
        <v>2</v>
      </c>
      <c r="E379" t="s">
        <v>152</v>
      </c>
      <c r="F379" t="s">
        <v>153</v>
      </c>
      <c r="G379" t="s">
        <v>154</v>
      </c>
      <c r="H379">
        <v>1526005610</v>
      </c>
      <c r="I379">
        <v>1000005857</v>
      </c>
      <c r="L379" t="s">
        <v>336</v>
      </c>
      <c r="M379">
        <v>5100001603</v>
      </c>
      <c r="N379" t="s">
        <v>155</v>
      </c>
      <c r="O379" t="s">
        <v>156</v>
      </c>
      <c r="P379">
        <v>4110025468</v>
      </c>
      <c r="Q379" t="s">
        <v>165</v>
      </c>
      <c r="R379">
        <v>5000</v>
      </c>
      <c r="S379" t="s">
        <v>166</v>
      </c>
      <c r="V379" t="s">
        <v>167</v>
      </c>
      <c r="W379">
        <v>1502020102</v>
      </c>
      <c r="X379" t="s">
        <v>58</v>
      </c>
      <c r="Y379" t="str">
        <f>VLOOKUP(W379,Sheet4!$A$5:$B$71,2,0)</f>
        <v>MAXIMA HD</v>
      </c>
      <c r="Z379">
        <v>87082900</v>
      </c>
      <c r="AA379">
        <v>8</v>
      </c>
      <c r="AB379" t="s">
        <v>159</v>
      </c>
      <c r="AC379" s="24">
        <v>8593.51</v>
      </c>
      <c r="AD379" t="s">
        <v>160</v>
      </c>
      <c r="AE379" s="24">
        <v>68748.08</v>
      </c>
      <c r="AF379">
        <v>0</v>
      </c>
      <c r="AG379" s="24">
        <v>68748.08</v>
      </c>
      <c r="AH379">
        <v>0</v>
      </c>
      <c r="AI379">
        <v>0</v>
      </c>
      <c r="AJ379">
        <v>0</v>
      </c>
      <c r="AK379">
        <v>0</v>
      </c>
      <c r="AL379" s="24">
        <v>68748.08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s="24">
        <v>68748.08</v>
      </c>
      <c r="AV379">
        <v>0</v>
      </c>
      <c r="AW379">
        <v>0</v>
      </c>
      <c r="AX379">
        <v>311000</v>
      </c>
      <c r="AY379" t="s">
        <v>161</v>
      </c>
      <c r="AZ379">
        <v>93.34</v>
      </c>
      <c r="BA379">
        <v>75.430000000000007</v>
      </c>
      <c r="BB379">
        <v>17.91</v>
      </c>
      <c r="BC379" t="s">
        <v>168</v>
      </c>
      <c r="BD379">
        <v>1509</v>
      </c>
      <c r="BE379" t="s">
        <v>169</v>
      </c>
      <c r="BF379">
        <v>5094069952</v>
      </c>
      <c r="BG379" t="s">
        <v>337</v>
      </c>
    </row>
    <row r="380" spans="1:59">
      <c r="A380">
        <v>1115</v>
      </c>
      <c r="B380">
        <v>1115</v>
      </c>
      <c r="C380">
        <v>10</v>
      </c>
      <c r="D380">
        <v>2</v>
      </c>
      <c r="E380" t="s">
        <v>152</v>
      </c>
      <c r="F380" t="s">
        <v>153</v>
      </c>
      <c r="G380" t="s">
        <v>154</v>
      </c>
      <c r="H380">
        <v>1526005609</v>
      </c>
      <c r="I380">
        <v>1000005856</v>
      </c>
      <c r="L380" t="s">
        <v>336</v>
      </c>
      <c r="M380">
        <v>5100001603</v>
      </c>
      <c r="N380" t="s">
        <v>155</v>
      </c>
      <c r="O380" t="s">
        <v>156</v>
      </c>
      <c r="P380">
        <v>4110025468</v>
      </c>
      <c r="Q380" t="s">
        <v>165</v>
      </c>
      <c r="R380">
        <v>5000</v>
      </c>
      <c r="S380" t="s">
        <v>166</v>
      </c>
      <c r="V380" t="s">
        <v>167</v>
      </c>
      <c r="W380">
        <v>1502020102</v>
      </c>
      <c r="X380" t="s">
        <v>58</v>
      </c>
      <c r="Y380" t="str">
        <f>VLOOKUP(W380,Sheet4!$A$5:$B$71,2,0)</f>
        <v>MAXIMA HD</v>
      </c>
      <c r="Z380">
        <v>87082900</v>
      </c>
      <c r="AA380">
        <v>8</v>
      </c>
      <c r="AB380" t="s">
        <v>159</v>
      </c>
      <c r="AC380" s="24">
        <v>8593.51</v>
      </c>
      <c r="AD380" t="s">
        <v>160</v>
      </c>
      <c r="AE380" s="24">
        <v>68748.08</v>
      </c>
      <c r="AF380">
        <v>0</v>
      </c>
      <c r="AG380" s="24">
        <v>68748.08</v>
      </c>
      <c r="AH380">
        <v>0</v>
      </c>
      <c r="AI380">
        <v>0</v>
      </c>
      <c r="AJ380">
        <v>0</v>
      </c>
      <c r="AK380">
        <v>0</v>
      </c>
      <c r="AL380" s="24">
        <v>68748.08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s="24">
        <v>68748.08</v>
      </c>
      <c r="AV380">
        <v>0</v>
      </c>
      <c r="AW380">
        <v>0</v>
      </c>
      <c r="AX380">
        <v>311000</v>
      </c>
      <c r="AY380" t="s">
        <v>161</v>
      </c>
      <c r="AZ380">
        <v>93.34</v>
      </c>
      <c r="BA380">
        <v>75.430000000000007</v>
      </c>
      <c r="BB380">
        <v>17.91</v>
      </c>
      <c r="BC380" t="s">
        <v>168</v>
      </c>
      <c r="BD380">
        <v>1509</v>
      </c>
      <c r="BE380" t="s">
        <v>169</v>
      </c>
      <c r="BF380">
        <v>5094069563</v>
      </c>
      <c r="BG380" t="s">
        <v>336</v>
      </c>
    </row>
    <row r="381" spans="1:59">
      <c r="A381">
        <v>1115</v>
      </c>
      <c r="B381">
        <v>1115</v>
      </c>
      <c r="C381">
        <v>10</v>
      </c>
      <c r="D381">
        <v>2</v>
      </c>
      <c r="E381" t="s">
        <v>152</v>
      </c>
      <c r="F381" t="s">
        <v>153</v>
      </c>
      <c r="G381" t="s">
        <v>154</v>
      </c>
      <c r="H381">
        <v>1526005608</v>
      </c>
      <c r="I381">
        <v>1000005854</v>
      </c>
      <c r="L381" t="s">
        <v>336</v>
      </c>
      <c r="M381">
        <v>5100001939</v>
      </c>
      <c r="N381" t="s">
        <v>155</v>
      </c>
      <c r="O381" t="s">
        <v>156</v>
      </c>
      <c r="P381">
        <v>4110059608</v>
      </c>
      <c r="Q381" t="s">
        <v>240</v>
      </c>
      <c r="R381">
        <v>5000</v>
      </c>
      <c r="S381" t="s">
        <v>166</v>
      </c>
      <c r="V381" t="s">
        <v>167</v>
      </c>
      <c r="W381">
        <v>1502020129</v>
      </c>
      <c r="X381" t="s">
        <v>241</v>
      </c>
      <c r="Y381" t="str">
        <f>VLOOKUP(W381,Sheet4!$A$5:$B$71,2,0)</f>
        <v>RE STYLING</v>
      </c>
      <c r="Z381">
        <v>87082900</v>
      </c>
      <c r="AA381">
        <v>6</v>
      </c>
      <c r="AB381" t="s">
        <v>159</v>
      </c>
      <c r="AC381" s="24">
        <v>6500.18</v>
      </c>
      <c r="AD381" t="s">
        <v>160</v>
      </c>
      <c r="AE381" s="24">
        <v>39001.08</v>
      </c>
      <c r="AF381">
        <v>0</v>
      </c>
      <c r="AG381" s="24">
        <v>39001.08</v>
      </c>
      <c r="AH381">
        <v>0</v>
      </c>
      <c r="AI381">
        <v>0</v>
      </c>
      <c r="AJ381">
        <v>0</v>
      </c>
      <c r="AK381">
        <v>0</v>
      </c>
      <c r="AL381" s="24">
        <v>39001.08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s="24">
        <v>39001.08</v>
      </c>
      <c r="AV381">
        <v>0</v>
      </c>
      <c r="AW381">
        <v>0</v>
      </c>
      <c r="AX381">
        <v>311000</v>
      </c>
      <c r="AY381" t="s">
        <v>161</v>
      </c>
      <c r="AZ381">
        <v>0</v>
      </c>
      <c r="BA381">
        <v>0</v>
      </c>
      <c r="BB381">
        <v>0</v>
      </c>
      <c r="BC381" t="s">
        <v>242</v>
      </c>
      <c r="BD381">
        <v>1509</v>
      </c>
      <c r="BE381" t="s">
        <v>169</v>
      </c>
      <c r="BF381">
        <v>5094071274</v>
      </c>
      <c r="BG381" t="s">
        <v>337</v>
      </c>
    </row>
    <row r="382" spans="1:59">
      <c r="A382">
        <v>1115</v>
      </c>
      <c r="B382">
        <v>1115</v>
      </c>
      <c r="C382">
        <v>10</v>
      </c>
      <c r="D382">
        <v>2</v>
      </c>
      <c r="E382" t="s">
        <v>152</v>
      </c>
      <c r="F382" t="s">
        <v>153</v>
      </c>
      <c r="G382" t="s">
        <v>154</v>
      </c>
      <c r="H382">
        <v>1526005607</v>
      </c>
      <c r="I382">
        <v>1000005853</v>
      </c>
      <c r="L382" t="s">
        <v>336</v>
      </c>
      <c r="M382">
        <v>5100001935</v>
      </c>
      <c r="N382" t="s">
        <v>155</v>
      </c>
      <c r="O382" t="s">
        <v>156</v>
      </c>
      <c r="P382">
        <v>4110059361</v>
      </c>
      <c r="Q382" t="s">
        <v>243</v>
      </c>
      <c r="R382">
        <v>5000</v>
      </c>
      <c r="S382" t="s">
        <v>166</v>
      </c>
      <c r="V382" t="s">
        <v>167</v>
      </c>
      <c r="W382">
        <v>1502020125</v>
      </c>
      <c r="X382" t="s">
        <v>244</v>
      </c>
      <c r="Y382" t="str">
        <f>VLOOKUP(W382,Sheet4!$A$5:$B$71,2,0)</f>
        <v>RE STYLING</v>
      </c>
      <c r="Z382">
        <v>87082900</v>
      </c>
      <c r="AA382">
        <v>9</v>
      </c>
      <c r="AB382" t="s">
        <v>159</v>
      </c>
      <c r="AC382" s="24">
        <v>6435.33</v>
      </c>
      <c r="AD382" t="s">
        <v>160</v>
      </c>
      <c r="AE382" s="24">
        <v>57917.97</v>
      </c>
      <c r="AF382">
        <v>0</v>
      </c>
      <c r="AG382" s="24">
        <v>57917.97</v>
      </c>
      <c r="AH382">
        <v>0</v>
      </c>
      <c r="AI382">
        <v>0</v>
      </c>
      <c r="AJ382">
        <v>0</v>
      </c>
      <c r="AK382">
        <v>0</v>
      </c>
      <c r="AL382" s="24">
        <v>57917.97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 s="24">
        <v>57917.97</v>
      </c>
      <c r="AV382">
        <v>0</v>
      </c>
      <c r="AW382">
        <v>0</v>
      </c>
      <c r="AX382">
        <v>311000</v>
      </c>
      <c r="AY382" t="s">
        <v>161</v>
      </c>
      <c r="AZ382">
        <v>0</v>
      </c>
      <c r="BA382">
        <v>0</v>
      </c>
      <c r="BB382">
        <v>0</v>
      </c>
      <c r="BC382" t="s">
        <v>245</v>
      </c>
      <c r="BD382">
        <v>1509</v>
      </c>
      <c r="BE382" t="s">
        <v>169</v>
      </c>
      <c r="BF382">
        <v>5094071273</v>
      </c>
      <c r="BG382" t="s">
        <v>337</v>
      </c>
    </row>
    <row r="383" spans="1:59">
      <c r="A383">
        <v>1115</v>
      </c>
      <c r="B383">
        <v>1115</v>
      </c>
      <c r="C383">
        <v>10</v>
      </c>
      <c r="D383">
        <v>2</v>
      </c>
      <c r="E383" t="s">
        <v>152</v>
      </c>
      <c r="F383" t="s">
        <v>153</v>
      </c>
      <c r="G383" t="s">
        <v>154</v>
      </c>
      <c r="H383">
        <v>1526005605</v>
      </c>
      <c r="I383">
        <v>1000005851</v>
      </c>
      <c r="L383" t="s">
        <v>336</v>
      </c>
      <c r="M383">
        <v>5100001603</v>
      </c>
      <c r="N383" t="s">
        <v>155</v>
      </c>
      <c r="O383" t="s">
        <v>156</v>
      </c>
      <c r="P383">
        <v>4110025468</v>
      </c>
      <c r="Q383" t="s">
        <v>165</v>
      </c>
      <c r="R383">
        <v>5000</v>
      </c>
      <c r="S383" t="s">
        <v>166</v>
      </c>
      <c r="V383" t="s">
        <v>167</v>
      </c>
      <c r="W383">
        <v>1502020102</v>
      </c>
      <c r="X383" t="s">
        <v>58</v>
      </c>
      <c r="Y383" t="str">
        <f>VLOOKUP(W383,Sheet4!$A$5:$B$71,2,0)</f>
        <v>MAXIMA HD</v>
      </c>
      <c r="Z383">
        <v>87082900</v>
      </c>
      <c r="AA383">
        <v>8</v>
      </c>
      <c r="AB383" t="s">
        <v>159</v>
      </c>
      <c r="AC383" s="24">
        <v>8593.51</v>
      </c>
      <c r="AD383" t="s">
        <v>160</v>
      </c>
      <c r="AE383" s="24">
        <v>68748.08</v>
      </c>
      <c r="AF383">
        <v>0</v>
      </c>
      <c r="AG383" s="24">
        <v>68748.08</v>
      </c>
      <c r="AH383">
        <v>0</v>
      </c>
      <c r="AI383">
        <v>0</v>
      </c>
      <c r="AJ383">
        <v>0</v>
      </c>
      <c r="AK383">
        <v>0</v>
      </c>
      <c r="AL383" s="24">
        <v>68748.08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s="24">
        <v>68748.08</v>
      </c>
      <c r="AV383">
        <v>0</v>
      </c>
      <c r="AW383">
        <v>0</v>
      </c>
      <c r="AX383">
        <v>311000</v>
      </c>
      <c r="AY383" t="s">
        <v>161</v>
      </c>
      <c r="AZ383">
        <v>93.34</v>
      </c>
      <c r="BA383">
        <v>75.430000000000007</v>
      </c>
      <c r="BB383">
        <v>17.91</v>
      </c>
      <c r="BC383" t="s">
        <v>168</v>
      </c>
      <c r="BD383">
        <v>1509</v>
      </c>
      <c r="BE383" t="s">
        <v>169</v>
      </c>
      <c r="BF383">
        <v>5094069549</v>
      </c>
      <c r="BG383" t="s">
        <v>336</v>
      </c>
    </row>
    <row r="384" spans="1:59">
      <c r="A384">
        <v>1115</v>
      </c>
      <c r="B384">
        <v>1115</v>
      </c>
      <c r="C384">
        <v>10</v>
      </c>
      <c r="D384">
        <v>2</v>
      </c>
      <c r="E384" t="s">
        <v>152</v>
      </c>
      <c r="F384" t="s">
        <v>153</v>
      </c>
      <c r="G384" t="s">
        <v>154</v>
      </c>
      <c r="H384">
        <v>1526005604</v>
      </c>
      <c r="I384">
        <v>1000005850</v>
      </c>
      <c r="L384" t="s">
        <v>336</v>
      </c>
      <c r="M384">
        <v>5100001603</v>
      </c>
      <c r="N384" t="s">
        <v>155</v>
      </c>
      <c r="O384" t="s">
        <v>156</v>
      </c>
      <c r="P384">
        <v>4110025468</v>
      </c>
      <c r="Q384" t="s">
        <v>165</v>
      </c>
      <c r="R384">
        <v>5000</v>
      </c>
      <c r="S384" t="s">
        <v>166</v>
      </c>
      <c r="V384" t="s">
        <v>167</v>
      </c>
      <c r="W384">
        <v>1502020102</v>
      </c>
      <c r="X384" t="s">
        <v>58</v>
      </c>
      <c r="Y384" t="str">
        <f>VLOOKUP(W384,Sheet4!$A$5:$B$71,2,0)</f>
        <v>MAXIMA HD</v>
      </c>
      <c r="Z384">
        <v>87082900</v>
      </c>
      <c r="AA384">
        <v>8</v>
      </c>
      <c r="AB384" t="s">
        <v>159</v>
      </c>
      <c r="AC384" s="24">
        <v>8593.51</v>
      </c>
      <c r="AD384" t="s">
        <v>160</v>
      </c>
      <c r="AE384" s="24">
        <v>68748.08</v>
      </c>
      <c r="AF384">
        <v>0</v>
      </c>
      <c r="AG384" s="24">
        <v>68748.08</v>
      </c>
      <c r="AH384">
        <v>0</v>
      </c>
      <c r="AI384">
        <v>0</v>
      </c>
      <c r="AJ384">
        <v>0</v>
      </c>
      <c r="AK384">
        <v>0</v>
      </c>
      <c r="AL384" s="24">
        <v>68748.08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s="24">
        <v>68748.08</v>
      </c>
      <c r="AV384">
        <v>0</v>
      </c>
      <c r="AW384">
        <v>0</v>
      </c>
      <c r="AX384">
        <v>311000</v>
      </c>
      <c r="AY384" t="s">
        <v>161</v>
      </c>
      <c r="AZ384">
        <v>93.34</v>
      </c>
      <c r="BA384">
        <v>75.430000000000007</v>
      </c>
      <c r="BB384">
        <v>17.91</v>
      </c>
      <c r="BC384" t="s">
        <v>168</v>
      </c>
      <c r="BD384">
        <v>1509</v>
      </c>
      <c r="BE384" t="s">
        <v>169</v>
      </c>
      <c r="BF384">
        <v>5094069482</v>
      </c>
      <c r="BG384" t="s">
        <v>336</v>
      </c>
    </row>
    <row r="385" spans="1:59">
      <c r="A385">
        <v>1115</v>
      </c>
      <c r="B385">
        <v>1115</v>
      </c>
      <c r="C385">
        <v>10</v>
      </c>
      <c r="D385">
        <v>2</v>
      </c>
      <c r="E385" t="s">
        <v>152</v>
      </c>
      <c r="F385" t="s">
        <v>153</v>
      </c>
      <c r="G385" t="s">
        <v>154</v>
      </c>
      <c r="H385">
        <v>1526005603</v>
      </c>
      <c r="I385">
        <v>1000005849</v>
      </c>
      <c r="L385" t="s">
        <v>336</v>
      </c>
      <c r="M385">
        <v>5100001227</v>
      </c>
      <c r="N385" t="s">
        <v>155</v>
      </c>
      <c r="O385" t="s">
        <v>156</v>
      </c>
      <c r="P385">
        <v>4110011319</v>
      </c>
      <c r="Q385" t="s">
        <v>175</v>
      </c>
      <c r="R385">
        <v>5000</v>
      </c>
      <c r="S385" t="s">
        <v>166</v>
      </c>
      <c r="V385" t="s">
        <v>167</v>
      </c>
      <c r="W385">
        <v>1502020074</v>
      </c>
      <c r="X385" t="s">
        <v>28</v>
      </c>
      <c r="Y385" t="str">
        <f>VLOOKUP(W385,Sheet4!$A$5:$B$71,2,0)</f>
        <v>MAX UG NEW</v>
      </c>
      <c r="Z385">
        <v>87082900</v>
      </c>
      <c r="AA385">
        <v>10</v>
      </c>
      <c r="AB385" t="s">
        <v>159</v>
      </c>
      <c r="AC385" s="24">
        <v>9397.5</v>
      </c>
      <c r="AD385" t="s">
        <v>160</v>
      </c>
      <c r="AE385" s="24">
        <v>93975</v>
      </c>
      <c r="AF385">
        <v>0</v>
      </c>
      <c r="AG385" s="24">
        <v>93975</v>
      </c>
      <c r="AH385">
        <v>0</v>
      </c>
      <c r="AI385">
        <v>0</v>
      </c>
      <c r="AJ385">
        <v>0</v>
      </c>
      <c r="AK385">
        <v>0</v>
      </c>
      <c r="AL385" s="24">
        <v>93975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 s="24">
        <v>93975</v>
      </c>
      <c r="AV385">
        <v>0</v>
      </c>
      <c r="AW385">
        <v>0</v>
      </c>
      <c r="AX385">
        <v>311000</v>
      </c>
      <c r="AY385" t="s">
        <v>161</v>
      </c>
      <c r="AZ385">
        <v>69.5</v>
      </c>
      <c r="BA385">
        <v>69.5</v>
      </c>
      <c r="BB385">
        <v>0</v>
      </c>
      <c r="BC385" t="s">
        <v>176</v>
      </c>
      <c r="BD385">
        <v>1509</v>
      </c>
      <c r="BE385" t="s">
        <v>169</v>
      </c>
      <c r="BF385">
        <v>5094064399</v>
      </c>
      <c r="BG385" t="s">
        <v>336</v>
      </c>
    </row>
    <row r="386" spans="1:59">
      <c r="A386">
        <v>1115</v>
      </c>
      <c r="B386">
        <v>1115</v>
      </c>
      <c r="C386">
        <v>10</v>
      </c>
      <c r="D386">
        <v>2</v>
      </c>
      <c r="E386" t="s">
        <v>152</v>
      </c>
      <c r="F386" t="s">
        <v>153</v>
      </c>
      <c r="G386" t="s">
        <v>154</v>
      </c>
      <c r="H386">
        <v>1526005601</v>
      </c>
      <c r="I386">
        <v>1000005847</v>
      </c>
      <c r="L386" t="s">
        <v>336</v>
      </c>
      <c r="M386">
        <v>5100001227</v>
      </c>
      <c r="N386" t="s">
        <v>155</v>
      </c>
      <c r="O386" t="s">
        <v>156</v>
      </c>
      <c r="P386">
        <v>4110011319</v>
      </c>
      <c r="Q386" t="s">
        <v>175</v>
      </c>
      <c r="R386">
        <v>5000</v>
      </c>
      <c r="S386" t="s">
        <v>166</v>
      </c>
      <c r="V386" t="s">
        <v>167</v>
      </c>
      <c r="W386">
        <v>1502020074</v>
      </c>
      <c r="X386" t="s">
        <v>28</v>
      </c>
      <c r="Y386" t="str">
        <f>VLOOKUP(W386,Sheet4!$A$5:$B$71,2,0)</f>
        <v>MAX UG NEW</v>
      </c>
      <c r="Z386">
        <v>87082900</v>
      </c>
      <c r="AA386">
        <v>10</v>
      </c>
      <c r="AB386" t="s">
        <v>159</v>
      </c>
      <c r="AC386" s="24">
        <v>9397.5</v>
      </c>
      <c r="AD386" t="s">
        <v>160</v>
      </c>
      <c r="AE386" s="24">
        <v>93975</v>
      </c>
      <c r="AF386">
        <v>0</v>
      </c>
      <c r="AG386" s="24">
        <v>93975</v>
      </c>
      <c r="AH386">
        <v>0</v>
      </c>
      <c r="AI386">
        <v>0</v>
      </c>
      <c r="AJ386">
        <v>0</v>
      </c>
      <c r="AK386">
        <v>0</v>
      </c>
      <c r="AL386" s="24">
        <v>93975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 s="24">
        <v>93975</v>
      </c>
      <c r="AV386">
        <v>0</v>
      </c>
      <c r="AW386">
        <v>0</v>
      </c>
      <c r="AX386">
        <v>311000</v>
      </c>
      <c r="AY386" t="s">
        <v>161</v>
      </c>
      <c r="AZ386">
        <v>69.5</v>
      </c>
      <c r="BA386">
        <v>69.5</v>
      </c>
      <c r="BB386">
        <v>0</v>
      </c>
      <c r="BC386" t="s">
        <v>176</v>
      </c>
      <c r="BD386">
        <v>1509</v>
      </c>
      <c r="BE386" t="s">
        <v>169</v>
      </c>
      <c r="BF386">
        <v>5094067334</v>
      </c>
      <c r="BG386" t="s">
        <v>336</v>
      </c>
    </row>
    <row r="387" spans="1:59">
      <c r="A387">
        <v>1115</v>
      </c>
      <c r="B387">
        <v>1115</v>
      </c>
      <c r="C387">
        <v>10</v>
      </c>
      <c r="D387">
        <v>2</v>
      </c>
      <c r="E387" t="s">
        <v>152</v>
      </c>
      <c r="F387" t="s">
        <v>153</v>
      </c>
      <c r="G387" t="s">
        <v>154</v>
      </c>
      <c r="H387">
        <v>1526005600</v>
      </c>
      <c r="I387">
        <v>1000005846</v>
      </c>
      <c r="L387" t="s">
        <v>336</v>
      </c>
      <c r="M387">
        <v>5100001227</v>
      </c>
      <c r="N387" t="s">
        <v>155</v>
      </c>
      <c r="O387" t="s">
        <v>156</v>
      </c>
      <c r="P387">
        <v>4110011319</v>
      </c>
      <c r="Q387" t="s">
        <v>175</v>
      </c>
      <c r="R387">
        <v>5000</v>
      </c>
      <c r="S387" t="s">
        <v>166</v>
      </c>
      <c r="V387" t="s">
        <v>167</v>
      </c>
      <c r="W387">
        <v>1502020074</v>
      </c>
      <c r="X387" t="s">
        <v>28</v>
      </c>
      <c r="Y387" t="str">
        <f>VLOOKUP(W387,Sheet4!$A$5:$B$71,2,0)</f>
        <v>MAX UG NEW</v>
      </c>
      <c r="Z387">
        <v>87082900</v>
      </c>
      <c r="AA387">
        <v>10</v>
      </c>
      <c r="AB387" t="s">
        <v>159</v>
      </c>
      <c r="AC387" s="24">
        <v>9397.5</v>
      </c>
      <c r="AD387" t="s">
        <v>160</v>
      </c>
      <c r="AE387" s="24">
        <v>93975</v>
      </c>
      <c r="AF387">
        <v>0</v>
      </c>
      <c r="AG387" s="24">
        <v>93975</v>
      </c>
      <c r="AH387">
        <v>0</v>
      </c>
      <c r="AI387">
        <v>0</v>
      </c>
      <c r="AJ387">
        <v>0</v>
      </c>
      <c r="AK387">
        <v>0</v>
      </c>
      <c r="AL387" s="24">
        <v>93975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 s="24">
        <v>93975</v>
      </c>
      <c r="AV387">
        <v>0</v>
      </c>
      <c r="AW387">
        <v>0</v>
      </c>
      <c r="AX387">
        <v>311000</v>
      </c>
      <c r="AY387" t="s">
        <v>161</v>
      </c>
      <c r="AZ387">
        <v>69.5</v>
      </c>
      <c r="BA387">
        <v>69.5</v>
      </c>
      <c r="BB387">
        <v>0</v>
      </c>
      <c r="BC387" t="s">
        <v>176</v>
      </c>
      <c r="BD387">
        <v>1509</v>
      </c>
      <c r="BE387" t="s">
        <v>169</v>
      </c>
      <c r="BF387">
        <v>5094066044</v>
      </c>
      <c r="BG387" t="s">
        <v>336</v>
      </c>
    </row>
    <row r="388" spans="1:59">
      <c r="A388">
        <v>1115</v>
      </c>
      <c r="B388">
        <v>1115</v>
      </c>
      <c r="C388">
        <v>10</v>
      </c>
      <c r="D388">
        <v>2</v>
      </c>
      <c r="E388" t="s">
        <v>152</v>
      </c>
      <c r="F388" t="s">
        <v>153</v>
      </c>
      <c r="G388" t="s">
        <v>154</v>
      </c>
      <c r="H388">
        <v>1526005599</v>
      </c>
      <c r="I388">
        <v>1000005845</v>
      </c>
      <c r="L388" t="s">
        <v>336</v>
      </c>
      <c r="M388">
        <v>5100001568</v>
      </c>
      <c r="N388" t="s">
        <v>155</v>
      </c>
      <c r="O388" t="s">
        <v>156</v>
      </c>
      <c r="P388">
        <v>4110023868</v>
      </c>
      <c r="Q388" t="s">
        <v>182</v>
      </c>
      <c r="R388">
        <v>5000</v>
      </c>
      <c r="S388" t="s">
        <v>166</v>
      </c>
      <c r="V388" t="s">
        <v>167</v>
      </c>
      <c r="W388">
        <v>1502040236</v>
      </c>
      <c r="X388" t="s">
        <v>50</v>
      </c>
      <c r="Y388" t="str">
        <f>VLOOKUP(W388,Sheet4!$A$5:$B$71,2,0)</f>
        <v>SUPPORT TOP</v>
      </c>
      <c r="Z388">
        <v>87082900</v>
      </c>
      <c r="AA388">
        <v>720</v>
      </c>
      <c r="AB388" t="s">
        <v>159</v>
      </c>
      <c r="AC388">
        <v>134.19999999999999</v>
      </c>
      <c r="AD388" t="s">
        <v>160</v>
      </c>
      <c r="AE388" s="24">
        <v>96624</v>
      </c>
      <c r="AF388">
        <v>0</v>
      </c>
      <c r="AG388" s="24">
        <v>96624</v>
      </c>
      <c r="AH388">
        <v>0</v>
      </c>
      <c r="AI388">
        <v>0</v>
      </c>
      <c r="AJ388">
        <v>0</v>
      </c>
      <c r="AK388">
        <v>0</v>
      </c>
      <c r="AL388" s="24">
        <v>96624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s="24">
        <v>96624</v>
      </c>
      <c r="AV388">
        <v>0</v>
      </c>
      <c r="AW388">
        <v>0</v>
      </c>
      <c r="AX388">
        <v>311000</v>
      </c>
      <c r="AY388" t="s">
        <v>161</v>
      </c>
      <c r="AZ388">
        <v>1.19</v>
      </c>
      <c r="BA388">
        <v>1.19</v>
      </c>
      <c r="BB388">
        <v>0</v>
      </c>
      <c r="BC388" t="s">
        <v>183</v>
      </c>
      <c r="BD388">
        <v>1511</v>
      </c>
      <c r="BE388" t="s">
        <v>174</v>
      </c>
      <c r="BF388">
        <v>5094063084</v>
      </c>
      <c r="BG388" t="s">
        <v>336</v>
      </c>
    </row>
    <row r="389" spans="1:59">
      <c r="A389">
        <v>1115</v>
      </c>
      <c r="B389">
        <v>1115</v>
      </c>
      <c r="C389">
        <v>10</v>
      </c>
      <c r="D389">
        <v>2</v>
      </c>
      <c r="E389" t="s">
        <v>152</v>
      </c>
      <c r="F389" t="s">
        <v>153</v>
      </c>
      <c r="G389" t="s">
        <v>154</v>
      </c>
      <c r="H389">
        <v>1526005598</v>
      </c>
      <c r="I389">
        <v>1000005844</v>
      </c>
      <c r="L389" t="s">
        <v>336</v>
      </c>
      <c r="M389">
        <v>5100001603</v>
      </c>
      <c r="N389" t="s">
        <v>155</v>
      </c>
      <c r="O389" t="s">
        <v>156</v>
      </c>
      <c r="P389">
        <v>4110025468</v>
      </c>
      <c r="Q389" t="s">
        <v>165</v>
      </c>
      <c r="R389">
        <v>5000</v>
      </c>
      <c r="S389" t="s">
        <v>166</v>
      </c>
      <c r="V389" t="s">
        <v>167</v>
      </c>
      <c r="W389">
        <v>1502020102</v>
      </c>
      <c r="X389" t="s">
        <v>58</v>
      </c>
      <c r="Y389" t="str">
        <f>VLOOKUP(W389,Sheet4!$A$5:$B$71,2,0)</f>
        <v>MAXIMA HD</v>
      </c>
      <c r="Z389">
        <v>87082900</v>
      </c>
      <c r="AA389">
        <v>8</v>
      </c>
      <c r="AB389" t="s">
        <v>159</v>
      </c>
      <c r="AC389" s="24">
        <v>8593.51</v>
      </c>
      <c r="AD389" t="s">
        <v>160</v>
      </c>
      <c r="AE389" s="24">
        <v>68748.08</v>
      </c>
      <c r="AF389">
        <v>0</v>
      </c>
      <c r="AG389" s="24">
        <v>68748.08</v>
      </c>
      <c r="AH389">
        <v>0</v>
      </c>
      <c r="AI389">
        <v>0</v>
      </c>
      <c r="AJ389">
        <v>0</v>
      </c>
      <c r="AK389">
        <v>0</v>
      </c>
      <c r="AL389" s="24">
        <v>68748.08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s="24">
        <v>68748.08</v>
      </c>
      <c r="AV389">
        <v>0</v>
      </c>
      <c r="AW389">
        <v>0</v>
      </c>
      <c r="AX389">
        <v>311000</v>
      </c>
      <c r="AY389" t="s">
        <v>161</v>
      </c>
      <c r="AZ389">
        <v>93.34</v>
      </c>
      <c r="BA389">
        <v>75.430000000000007</v>
      </c>
      <c r="BB389">
        <v>17.91</v>
      </c>
      <c r="BC389" t="s">
        <v>168</v>
      </c>
      <c r="BD389">
        <v>1509</v>
      </c>
      <c r="BE389" t="s">
        <v>169</v>
      </c>
      <c r="BF389">
        <v>5094064421</v>
      </c>
      <c r="BG389" t="s">
        <v>336</v>
      </c>
    </row>
    <row r="390" spans="1:59">
      <c r="A390">
        <v>1115</v>
      </c>
      <c r="B390">
        <v>1115</v>
      </c>
      <c r="C390">
        <v>10</v>
      </c>
      <c r="D390">
        <v>2</v>
      </c>
      <c r="E390" t="s">
        <v>152</v>
      </c>
      <c r="F390" t="s">
        <v>153</v>
      </c>
      <c r="G390" t="s">
        <v>154</v>
      </c>
      <c r="H390">
        <v>1526005597</v>
      </c>
      <c r="I390">
        <v>1000005843</v>
      </c>
      <c r="L390" t="s">
        <v>336</v>
      </c>
      <c r="M390">
        <v>5100001603</v>
      </c>
      <c r="N390" t="s">
        <v>155</v>
      </c>
      <c r="O390" t="s">
        <v>156</v>
      </c>
      <c r="P390">
        <v>4110025468</v>
      </c>
      <c r="Q390" t="s">
        <v>165</v>
      </c>
      <c r="R390">
        <v>5000</v>
      </c>
      <c r="S390" t="s">
        <v>166</v>
      </c>
      <c r="V390" t="s">
        <v>167</v>
      </c>
      <c r="W390">
        <v>1502020102</v>
      </c>
      <c r="X390" t="s">
        <v>58</v>
      </c>
      <c r="Y390" t="str">
        <f>VLOOKUP(W390,Sheet4!$A$5:$B$71,2,0)</f>
        <v>MAXIMA HD</v>
      </c>
      <c r="Z390">
        <v>87082900</v>
      </c>
      <c r="AA390">
        <v>8</v>
      </c>
      <c r="AB390" t="s">
        <v>159</v>
      </c>
      <c r="AC390" s="24">
        <v>8593.51</v>
      </c>
      <c r="AD390" t="s">
        <v>160</v>
      </c>
      <c r="AE390" s="24">
        <v>68748.08</v>
      </c>
      <c r="AF390">
        <v>0</v>
      </c>
      <c r="AG390" s="24">
        <v>68748.08</v>
      </c>
      <c r="AH390">
        <v>0</v>
      </c>
      <c r="AI390">
        <v>0</v>
      </c>
      <c r="AJ390">
        <v>0</v>
      </c>
      <c r="AK390">
        <v>0</v>
      </c>
      <c r="AL390" s="24">
        <v>68748.08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 s="24">
        <v>68748.08</v>
      </c>
      <c r="AV390">
        <v>0</v>
      </c>
      <c r="AW390">
        <v>0</v>
      </c>
      <c r="AX390">
        <v>311000</v>
      </c>
      <c r="AY390" t="s">
        <v>161</v>
      </c>
      <c r="AZ390">
        <v>93.34</v>
      </c>
      <c r="BA390">
        <v>75.430000000000007</v>
      </c>
      <c r="BB390">
        <v>17.91</v>
      </c>
      <c r="BC390" t="s">
        <v>168</v>
      </c>
      <c r="BD390">
        <v>1509</v>
      </c>
      <c r="BE390" t="s">
        <v>169</v>
      </c>
      <c r="BF390">
        <v>5094064747</v>
      </c>
      <c r="BG390" t="s">
        <v>336</v>
      </c>
    </row>
    <row r="391" spans="1:59">
      <c r="A391">
        <v>1115</v>
      </c>
      <c r="B391">
        <v>1115</v>
      </c>
      <c r="C391">
        <v>10</v>
      </c>
      <c r="D391">
        <v>2</v>
      </c>
      <c r="E391" t="s">
        <v>152</v>
      </c>
      <c r="F391" t="s">
        <v>153</v>
      </c>
      <c r="G391" t="s">
        <v>154</v>
      </c>
      <c r="H391">
        <v>1526005596</v>
      </c>
      <c r="I391">
        <v>1000005842</v>
      </c>
      <c r="L391" t="s">
        <v>336</v>
      </c>
      <c r="M391">
        <v>5100001227</v>
      </c>
      <c r="N391" t="s">
        <v>155</v>
      </c>
      <c r="O391" t="s">
        <v>156</v>
      </c>
      <c r="P391">
        <v>4110011319</v>
      </c>
      <c r="Q391" t="s">
        <v>175</v>
      </c>
      <c r="R391">
        <v>5000</v>
      </c>
      <c r="S391" t="s">
        <v>166</v>
      </c>
      <c r="V391" t="s">
        <v>167</v>
      </c>
      <c r="W391">
        <v>1502020074</v>
      </c>
      <c r="X391" t="s">
        <v>28</v>
      </c>
      <c r="Y391" t="str">
        <f>VLOOKUP(W391,Sheet4!$A$5:$B$71,2,0)</f>
        <v>MAX UG NEW</v>
      </c>
      <c r="Z391">
        <v>87082900</v>
      </c>
      <c r="AA391">
        <v>10</v>
      </c>
      <c r="AB391" t="s">
        <v>159</v>
      </c>
      <c r="AC391" s="24">
        <v>9397.5</v>
      </c>
      <c r="AD391" t="s">
        <v>160</v>
      </c>
      <c r="AE391" s="24">
        <v>93975</v>
      </c>
      <c r="AF391">
        <v>0</v>
      </c>
      <c r="AG391" s="24">
        <v>93975</v>
      </c>
      <c r="AH391">
        <v>0</v>
      </c>
      <c r="AI391">
        <v>0</v>
      </c>
      <c r="AJ391">
        <v>0</v>
      </c>
      <c r="AK391">
        <v>0</v>
      </c>
      <c r="AL391" s="24">
        <v>93975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 s="24">
        <v>93975</v>
      </c>
      <c r="AV391">
        <v>0</v>
      </c>
      <c r="AW391">
        <v>0</v>
      </c>
      <c r="AX391">
        <v>311000</v>
      </c>
      <c r="AY391" t="s">
        <v>161</v>
      </c>
      <c r="AZ391">
        <v>69.5</v>
      </c>
      <c r="BA391">
        <v>69.5</v>
      </c>
      <c r="BB391">
        <v>0</v>
      </c>
      <c r="BC391" t="s">
        <v>176</v>
      </c>
      <c r="BD391">
        <v>1509</v>
      </c>
      <c r="BE391" t="s">
        <v>169</v>
      </c>
      <c r="BF391">
        <v>5094064743</v>
      </c>
      <c r="BG391" t="s">
        <v>336</v>
      </c>
    </row>
    <row r="392" spans="1:59">
      <c r="A392">
        <v>1115</v>
      </c>
      <c r="B392">
        <v>1115</v>
      </c>
      <c r="C392">
        <v>10</v>
      </c>
      <c r="D392">
        <v>2</v>
      </c>
      <c r="E392" t="s">
        <v>152</v>
      </c>
      <c r="F392" t="s">
        <v>153</v>
      </c>
      <c r="G392" t="s">
        <v>154</v>
      </c>
      <c r="H392">
        <v>1526005593</v>
      </c>
      <c r="I392">
        <v>1000005839</v>
      </c>
      <c r="L392" t="s">
        <v>336</v>
      </c>
      <c r="M392">
        <v>5100001666</v>
      </c>
      <c r="N392" t="s">
        <v>155</v>
      </c>
      <c r="O392" t="s">
        <v>156</v>
      </c>
      <c r="P392">
        <v>4110027035</v>
      </c>
      <c r="Q392" t="s">
        <v>225</v>
      </c>
      <c r="R392">
        <v>5000</v>
      </c>
      <c r="S392" t="s">
        <v>166</v>
      </c>
      <c r="V392" t="s">
        <v>167</v>
      </c>
      <c r="W392">
        <v>1502020105</v>
      </c>
      <c r="X392" t="s">
        <v>226</v>
      </c>
      <c r="Y392" t="str">
        <f>VLOOKUP(W392,Sheet4!$A$5:$B$71,2,0)</f>
        <v>RE STYLING</v>
      </c>
      <c r="Z392">
        <v>87082900</v>
      </c>
      <c r="AA392">
        <v>15</v>
      </c>
      <c r="AB392" t="s">
        <v>159</v>
      </c>
      <c r="AC392" s="24">
        <v>6570.77</v>
      </c>
      <c r="AD392" t="s">
        <v>160</v>
      </c>
      <c r="AE392" s="24">
        <v>98561.55</v>
      </c>
      <c r="AF392">
        <v>0</v>
      </c>
      <c r="AG392" s="24">
        <v>98561.55</v>
      </c>
      <c r="AH392">
        <v>0</v>
      </c>
      <c r="AI392">
        <v>0</v>
      </c>
      <c r="AJ392">
        <v>0</v>
      </c>
      <c r="AK392">
        <v>0</v>
      </c>
      <c r="AL392" s="24">
        <v>98561.55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 s="24">
        <v>98561.55</v>
      </c>
      <c r="AV392">
        <v>0</v>
      </c>
      <c r="AW392">
        <v>0</v>
      </c>
      <c r="AX392">
        <v>311000</v>
      </c>
      <c r="AY392" t="s">
        <v>161</v>
      </c>
      <c r="AZ392">
        <v>49.75</v>
      </c>
      <c r="BA392">
        <v>49.75</v>
      </c>
      <c r="BB392">
        <v>0</v>
      </c>
      <c r="BC392" t="s">
        <v>227</v>
      </c>
      <c r="BD392">
        <v>1509</v>
      </c>
      <c r="BE392" t="s">
        <v>169</v>
      </c>
      <c r="BF392">
        <v>5094071308</v>
      </c>
      <c r="BG392" t="s">
        <v>337</v>
      </c>
    </row>
    <row r="393" spans="1:59">
      <c r="A393">
        <v>1115</v>
      </c>
      <c r="B393">
        <v>1115</v>
      </c>
      <c r="C393">
        <v>10</v>
      </c>
      <c r="D393">
        <v>2</v>
      </c>
      <c r="E393" t="s">
        <v>152</v>
      </c>
      <c r="F393" t="s">
        <v>153</v>
      </c>
      <c r="G393" t="s">
        <v>154</v>
      </c>
      <c r="H393">
        <v>1526005592</v>
      </c>
      <c r="I393">
        <v>1000005838</v>
      </c>
      <c r="L393" t="s">
        <v>336</v>
      </c>
      <c r="M393">
        <v>5100001666</v>
      </c>
      <c r="N393" t="s">
        <v>155</v>
      </c>
      <c r="O393" t="s">
        <v>156</v>
      </c>
      <c r="P393">
        <v>4110027035</v>
      </c>
      <c r="Q393" t="s">
        <v>225</v>
      </c>
      <c r="R393">
        <v>5000</v>
      </c>
      <c r="S393" t="s">
        <v>166</v>
      </c>
      <c r="V393" t="s">
        <v>167</v>
      </c>
      <c r="W393">
        <v>1502020105</v>
      </c>
      <c r="X393" t="s">
        <v>226</v>
      </c>
      <c r="Y393" t="str">
        <f>VLOOKUP(W393,Sheet4!$A$5:$B$71,2,0)</f>
        <v>RE STYLING</v>
      </c>
      <c r="Z393">
        <v>87082900</v>
      </c>
      <c r="AA393">
        <v>15</v>
      </c>
      <c r="AB393" t="s">
        <v>159</v>
      </c>
      <c r="AC393" s="24">
        <v>6570.77</v>
      </c>
      <c r="AD393" t="s">
        <v>160</v>
      </c>
      <c r="AE393" s="24">
        <v>98561.55</v>
      </c>
      <c r="AF393">
        <v>0</v>
      </c>
      <c r="AG393" s="24">
        <v>98561.55</v>
      </c>
      <c r="AH393">
        <v>0</v>
      </c>
      <c r="AI393">
        <v>0</v>
      </c>
      <c r="AJ393">
        <v>0</v>
      </c>
      <c r="AK393">
        <v>0</v>
      </c>
      <c r="AL393" s="24">
        <v>98561.55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 s="24">
        <v>98561.55</v>
      </c>
      <c r="AV393">
        <v>0</v>
      </c>
      <c r="AW393">
        <v>0</v>
      </c>
      <c r="AX393">
        <v>311000</v>
      </c>
      <c r="AY393" t="s">
        <v>161</v>
      </c>
      <c r="AZ393">
        <v>49.75</v>
      </c>
      <c r="BA393">
        <v>49.75</v>
      </c>
      <c r="BB393">
        <v>0</v>
      </c>
      <c r="BC393" t="s">
        <v>227</v>
      </c>
      <c r="BD393">
        <v>1509</v>
      </c>
      <c r="BE393" t="s">
        <v>169</v>
      </c>
      <c r="BF393">
        <v>5094071039</v>
      </c>
      <c r="BG393" t="s">
        <v>337</v>
      </c>
    </row>
    <row r="394" spans="1:59">
      <c r="A394">
        <v>1115</v>
      </c>
      <c r="B394">
        <v>1115</v>
      </c>
      <c r="C394">
        <v>10</v>
      </c>
      <c r="D394">
        <v>2</v>
      </c>
      <c r="E394" t="s">
        <v>152</v>
      </c>
      <c r="F394" t="s">
        <v>153</v>
      </c>
      <c r="G394" t="s">
        <v>154</v>
      </c>
      <c r="H394">
        <v>1526005591</v>
      </c>
      <c r="I394">
        <v>1000005837</v>
      </c>
      <c r="L394" t="s">
        <v>336</v>
      </c>
      <c r="M394">
        <v>5100001099</v>
      </c>
      <c r="N394" t="s">
        <v>155</v>
      </c>
      <c r="O394" t="s">
        <v>156</v>
      </c>
      <c r="P394">
        <v>4110004650</v>
      </c>
      <c r="Q394" t="s">
        <v>177</v>
      </c>
      <c r="R394">
        <v>5000</v>
      </c>
      <c r="S394" t="s">
        <v>166</v>
      </c>
      <c r="V394" t="s">
        <v>167</v>
      </c>
      <c r="W394">
        <v>1502040133</v>
      </c>
      <c r="X394" t="s">
        <v>228</v>
      </c>
      <c r="Y394" t="str">
        <f>VLOOKUP(W394,Sheet4!$A$5:$B$71,2,0)</f>
        <v>REAR COVER</v>
      </c>
      <c r="Z394">
        <v>87082900</v>
      </c>
      <c r="AA394">
        <v>55</v>
      </c>
      <c r="AB394" t="s">
        <v>159</v>
      </c>
      <c r="AC394">
        <v>164.49</v>
      </c>
      <c r="AD394" t="s">
        <v>160</v>
      </c>
      <c r="AE394" s="24">
        <v>9046.9500000000007</v>
      </c>
      <c r="AF394">
        <v>0</v>
      </c>
      <c r="AG394" s="24">
        <v>9046.9500000000007</v>
      </c>
      <c r="AH394">
        <v>0</v>
      </c>
      <c r="AI394">
        <v>0</v>
      </c>
      <c r="AJ394">
        <v>0</v>
      </c>
      <c r="AK394">
        <v>0</v>
      </c>
      <c r="AL394" s="24">
        <v>9046.9500000000007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 s="24">
        <v>9046.9500000000007</v>
      </c>
      <c r="AV394">
        <v>0</v>
      </c>
      <c r="AW394">
        <v>0</v>
      </c>
      <c r="AX394">
        <v>311000</v>
      </c>
      <c r="AY394" t="s">
        <v>161</v>
      </c>
      <c r="AZ394">
        <v>1.248</v>
      </c>
      <c r="BA394">
        <v>1.248</v>
      </c>
      <c r="BB394">
        <v>0</v>
      </c>
      <c r="BC394" t="s">
        <v>229</v>
      </c>
      <c r="BD394">
        <v>1511</v>
      </c>
      <c r="BE394" t="s">
        <v>174</v>
      </c>
      <c r="BF394">
        <v>5094060668</v>
      </c>
      <c r="BG394" t="s">
        <v>336</v>
      </c>
    </row>
    <row r="395" spans="1:59">
      <c r="A395">
        <v>1115</v>
      </c>
      <c r="B395">
        <v>1115</v>
      </c>
      <c r="C395">
        <v>10</v>
      </c>
      <c r="D395">
        <v>2</v>
      </c>
      <c r="E395" t="s">
        <v>152</v>
      </c>
      <c r="F395" t="s">
        <v>153</v>
      </c>
      <c r="G395" t="s">
        <v>154</v>
      </c>
      <c r="H395">
        <v>1526005590</v>
      </c>
      <c r="I395">
        <v>1000005836</v>
      </c>
      <c r="L395" t="s">
        <v>336</v>
      </c>
      <c r="M395">
        <v>5100001099</v>
      </c>
      <c r="N395" t="s">
        <v>155</v>
      </c>
      <c r="O395" t="s">
        <v>156</v>
      </c>
      <c r="P395">
        <v>4110004650</v>
      </c>
      <c r="Q395" t="s">
        <v>177</v>
      </c>
      <c r="R395">
        <v>5000</v>
      </c>
      <c r="S395" t="s">
        <v>166</v>
      </c>
      <c r="V395" t="s">
        <v>167</v>
      </c>
      <c r="W395">
        <v>1502040132</v>
      </c>
      <c r="X395" t="s">
        <v>230</v>
      </c>
      <c r="Y395" t="str">
        <f>VLOOKUP(W395,Sheet4!$A$5:$B$71,2,0)</f>
        <v>REAR COVER</v>
      </c>
      <c r="Z395">
        <v>87082900</v>
      </c>
      <c r="AA395">
        <v>55</v>
      </c>
      <c r="AB395" t="s">
        <v>159</v>
      </c>
      <c r="AC395">
        <v>159.41</v>
      </c>
      <c r="AD395" t="s">
        <v>160</v>
      </c>
      <c r="AE395" s="24">
        <v>8767.5499999999993</v>
      </c>
      <c r="AF395">
        <v>0</v>
      </c>
      <c r="AG395" s="24">
        <v>8767.5499999999993</v>
      </c>
      <c r="AH395">
        <v>0</v>
      </c>
      <c r="AI395">
        <v>0</v>
      </c>
      <c r="AJ395">
        <v>0</v>
      </c>
      <c r="AK395">
        <v>0</v>
      </c>
      <c r="AL395" s="24">
        <v>8767.5499999999993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s="24">
        <v>8767.5499999999993</v>
      </c>
      <c r="AV395">
        <v>0</v>
      </c>
      <c r="AW395">
        <v>0</v>
      </c>
      <c r="AX395">
        <v>311000</v>
      </c>
      <c r="AY395" t="s">
        <v>161</v>
      </c>
      <c r="AZ395">
        <v>1.1659999999999999</v>
      </c>
      <c r="BA395">
        <v>1.1659999999999999</v>
      </c>
      <c r="BB395">
        <v>0</v>
      </c>
      <c r="BC395" t="s">
        <v>231</v>
      </c>
      <c r="BD395">
        <v>1511</v>
      </c>
      <c r="BE395" t="s">
        <v>174</v>
      </c>
      <c r="BF395">
        <v>5094060801</v>
      </c>
      <c r="BG395" t="s">
        <v>336</v>
      </c>
    </row>
    <row r="396" spans="1:59">
      <c r="A396">
        <v>1115</v>
      </c>
      <c r="B396">
        <v>1115</v>
      </c>
      <c r="C396">
        <v>10</v>
      </c>
      <c r="D396">
        <v>2</v>
      </c>
      <c r="E396" t="s">
        <v>152</v>
      </c>
      <c r="F396" t="s">
        <v>153</v>
      </c>
      <c r="G396" t="s">
        <v>154</v>
      </c>
      <c r="H396">
        <v>1526005589</v>
      </c>
      <c r="I396">
        <v>1000005835</v>
      </c>
      <c r="L396" t="s">
        <v>336</v>
      </c>
      <c r="M396">
        <v>5100001101</v>
      </c>
      <c r="N396" t="s">
        <v>155</v>
      </c>
      <c r="O396" t="s">
        <v>156</v>
      </c>
      <c r="P396">
        <v>4110004653</v>
      </c>
      <c r="Q396" t="s">
        <v>177</v>
      </c>
      <c r="R396">
        <v>5000</v>
      </c>
      <c r="S396" t="s">
        <v>166</v>
      </c>
      <c r="V396" t="s">
        <v>167</v>
      </c>
      <c r="W396">
        <v>1502040194</v>
      </c>
      <c r="X396" t="s">
        <v>44</v>
      </c>
      <c r="Y396" t="str">
        <f>VLOOKUP(W396,Sheet4!$A$5:$B$71,2,0)</f>
        <v>CRADEL</v>
      </c>
      <c r="Z396">
        <v>87082900</v>
      </c>
      <c r="AA396">
        <v>48</v>
      </c>
      <c r="AB396" t="s">
        <v>159</v>
      </c>
      <c r="AC396">
        <v>956.92</v>
      </c>
      <c r="AD396" t="s">
        <v>160</v>
      </c>
      <c r="AE396" s="24">
        <v>45932.160000000003</v>
      </c>
      <c r="AF396">
        <v>0</v>
      </c>
      <c r="AG396" s="24">
        <v>45932.160000000003</v>
      </c>
      <c r="AH396">
        <v>0</v>
      </c>
      <c r="AI396">
        <v>0</v>
      </c>
      <c r="AJ396">
        <v>0</v>
      </c>
      <c r="AK396">
        <v>0</v>
      </c>
      <c r="AL396" s="24">
        <v>45932.160000000003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 s="24">
        <v>45932.160000000003</v>
      </c>
      <c r="AV396">
        <v>0</v>
      </c>
      <c r="AW396">
        <v>0</v>
      </c>
      <c r="AX396">
        <v>311000</v>
      </c>
      <c r="AY396" t="s">
        <v>161</v>
      </c>
      <c r="AZ396">
        <v>6.3769999999999998</v>
      </c>
      <c r="BA396">
        <v>6.3769999999999998</v>
      </c>
      <c r="BB396">
        <v>0</v>
      </c>
      <c r="BC396" t="s">
        <v>184</v>
      </c>
      <c r="BD396">
        <v>1511</v>
      </c>
      <c r="BE396" t="s">
        <v>174</v>
      </c>
      <c r="BF396">
        <v>5094065655</v>
      </c>
      <c r="BG396" t="s">
        <v>336</v>
      </c>
    </row>
    <row r="397" spans="1:59">
      <c r="A397">
        <v>1115</v>
      </c>
      <c r="B397">
        <v>1115</v>
      </c>
      <c r="C397">
        <v>10</v>
      </c>
      <c r="D397">
        <v>2</v>
      </c>
      <c r="E397" t="s">
        <v>152</v>
      </c>
      <c r="F397" t="s">
        <v>153</v>
      </c>
      <c r="G397" t="s">
        <v>154</v>
      </c>
      <c r="H397">
        <v>1526005528</v>
      </c>
      <c r="I397">
        <v>1000005774</v>
      </c>
      <c r="L397" t="s">
        <v>336</v>
      </c>
      <c r="M397">
        <v>5100001925</v>
      </c>
      <c r="N397" t="s">
        <v>155</v>
      </c>
      <c r="O397" t="s">
        <v>156</v>
      </c>
      <c r="P397">
        <v>4110055667</v>
      </c>
      <c r="Q397" t="s">
        <v>185</v>
      </c>
      <c r="R397">
        <v>5000</v>
      </c>
      <c r="S397" t="s">
        <v>166</v>
      </c>
      <c r="V397" t="s">
        <v>167</v>
      </c>
      <c r="W397">
        <v>1502040318</v>
      </c>
      <c r="X397" t="s">
        <v>72</v>
      </c>
      <c r="Y397" t="str">
        <f>VLOOKUP(W397,Sheet4!$A$5:$B$71,2,0)</f>
        <v>Re Side Door</v>
      </c>
      <c r="Z397">
        <v>87082900</v>
      </c>
      <c r="AA397">
        <v>120</v>
      </c>
      <c r="AB397" t="s">
        <v>159</v>
      </c>
      <c r="AC397">
        <v>507.85</v>
      </c>
      <c r="AD397" t="s">
        <v>160</v>
      </c>
      <c r="AE397" s="24">
        <v>60942</v>
      </c>
      <c r="AF397">
        <v>0</v>
      </c>
      <c r="AG397" s="24">
        <v>60942</v>
      </c>
      <c r="AH397">
        <v>0</v>
      </c>
      <c r="AI397">
        <v>0</v>
      </c>
      <c r="AJ397">
        <v>0</v>
      </c>
      <c r="AK397">
        <v>0</v>
      </c>
      <c r="AL397" s="24">
        <v>60942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 s="24">
        <v>60942</v>
      </c>
      <c r="AV397">
        <v>0</v>
      </c>
      <c r="AW397">
        <v>0</v>
      </c>
      <c r="AX397">
        <v>311000</v>
      </c>
      <c r="AY397" t="s">
        <v>161</v>
      </c>
      <c r="AZ397">
        <v>2.27</v>
      </c>
      <c r="BA397">
        <v>2.27</v>
      </c>
      <c r="BB397">
        <v>0</v>
      </c>
      <c r="BC397" t="s">
        <v>187</v>
      </c>
      <c r="BD397">
        <v>1511</v>
      </c>
      <c r="BE397" t="s">
        <v>174</v>
      </c>
      <c r="BF397">
        <v>5094058839</v>
      </c>
      <c r="BG397" t="s">
        <v>336</v>
      </c>
    </row>
    <row r="398" spans="1:59">
      <c r="A398">
        <v>1115</v>
      </c>
      <c r="B398">
        <v>1115</v>
      </c>
      <c r="C398">
        <v>10</v>
      </c>
      <c r="D398">
        <v>2</v>
      </c>
      <c r="E398" t="s">
        <v>152</v>
      </c>
      <c r="F398" t="s">
        <v>153</v>
      </c>
      <c r="G398" t="s">
        <v>154</v>
      </c>
      <c r="H398">
        <v>1526005484</v>
      </c>
      <c r="I398">
        <v>1000005717</v>
      </c>
      <c r="L398" t="s">
        <v>336</v>
      </c>
      <c r="M398">
        <v>5100001899</v>
      </c>
      <c r="N398" t="s">
        <v>155</v>
      </c>
      <c r="O398" t="s">
        <v>156</v>
      </c>
      <c r="P398">
        <v>4110041854</v>
      </c>
      <c r="Q398" t="s">
        <v>172</v>
      </c>
      <c r="R398">
        <v>5000</v>
      </c>
      <c r="S398" t="s">
        <v>166</v>
      </c>
      <c r="V398" t="s">
        <v>167</v>
      </c>
      <c r="W398">
        <v>1502040267</v>
      </c>
      <c r="X398" t="s">
        <v>63</v>
      </c>
      <c r="Y398" t="str">
        <f>VLOOKUP(W398,Sheet4!$A$5:$B$71,2,0)</f>
        <v>DASH BOARD</v>
      </c>
      <c r="Z398">
        <v>87082900</v>
      </c>
      <c r="AA398">
        <v>416</v>
      </c>
      <c r="AB398" t="s">
        <v>159</v>
      </c>
      <c r="AC398">
        <v>290.89999999999998</v>
      </c>
      <c r="AD398" t="s">
        <v>160</v>
      </c>
      <c r="AE398" s="24">
        <v>121014.39999999999</v>
      </c>
      <c r="AF398">
        <v>0</v>
      </c>
      <c r="AG398" s="24">
        <v>121014.39999999999</v>
      </c>
      <c r="AH398">
        <v>0</v>
      </c>
      <c r="AI398">
        <v>0</v>
      </c>
      <c r="AJ398">
        <v>0</v>
      </c>
      <c r="AK398">
        <v>0</v>
      </c>
      <c r="AL398" s="24">
        <v>121014.39999999999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 s="24">
        <v>121014.39999999999</v>
      </c>
      <c r="AV398">
        <v>0</v>
      </c>
      <c r="AW398">
        <v>0</v>
      </c>
      <c r="AX398">
        <v>311000</v>
      </c>
      <c r="AY398" t="s">
        <v>161</v>
      </c>
      <c r="AZ398">
        <v>4.5</v>
      </c>
      <c r="BA398">
        <v>4.5</v>
      </c>
      <c r="BB398">
        <v>0</v>
      </c>
      <c r="BC398" t="s">
        <v>173</v>
      </c>
      <c r="BD398">
        <v>1511</v>
      </c>
      <c r="BE398" t="s">
        <v>174</v>
      </c>
      <c r="BF398">
        <v>5094067639</v>
      </c>
      <c r="BG398" t="s">
        <v>336</v>
      </c>
    </row>
    <row r="399" spans="1:59">
      <c r="A399">
        <v>1115</v>
      </c>
      <c r="B399">
        <v>1115</v>
      </c>
      <c r="C399">
        <v>10</v>
      </c>
      <c r="D399">
        <v>2</v>
      </c>
      <c r="E399" t="s">
        <v>152</v>
      </c>
      <c r="F399" t="s">
        <v>153</v>
      </c>
      <c r="G399" t="s">
        <v>154</v>
      </c>
      <c r="H399">
        <v>1526005483</v>
      </c>
      <c r="I399">
        <v>1000005716</v>
      </c>
      <c r="L399" t="s">
        <v>336</v>
      </c>
      <c r="M399">
        <v>5100001101</v>
      </c>
      <c r="N399" t="s">
        <v>155</v>
      </c>
      <c r="O399" t="s">
        <v>156</v>
      </c>
      <c r="P399">
        <v>4110004653</v>
      </c>
      <c r="Q399" t="s">
        <v>177</v>
      </c>
      <c r="R399">
        <v>5000</v>
      </c>
      <c r="S399" t="s">
        <v>166</v>
      </c>
      <c r="V399" t="s">
        <v>167</v>
      </c>
      <c r="W399">
        <v>1502040194</v>
      </c>
      <c r="X399" t="s">
        <v>44</v>
      </c>
      <c r="Y399" t="str">
        <f>VLOOKUP(W399,Sheet4!$A$5:$B$71,2,0)</f>
        <v>CRADEL</v>
      </c>
      <c r="Z399">
        <v>87082900</v>
      </c>
      <c r="AA399">
        <v>48</v>
      </c>
      <c r="AB399" t="s">
        <v>159</v>
      </c>
      <c r="AC399">
        <v>956.92</v>
      </c>
      <c r="AD399" t="s">
        <v>160</v>
      </c>
      <c r="AE399" s="24">
        <v>45932.160000000003</v>
      </c>
      <c r="AF399">
        <v>0</v>
      </c>
      <c r="AG399" s="24">
        <v>45932.160000000003</v>
      </c>
      <c r="AH399">
        <v>0</v>
      </c>
      <c r="AI399">
        <v>0</v>
      </c>
      <c r="AJ399">
        <v>0</v>
      </c>
      <c r="AK399">
        <v>0</v>
      </c>
      <c r="AL399" s="24">
        <v>45932.160000000003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s="24">
        <v>45932.160000000003</v>
      </c>
      <c r="AV399">
        <v>0</v>
      </c>
      <c r="AW399">
        <v>0</v>
      </c>
      <c r="AX399">
        <v>311000</v>
      </c>
      <c r="AY399" t="s">
        <v>161</v>
      </c>
      <c r="AZ399">
        <v>6.3769999999999998</v>
      </c>
      <c r="BA399">
        <v>6.3769999999999998</v>
      </c>
      <c r="BB399">
        <v>0</v>
      </c>
      <c r="BC399" t="s">
        <v>184</v>
      </c>
      <c r="BD399">
        <v>1511</v>
      </c>
      <c r="BE399" t="s">
        <v>174</v>
      </c>
      <c r="BF399">
        <v>5094059308</v>
      </c>
      <c r="BG399" t="s">
        <v>336</v>
      </c>
    </row>
    <row r="400" spans="1:59">
      <c r="A400">
        <v>1115</v>
      </c>
      <c r="B400">
        <v>1115</v>
      </c>
      <c r="C400">
        <v>10</v>
      </c>
      <c r="D400">
        <v>2</v>
      </c>
      <c r="E400" t="s">
        <v>152</v>
      </c>
      <c r="F400" t="s">
        <v>153</v>
      </c>
      <c r="G400" t="s">
        <v>154</v>
      </c>
      <c r="H400">
        <v>1526005482</v>
      </c>
      <c r="I400">
        <v>1000005715</v>
      </c>
      <c r="L400" t="s">
        <v>336</v>
      </c>
      <c r="M400">
        <v>5100001101</v>
      </c>
      <c r="N400" t="s">
        <v>155</v>
      </c>
      <c r="O400" t="s">
        <v>156</v>
      </c>
      <c r="P400">
        <v>4110004653</v>
      </c>
      <c r="Q400" t="s">
        <v>177</v>
      </c>
      <c r="R400">
        <v>5000</v>
      </c>
      <c r="S400" t="s">
        <v>166</v>
      </c>
      <c r="V400" t="s">
        <v>167</v>
      </c>
      <c r="W400">
        <v>1502040194</v>
      </c>
      <c r="X400" t="s">
        <v>44</v>
      </c>
      <c r="Y400" t="str">
        <f>VLOOKUP(W400,Sheet4!$A$5:$B$71,2,0)</f>
        <v>CRADEL</v>
      </c>
      <c r="Z400">
        <v>87082900</v>
      </c>
      <c r="AA400">
        <v>48</v>
      </c>
      <c r="AB400" t="s">
        <v>159</v>
      </c>
      <c r="AC400">
        <v>956.92</v>
      </c>
      <c r="AD400" t="s">
        <v>160</v>
      </c>
      <c r="AE400" s="24">
        <v>45932.160000000003</v>
      </c>
      <c r="AF400">
        <v>0</v>
      </c>
      <c r="AG400" s="24">
        <v>45932.160000000003</v>
      </c>
      <c r="AH400">
        <v>0</v>
      </c>
      <c r="AI400">
        <v>0</v>
      </c>
      <c r="AJ400">
        <v>0</v>
      </c>
      <c r="AK400">
        <v>0</v>
      </c>
      <c r="AL400" s="24">
        <v>45932.160000000003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 s="24">
        <v>45932.160000000003</v>
      </c>
      <c r="AV400">
        <v>0</v>
      </c>
      <c r="AW400">
        <v>0</v>
      </c>
      <c r="AX400">
        <v>311000</v>
      </c>
      <c r="AY400" t="s">
        <v>161</v>
      </c>
      <c r="AZ400">
        <v>6.3769999999999998</v>
      </c>
      <c r="BA400">
        <v>6.3769999999999998</v>
      </c>
      <c r="BB400">
        <v>0</v>
      </c>
      <c r="BC400" t="s">
        <v>184</v>
      </c>
      <c r="BD400">
        <v>1511</v>
      </c>
      <c r="BE400" t="s">
        <v>174</v>
      </c>
      <c r="BF400">
        <v>5094053233</v>
      </c>
      <c r="BG400" t="s">
        <v>336</v>
      </c>
    </row>
    <row r="401" spans="1:59">
      <c r="A401">
        <v>1115</v>
      </c>
      <c r="B401">
        <v>1115</v>
      </c>
      <c r="C401">
        <v>10</v>
      </c>
      <c r="D401">
        <v>2</v>
      </c>
      <c r="E401" t="s">
        <v>152</v>
      </c>
      <c r="F401" t="s">
        <v>153</v>
      </c>
      <c r="G401" t="s">
        <v>154</v>
      </c>
      <c r="H401">
        <v>1526005481</v>
      </c>
      <c r="I401">
        <v>1000005714</v>
      </c>
      <c r="L401" t="s">
        <v>338</v>
      </c>
      <c r="M401">
        <v>5100001949</v>
      </c>
      <c r="N401" t="s">
        <v>155</v>
      </c>
      <c r="O401" t="s">
        <v>156</v>
      </c>
      <c r="P401">
        <v>4110063766</v>
      </c>
      <c r="Q401" t="s">
        <v>252</v>
      </c>
      <c r="R401">
        <v>5000</v>
      </c>
      <c r="S401" t="s">
        <v>166</v>
      </c>
      <c r="V401" t="s">
        <v>167</v>
      </c>
      <c r="W401">
        <v>1502040322</v>
      </c>
      <c r="X401" t="s">
        <v>250</v>
      </c>
      <c r="Y401" t="str">
        <f>VLOOKUP(W401,Sheet4!$A$5:$B$71,2,0)</f>
        <v>DASH BOARD</v>
      </c>
      <c r="Z401">
        <v>87082900</v>
      </c>
      <c r="AA401">
        <v>240</v>
      </c>
      <c r="AB401" t="s">
        <v>159</v>
      </c>
      <c r="AC401">
        <v>291.27999999999997</v>
      </c>
      <c r="AD401" t="s">
        <v>160</v>
      </c>
      <c r="AE401" s="24">
        <v>69907.199999999997</v>
      </c>
      <c r="AF401">
        <v>0</v>
      </c>
      <c r="AG401" s="24">
        <v>69907.199999999997</v>
      </c>
      <c r="AH401">
        <v>0</v>
      </c>
      <c r="AI401">
        <v>0</v>
      </c>
      <c r="AJ401">
        <v>0</v>
      </c>
      <c r="AK401">
        <v>0</v>
      </c>
      <c r="AL401" s="24">
        <v>69907.199999999997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 s="24">
        <v>69907.199999999997</v>
      </c>
      <c r="AV401">
        <v>0</v>
      </c>
      <c r="AW401">
        <v>0</v>
      </c>
      <c r="AX401">
        <v>311000</v>
      </c>
      <c r="AY401" t="s">
        <v>161</v>
      </c>
      <c r="AZ401">
        <v>2.37</v>
      </c>
      <c r="BA401">
        <v>2.37</v>
      </c>
      <c r="BB401">
        <v>0</v>
      </c>
      <c r="BC401" t="s">
        <v>251</v>
      </c>
      <c r="BD401">
        <v>1511</v>
      </c>
      <c r="BE401" t="s">
        <v>174</v>
      </c>
      <c r="BF401">
        <v>5094070110</v>
      </c>
      <c r="BG401" t="s">
        <v>337</v>
      </c>
    </row>
    <row r="402" spans="1:59">
      <c r="A402">
        <v>1115</v>
      </c>
      <c r="B402">
        <v>1115</v>
      </c>
      <c r="C402">
        <v>10</v>
      </c>
      <c r="D402">
        <v>2</v>
      </c>
      <c r="E402" t="s">
        <v>152</v>
      </c>
      <c r="F402" t="s">
        <v>153</v>
      </c>
      <c r="G402" t="s">
        <v>154</v>
      </c>
      <c r="H402">
        <v>1526005480</v>
      </c>
      <c r="I402">
        <v>1000005713</v>
      </c>
      <c r="L402" t="s">
        <v>338</v>
      </c>
      <c r="M402">
        <v>5100001899</v>
      </c>
      <c r="N402" t="s">
        <v>155</v>
      </c>
      <c r="O402" t="s">
        <v>156</v>
      </c>
      <c r="P402">
        <v>4110041854</v>
      </c>
      <c r="Q402" t="s">
        <v>172</v>
      </c>
      <c r="R402">
        <v>5000</v>
      </c>
      <c r="S402" t="s">
        <v>166</v>
      </c>
      <c r="V402" t="s">
        <v>167</v>
      </c>
      <c r="W402">
        <v>1502040267</v>
      </c>
      <c r="X402" t="s">
        <v>63</v>
      </c>
      <c r="Y402" t="str">
        <f>VLOOKUP(W402,Sheet4!$A$5:$B$71,2,0)</f>
        <v>DASH BOARD</v>
      </c>
      <c r="Z402">
        <v>87082900</v>
      </c>
      <c r="AA402">
        <v>160</v>
      </c>
      <c r="AB402" t="s">
        <v>159</v>
      </c>
      <c r="AC402">
        <v>290.89999999999998</v>
      </c>
      <c r="AD402" t="s">
        <v>160</v>
      </c>
      <c r="AE402" s="24">
        <v>46544</v>
      </c>
      <c r="AF402">
        <v>0</v>
      </c>
      <c r="AG402" s="24">
        <v>46544</v>
      </c>
      <c r="AH402">
        <v>0</v>
      </c>
      <c r="AI402">
        <v>0</v>
      </c>
      <c r="AJ402">
        <v>0</v>
      </c>
      <c r="AK402">
        <v>0</v>
      </c>
      <c r="AL402" s="24">
        <v>46544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 s="24">
        <v>46544</v>
      </c>
      <c r="AV402">
        <v>0</v>
      </c>
      <c r="AW402">
        <v>0</v>
      </c>
      <c r="AX402">
        <v>311000</v>
      </c>
      <c r="AY402" t="s">
        <v>161</v>
      </c>
      <c r="AZ402">
        <v>4.5</v>
      </c>
      <c r="BA402">
        <v>4.5</v>
      </c>
      <c r="BB402">
        <v>0</v>
      </c>
      <c r="BC402" t="s">
        <v>173</v>
      </c>
      <c r="BD402">
        <v>1511</v>
      </c>
      <c r="BE402" t="s">
        <v>174</v>
      </c>
      <c r="BF402">
        <v>5094069294</v>
      </c>
      <c r="BG402" t="s">
        <v>336</v>
      </c>
    </row>
    <row r="403" spans="1:59">
      <c r="A403">
        <v>1115</v>
      </c>
      <c r="B403">
        <v>1115</v>
      </c>
      <c r="C403">
        <v>10</v>
      </c>
      <c r="D403">
        <v>2</v>
      </c>
      <c r="E403" t="s">
        <v>152</v>
      </c>
      <c r="F403" t="s">
        <v>153</v>
      </c>
      <c r="G403" t="s">
        <v>154</v>
      </c>
      <c r="H403">
        <v>1526005479</v>
      </c>
      <c r="I403">
        <v>1000005712</v>
      </c>
      <c r="L403" t="s">
        <v>338</v>
      </c>
      <c r="M403">
        <v>5100001928</v>
      </c>
      <c r="N403" t="s">
        <v>155</v>
      </c>
      <c r="O403" t="s">
        <v>156</v>
      </c>
      <c r="P403">
        <v>4110057393</v>
      </c>
      <c r="Q403" t="s">
        <v>192</v>
      </c>
      <c r="R403">
        <v>5000</v>
      </c>
      <c r="S403" t="s">
        <v>166</v>
      </c>
      <c r="V403" t="s">
        <v>167</v>
      </c>
      <c r="W403">
        <v>1502020122</v>
      </c>
      <c r="X403" t="s">
        <v>70</v>
      </c>
      <c r="Y403" t="str">
        <f>VLOOKUP(W403,Sheet4!$A$5:$B$71,2,0)</f>
        <v>MAX UG NEW EV</v>
      </c>
      <c r="Z403">
        <v>87082900</v>
      </c>
      <c r="AA403">
        <v>10</v>
      </c>
      <c r="AB403" t="s">
        <v>159</v>
      </c>
      <c r="AC403" s="24">
        <v>9566.51</v>
      </c>
      <c r="AD403" t="s">
        <v>160</v>
      </c>
      <c r="AE403" s="24">
        <v>95665.1</v>
      </c>
      <c r="AF403">
        <v>0</v>
      </c>
      <c r="AG403" s="24">
        <v>95665.1</v>
      </c>
      <c r="AH403">
        <v>0</v>
      </c>
      <c r="AI403">
        <v>0</v>
      </c>
      <c r="AJ403">
        <v>0</v>
      </c>
      <c r="AK403">
        <v>0</v>
      </c>
      <c r="AL403" s="24">
        <v>95665.1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 s="24">
        <v>95665.1</v>
      </c>
      <c r="AV403">
        <v>0</v>
      </c>
      <c r="AW403">
        <v>0</v>
      </c>
      <c r="AX403">
        <v>311000</v>
      </c>
      <c r="AY403" t="s">
        <v>161</v>
      </c>
      <c r="AZ403">
        <v>0</v>
      </c>
      <c r="BA403">
        <v>61</v>
      </c>
      <c r="BB403">
        <v>-61</v>
      </c>
      <c r="BC403" t="s">
        <v>193</v>
      </c>
      <c r="BD403">
        <v>1509</v>
      </c>
      <c r="BE403" t="s">
        <v>169</v>
      </c>
      <c r="BF403">
        <v>5094053681</v>
      </c>
      <c r="BG403" t="s">
        <v>336</v>
      </c>
    </row>
    <row r="404" spans="1:59">
      <c r="A404">
        <v>1115</v>
      </c>
      <c r="B404">
        <v>1115</v>
      </c>
      <c r="C404">
        <v>10</v>
      </c>
      <c r="D404">
        <v>2</v>
      </c>
      <c r="E404" t="s">
        <v>152</v>
      </c>
      <c r="F404" t="s">
        <v>153</v>
      </c>
      <c r="G404" t="s">
        <v>154</v>
      </c>
      <c r="H404">
        <v>1526005478</v>
      </c>
      <c r="I404">
        <v>1000005711</v>
      </c>
      <c r="L404" t="s">
        <v>338</v>
      </c>
      <c r="M404">
        <v>5100001928</v>
      </c>
      <c r="N404" t="s">
        <v>155</v>
      </c>
      <c r="O404" t="s">
        <v>156</v>
      </c>
      <c r="P404">
        <v>4110057393</v>
      </c>
      <c r="Q404" t="s">
        <v>192</v>
      </c>
      <c r="R404">
        <v>5000</v>
      </c>
      <c r="S404" t="s">
        <v>166</v>
      </c>
      <c r="V404" t="s">
        <v>167</v>
      </c>
      <c r="W404">
        <v>1502020122</v>
      </c>
      <c r="X404" t="s">
        <v>70</v>
      </c>
      <c r="Y404" t="str">
        <f>VLOOKUP(W404,Sheet4!$A$5:$B$71,2,0)</f>
        <v>MAX UG NEW EV</v>
      </c>
      <c r="Z404">
        <v>87082900</v>
      </c>
      <c r="AA404">
        <v>10</v>
      </c>
      <c r="AB404" t="s">
        <v>159</v>
      </c>
      <c r="AC404" s="24">
        <v>9566.51</v>
      </c>
      <c r="AD404" t="s">
        <v>160</v>
      </c>
      <c r="AE404" s="24">
        <v>95665.1</v>
      </c>
      <c r="AF404">
        <v>0</v>
      </c>
      <c r="AG404" s="24">
        <v>95665.1</v>
      </c>
      <c r="AH404">
        <v>0</v>
      </c>
      <c r="AI404">
        <v>0</v>
      </c>
      <c r="AJ404">
        <v>0</v>
      </c>
      <c r="AK404">
        <v>0</v>
      </c>
      <c r="AL404" s="24">
        <v>95665.1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 s="24">
        <v>95665.1</v>
      </c>
      <c r="AV404">
        <v>0</v>
      </c>
      <c r="AW404">
        <v>0</v>
      </c>
      <c r="AX404">
        <v>311000</v>
      </c>
      <c r="AY404" t="s">
        <v>161</v>
      </c>
      <c r="AZ404">
        <v>0</v>
      </c>
      <c r="BA404">
        <v>61</v>
      </c>
      <c r="BB404">
        <v>-61</v>
      </c>
      <c r="BC404" t="s">
        <v>193</v>
      </c>
      <c r="BD404">
        <v>1509</v>
      </c>
      <c r="BE404" t="s">
        <v>169</v>
      </c>
      <c r="BF404">
        <v>5094054971</v>
      </c>
      <c r="BG404" t="s">
        <v>336</v>
      </c>
    </row>
    <row r="405" spans="1:59">
      <c r="A405">
        <v>1115</v>
      </c>
      <c r="B405">
        <v>1115</v>
      </c>
      <c r="C405">
        <v>10</v>
      </c>
      <c r="D405">
        <v>2</v>
      </c>
      <c r="E405" t="s">
        <v>152</v>
      </c>
      <c r="F405" t="s">
        <v>153</v>
      </c>
      <c r="G405" t="s">
        <v>154</v>
      </c>
      <c r="H405">
        <v>1526005477</v>
      </c>
      <c r="I405">
        <v>1000005710</v>
      </c>
      <c r="L405" t="s">
        <v>338</v>
      </c>
      <c r="M405">
        <v>5100001636</v>
      </c>
      <c r="N405" t="s">
        <v>155</v>
      </c>
      <c r="O405" t="s">
        <v>156</v>
      </c>
      <c r="P405">
        <v>4110026445</v>
      </c>
      <c r="Q405" t="s">
        <v>170</v>
      </c>
      <c r="R405">
        <v>5000</v>
      </c>
      <c r="S405" t="s">
        <v>166</v>
      </c>
      <c r="V405" t="s">
        <v>167</v>
      </c>
      <c r="W405">
        <v>1502020104</v>
      </c>
      <c r="X405" t="s">
        <v>26</v>
      </c>
      <c r="Y405" t="str">
        <f>VLOOKUP(W405,Sheet4!$A$5:$B$71,2,0)</f>
        <v>RE STYLING</v>
      </c>
      <c r="Z405">
        <v>87082900</v>
      </c>
      <c r="AA405">
        <v>15</v>
      </c>
      <c r="AB405" t="s">
        <v>159</v>
      </c>
      <c r="AC405" s="24">
        <v>6585.55</v>
      </c>
      <c r="AD405" t="s">
        <v>160</v>
      </c>
      <c r="AE405" s="24">
        <v>98783.25</v>
      </c>
      <c r="AF405">
        <v>0</v>
      </c>
      <c r="AG405" s="24">
        <v>98783.25</v>
      </c>
      <c r="AH405">
        <v>0</v>
      </c>
      <c r="AI405">
        <v>0</v>
      </c>
      <c r="AJ405">
        <v>0</v>
      </c>
      <c r="AK405">
        <v>0</v>
      </c>
      <c r="AL405" s="24">
        <v>98783.25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 s="24">
        <v>98783.25</v>
      </c>
      <c r="AV405">
        <v>0</v>
      </c>
      <c r="AW405">
        <v>0</v>
      </c>
      <c r="AX405">
        <v>311000</v>
      </c>
      <c r="AY405" t="s">
        <v>161</v>
      </c>
      <c r="AZ405">
        <v>49.75</v>
      </c>
      <c r="BA405">
        <v>49.75</v>
      </c>
      <c r="BB405">
        <v>0</v>
      </c>
      <c r="BC405" t="s">
        <v>171</v>
      </c>
      <c r="BD405">
        <v>1509</v>
      </c>
      <c r="BE405" t="s">
        <v>169</v>
      </c>
      <c r="BF405">
        <v>5094070237</v>
      </c>
      <c r="BG405" t="s">
        <v>337</v>
      </c>
    </row>
    <row r="406" spans="1:59">
      <c r="A406">
        <v>1115</v>
      </c>
      <c r="B406">
        <v>1115</v>
      </c>
      <c r="C406">
        <v>10</v>
      </c>
      <c r="D406">
        <v>2</v>
      </c>
      <c r="E406" t="s">
        <v>152</v>
      </c>
      <c r="F406" t="s">
        <v>153</v>
      </c>
      <c r="G406" t="s">
        <v>154</v>
      </c>
      <c r="H406">
        <v>1526005476</v>
      </c>
      <c r="I406">
        <v>1000005709</v>
      </c>
      <c r="L406" t="s">
        <v>338</v>
      </c>
      <c r="M406">
        <v>5100001636</v>
      </c>
      <c r="N406" t="s">
        <v>155</v>
      </c>
      <c r="O406" t="s">
        <v>156</v>
      </c>
      <c r="P406">
        <v>4110026445</v>
      </c>
      <c r="Q406" t="s">
        <v>170</v>
      </c>
      <c r="R406">
        <v>5000</v>
      </c>
      <c r="S406" t="s">
        <v>166</v>
      </c>
      <c r="V406" t="s">
        <v>167</v>
      </c>
      <c r="W406">
        <v>1502020104</v>
      </c>
      <c r="X406" t="s">
        <v>26</v>
      </c>
      <c r="Y406" t="str">
        <f>VLOOKUP(W406,Sheet4!$A$5:$B$71,2,0)</f>
        <v>RE STYLING</v>
      </c>
      <c r="Z406">
        <v>87082900</v>
      </c>
      <c r="AA406">
        <v>15</v>
      </c>
      <c r="AB406" t="s">
        <v>159</v>
      </c>
      <c r="AC406" s="24">
        <v>6585.55</v>
      </c>
      <c r="AD406" t="s">
        <v>160</v>
      </c>
      <c r="AE406" s="24">
        <v>98783.25</v>
      </c>
      <c r="AF406">
        <v>0</v>
      </c>
      <c r="AG406" s="24">
        <v>98783.25</v>
      </c>
      <c r="AH406">
        <v>0</v>
      </c>
      <c r="AI406">
        <v>0</v>
      </c>
      <c r="AJ406">
        <v>0</v>
      </c>
      <c r="AK406">
        <v>0</v>
      </c>
      <c r="AL406" s="24">
        <v>98783.25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 s="24">
        <v>98783.25</v>
      </c>
      <c r="AV406">
        <v>0</v>
      </c>
      <c r="AW406">
        <v>0</v>
      </c>
      <c r="AX406">
        <v>311000</v>
      </c>
      <c r="AY406" t="s">
        <v>161</v>
      </c>
      <c r="AZ406">
        <v>49.75</v>
      </c>
      <c r="BA406">
        <v>49.75</v>
      </c>
      <c r="BB406">
        <v>0</v>
      </c>
      <c r="BC406" t="s">
        <v>171</v>
      </c>
      <c r="BD406">
        <v>1509</v>
      </c>
      <c r="BE406" t="s">
        <v>169</v>
      </c>
      <c r="BF406">
        <v>5094068626</v>
      </c>
      <c r="BG406" t="s">
        <v>336</v>
      </c>
    </row>
    <row r="407" spans="1:59">
      <c r="A407">
        <v>1115</v>
      </c>
      <c r="B407">
        <v>1115</v>
      </c>
      <c r="C407">
        <v>10</v>
      </c>
      <c r="D407">
        <v>2</v>
      </c>
      <c r="E407" t="s">
        <v>152</v>
      </c>
      <c r="F407" t="s">
        <v>153</v>
      </c>
      <c r="G407" t="s">
        <v>154</v>
      </c>
      <c r="H407">
        <v>1526005475</v>
      </c>
      <c r="I407">
        <v>1000005708</v>
      </c>
      <c r="L407" t="s">
        <v>338</v>
      </c>
      <c r="M407">
        <v>5100001899</v>
      </c>
      <c r="N407" t="s">
        <v>155</v>
      </c>
      <c r="O407" t="s">
        <v>156</v>
      </c>
      <c r="P407">
        <v>4110041854</v>
      </c>
      <c r="Q407" t="s">
        <v>172</v>
      </c>
      <c r="R407">
        <v>5000</v>
      </c>
      <c r="S407" t="s">
        <v>166</v>
      </c>
      <c r="V407" t="s">
        <v>167</v>
      </c>
      <c r="W407">
        <v>1502040267</v>
      </c>
      <c r="X407" t="s">
        <v>63</v>
      </c>
      <c r="Y407" t="str">
        <f>VLOOKUP(W407,Sheet4!$A$5:$B$71,2,0)</f>
        <v>DASH BOARD</v>
      </c>
      <c r="Z407">
        <v>87082900</v>
      </c>
      <c r="AA407">
        <v>416</v>
      </c>
      <c r="AB407" t="s">
        <v>159</v>
      </c>
      <c r="AC407">
        <v>290.89999999999998</v>
      </c>
      <c r="AD407" t="s">
        <v>160</v>
      </c>
      <c r="AE407" s="24">
        <v>121014.39999999999</v>
      </c>
      <c r="AF407">
        <v>0</v>
      </c>
      <c r="AG407" s="24">
        <v>121014.39999999999</v>
      </c>
      <c r="AH407">
        <v>0</v>
      </c>
      <c r="AI407">
        <v>0</v>
      </c>
      <c r="AJ407">
        <v>0</v>
      </c>
      <c r="AK407">
        <v>0</v>
      </c>
      <c r="AL407" s="24">
        <v>121014.39999999999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 s="24">
        <v>121014.39999999999</v>
      </c>
      <c r="AV407">
        <v>0</v>
      </c>
      <c r="AW407">
        <v>0</v>
      </c>
      <c r="AX407">
        <v>311000</v>
      </c>
      <c r="AY407" t="s">
        <v>161</v>
      </c>
      <c r="AZ407">
        <v>4.5</v>
      </c>
      <c r="BA407">
        <v>4.5</v>
      </c>
      <c r="BB407">
        <v>0</v>
      </c>
      <c r="BC407" t="s">
        <v>173</v>
      </c>
      <c r="BD407">
        <v>1511</v>
      </c>
      <c r="BE407" t="s">
        <v>174</v>
      </c>
      <c r="BF407">
        <v>5094070736</v>
      </c>
      <c r="BG407" t="s">
        <v>337</v>
      </c>
    </row>
    <row r="408" spans="1:59">
      <c r="A408">
        <v>1115</v>
      </c>
      <c r="B408">
        <v>1115</v>
      </c>
      <c r="C408">
        <v>10</v>
      </c>
      <c r="D408">
        <v>2</v>
      </c>
      <c r="E408" t="s">
        <v>152</v>
      </c>
      <c r="F408" t="s">
        <v>153</v>
      </c>
      <c r="G408" t="s">
        <v>154</v>
      </c>
      <c r="H408">
        <v>1526005474</v>
      </c>
      <c r="I408">
        <v>1000005707</v>
      </c>
      <c r="L408" t="s">
        <v>338</v>
      </c>
      <c r="M408">
        <v>5100001928</v>
      </c>
      <c r="N408" t="s">
        <v>155</v>
      </c>
      <c r="O408" t="s">
        <v>156</v>
      </c>
      <c r="P408">
        <v>4110057393</v>
      </c>
      <c r="Q408" t="s">
        <v>192</v>
      </c>
      <c r="R408">
        <v>5000</v>
      </c>
      <c r="S408" t="s">
        <v>166</v>
      </c>
      <c r="V408" t="s">
        <v>167</v>
      </c>
      <c r="W408">
        <v>1502020122</v>
      </c>
      <c r="X408" t="s">
        <v>70</v>
      </c>
      <c r="Y408" t="str">
        <f>VLOOKUP(W408,Sheet4!$A$5:$B$71,2,0)</f>
        <v>MAX UG NEW EV</v>
      </c>
      <c r="Z408">
        <v>87082900</v>
      </c>
      <c r="AA408">
        <v>10</v>
      </c>
      <c r="AB408" t="s">
        <v>159</v>
      </c>
      <c r="AC408" s="24">
        <v>9566.51</v>
      </c>
      <c r="AD408" t="s">
        <v>160</v>
      </c>
      <c r="AE408" s="24">
        <v>95665.1</v>
      </c>
      <c r="AF408">
        <v>0</v>
      </c>
      <c r="AG408" s="24">
        <v>95665.1</v>
      </c>
      <c r="AH408">
        <v>0</v>
      </c>
      <c r="AI408">
        <v>0</v>
      </c>
      <c r="AJ408">
        <v>0</v>
      </c>
      <c r="AK408">
        <v>0</v>
      </c>
      <c r="AL408" s="24">
        <v>95665.1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 s="24">
        <v>95665.1</v>
      </c>
      <c r="AV408">
        <v>0</v>
      </c>
      <c r="AW408">
        <v>0</v>
      </c>
      <c r="AX408">
        <v>311000</v>
      </c>
      <c r="AY408" t="s">
        <v>161</v>
      </c>
      <c r="AZ408">
        <v>0</v>
      </c>
      <c r="BA408">
        <v>61</v>
      </c>
      <c r="BB408">
        <v>-61</v>
      </c>
      <c r="BC408" t="s">
        <v>193</v>
      </c>
      <c r="BD408">
        <v>1509</v>
      </c>
      <c r="BE408" t="s">
        <v>169</v>
      </c>
      <c r="BF408">
        <v>5094051231</v>
      </c>
      <c r="BG408" t="s">
        <v>336</v>
      </c>
    </row>
    <row r="409" spans="1:59">
      <c r="A409">
        <v>1115</v>
      </c>
      <c r="B409">
        <v>1115</v>
      </c>
      <c r="C409">
        <v>10</v>
      </c>
      <c r="D409">
        <v>2</v>
      </c>
      <c r="E409" t="s">
        <v>152</v>
      </c>
      <c r="F409" t="s">
        <v>153</v>
      </c>
      <c r="G409" t="s">
        <v>154</v>
      </c>
      <c r="H409">
        <v>1526005473</v>
      </c>
      <c r="I409">
        <v>1000005706</v>
      </c>
      <c r="L409" t="s">
        <v>338</v>
      </c>
      <c r="M409">
        <v>5100001928</v>
      </c>
      <c r="N409" t="s">
        <v>155</v>
      </c>
      <c r="O409" t="s">
        <v>156</v>
      </c>
      <c r="P409">
        <v>4110057393</v>
      </c>
      <c r="Q409" t="s">
        <v>192</v>
      </c>
      <c r="R409">
        <v>5000</v>
      </c>
      <c r="S409" t="s">
        <v>166</v>
      </c>
      <c r="V409" t="s">
        <v>167</v>
      </c>
      <c r="W409">
        <v>1502020122</v>
      </c>
      <c r="X409" t="s">
        <v>70</v>
      </c>
      <c r="Y409" t="str">
        <f>VLOOKUP(W409,Sheet4!$A$5:$B$71,2,0)</f>
        <v>MAX UG NEW EV</v>
      </c>
      <c r="Z409">
        <v>87082900</v>
      </c>
      <c r="AA409">
        <v>10</v>
      </c>
      <c r="AB409" t="s">
        <v>159</v>
      </c>
      <c r="AC409" s="24">
        <v>9566.51</v>
      </c>
      <c r="AD409" t="s">
        <v>160</v>
      </c>
      <c r="AE409" s="24">
        <v>95665.1</v>
      </c>
      <c r="AF409">
        <v>0</v>
      </c>
      <c r="AG409" s="24">
        <v>95665.1</v>
      </c>
      <c r="AH409">
        <v>0</v>
      </c>
      <c r="AI409">
        <v>0</v>
      </c>
      <c r="AJ409">
        <v>0</v>
      </c>
      <c r="AK409">
        <v>0</v>
      </c>
      <c r="AL409" s="24">
        <v>95665.1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 s="24">
        <v>95665.1</v>
      </c>
      <c r="AV409">
        <v>0</v>
      </c>
      <c r="AW409">
        <v>0</v>
      </c>
      <c r="AX409">
        <v>311000</v>
      </c>
      <c r="AY409" t="s">
        <v>161</v>
      </c>
      <c r="AZ409">
        <v>0</v>
      </c>
      <c r="BA409">
        <v>61</v>
      </c>
      <c r="BB409">
        <v>-61</v>
      </c>
      <c r="BC409" t="s">
        <v>193</v>
      </c>
      <c r="BD409">
        <v>1509</v>
      </c>
      <c r="BE409" t="s">
        <v>169</v>
      </c>
      <c r="BF409">
        <v>5094051229</v>
      </c>
      <c r="BG409" t="s">
        <v>336</v>
      </c>
    </row>
    <row r="410" spans="1:59">
      <c r="A410">
        <v>1115</v>
      </c>
      <c r="B410">
        <v>1115</v>
      </c>
      <c r="C410">
        <v>10</v>
      </c>
      <c r="D410">
        <v>2</v>
      </c>
      <c r="E410" t="s">
        <v>152</v>
      </c>
      <c r="F410" t="s">
        <v>153</v>
      </c>
      <c r="G410" t="s">
        <v>154</v>
      </c>
      <c r="H410">
        <v>1526005472</v>
      </c>
      <c r="I410">
        <v>1000005705</v>
      </c>
      <c r="L410" t="s">
        <v>338</v>
      </c>
      <c r="M410">
        <v>5100001928</v>
      </c>
      <c r="N410" t="s">
        <v>155</v>
      </c>
      <c r="O410" t="s">
        <v>156</v>
      </c>
      <c r="P410">
        <v>4110057393</v>
      </c>
      <c r="Q410" t="s">
        <v>192</v>
      </c>
      <c r="R410">
        <v>5000</v>
      </c>
      <c r="S410" t="s">
        <v>166</v>
      </c>
      <c r="V410" t="s">
        <v>167</v>
      </c>
      <c r="W410">
        <v>1502020122</v>
      </c>
      <c r="X410" t="s">
        <v>70</v>
      </c>
      <c r="Y410" t="str">
        <f>VLOOKUP(W410,Sheet4!$A$5:$B$71,2,0)</f>
        <v>MAX UG NEW EV</v>
      </c>
      <c r="Z410">
        <v>87082900</v>
      </c>
      <c r="AA410">
        <v>10</v>
      </c>
      <c r="AB410" t="s">
        <v>159</v>
      </c>
      <c r="AC410" s="24">
        <v>9566.51</v>
      </c>
      <c r="AD410" t="s">
        <v>160</v>
      </c>
      <c r="AE410" s="24">
        <v>95665.1</v>
      </c>
      <c r="AF410">
        <v>0</v>
      </c>
      <c r="AG410" s="24">
        <v>95665.1</v>
      </c>
      <c r="AH410">
        <v>0</v>
      </c>
      <c r="AI410">
        <v>0</v>
      </c>
      <c r="AJ410">
        <v>0</v>
      </c>
      <c r="AK410">
        <v>0</v>
      </c>
      <c r="AL410" s="24">
        <v>95665.1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 s="24">
        <v>95665.1</v>
      </c>
      <c r="AV410">
        <v>0</v>
      </c>
      <c r="AW410">
        <v>0</v>
      </c>
      <c r="AX410">
        <v>311000</v>
      </c>
      <c r="AY410" t="s">
        <v>161</v>
      </c>
      <c r="AZ410">
        <v>0</v>
      </c>
      <c r="BA410">
        <v>61</v>
      </c>
      <c r="BB410">
        <v>-61</v>
      </c>
      <c r="BC410" t="s">
        <v>193</v>
      </c>
      <c r="BD410">
        <v>1509</v>
      </c>
      <c r="BE410" t="s">
        <v>169</v>
      </c>
      <c r="BF410">
        <v>5094050843</v>
      </c>
      <c r="BG410" t="s">
        <v>336</v>
      </c>
    </row>
    <row r="411" spans="1:59">
      <c r="A411">
        <v>1115</v>
      </c>
      <c r="B411">
        <v>1115</v>
      </c>
      <c r="C411">
        <v>10</v>
      </c>
      <c r="D411">
        <v>2</v>
      </c>
      <c r="E411" t="s">
        <v>152</v>
      </c>
      <c r="F411" t="s">
        <v>153</v>
      </c>
      <c r="G411" t="s">
        <v>154</v>
      </c>
      <c r="H411">
        <v>1526005471</v>
      </c>
      <c r="I411">
        <v>1000005704</v>
      </c>
      <c r="L411" t="s">
        <v>338</v>
      </c>
      <c r="M411">
        <v>5100001928</v>
      </c>
      <c r="N411" t="s">
        <v>155</v>
      </c>
      <c r="O411" t="s">
        <v>156</v>
      </c>
      <c r="P411">
        <v>4110057393</v>
      </c>
      <c r="Q411" t="s">
        <v>192</v>
      </c>
      <c r="R411">
        <v>5000</v>
      </c>
      <c r="S411" t="s">
        <v>166</v>
      </c>
      <c r="V411" t="s">
        <v>167</v>
      </c>
      <c r="W411">
        <v>1502020122</v>
      </c>
      <c r="X411" t="s">
        <v>70</v>
      </c>
      <c r="Y411" t="str">
        <f>VLOOKUP(W411,Sheet4!$A$5:$B$71,2,0)</f>
        <v>MAX UG NEW EV</v>
      </c>
      <c r="Z411">
        <v>87082900</v>
      </c>
      <c r="AA411">
        <v>10</v>
      </c>
      <c r="AB411" t="s">
        <v>159</v>
      </c>
      <c r="AC411" s="24">
        <v>9566.51</v>
      </c>
      <c r="AD411" t="s">
        <v>160</v>
      </c>
      <c r="AE411" s="24">
        <v>95665.1</v>
      </c>
      <c r="AF411">
        <v>0</v>
      </c>
      <c r="AG411" s="24">
        <v>95665.1</v>
      </c>
      <c r="AH411">
        <v>0</v>
      </c>
      <c r="AI411">
        <v>0</v>
      </c>
      <c r="AJ411">
        <v>0</v>
      </c>
      <c r="AK411">
        <v>0</v>
      </c>
      <c r="AL411" s="24">
        <v>95665.1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 s="24">
        <v>95665.1</v>
      </c>
      <c r="AV411">
        <v>0</v>
      </c>
      <c r="AW411">
        <v>0</v>
      </c>
      <c r="AX411">
        <v>311000</v>
      </c>
      <c r="AY411" t="s">
        <v>161</v>
      </c>
      <c r="AZ411">
        <v>0</v>
      </c>
      <c r="BA411">
        <v>61</v>
      </c>
      <c r="BB411">
        <v>-61</v>
      </c>
      <c r="BC411" t="s">
        <v>193</v>
      </c>
      <c r="BD411">
        <v>1509</v>
      </c>
      <c r="BE411" t="s">
        <v>169</v>
      </c>
      <c r="BF411">
        <v>5094054916</v>
      </c>
      <c r="BG411" t="s">
        <v>336</v>
      </c>
    </row>
    <row r="412" spans="1:59">
      <c r="A412">
        <v>1115</v>
      </c>
      <c r="B412">
        <v>1115</v>
      </c>
      <c r="C412">
        <v>10</v>
      </c>
      <c r="D412">
        <v>2</v>
      </c>
      <c r="E412" t="s">
        <v>152</v>
      </c>
      <c r="F412" t="s">
        <v>153</v>
      </c>
      <c r="G412" t="s">
        <v>154</v>
      </c>
      <c r="H412">
        <v>1526005470</v>
      </c>
      <c r="I412">
        <v>1000005703</v>
      </c>
      <c r="L412" t="s">
        <v>338</v>
      </c>
      <c r="M412">
        <v>5100001928</v>
      </c>
      <c r="N412" t="s">
        <v>155</v>
      </c>
      <c r="O412" t="s">
        <v>156</v>
      </c>
      <c r="P412">
        <v>4110057393</v>
      </c>
      <c r="Q412" t="s">
        <v>192</v>
      </c>
      <c r="R412">
        <v>5000</v>
      </c>
      <c r="S412" t="s">
        <v>166</v>
      </c>
      <c r="V412" t="s">
        <v>167</v>
      </c>
      <c r="W412">
        <v>1502020122</v>
      </c>
      <c r="X412" t="s">
        <v>70</v>
      </c>
      <c r="Y412" t="str">
        <f>VLOOKUP(W412,Sheet4!$A$5:$B$71,2,0)</f>
        <v>MAX UG NEW EV</v>
      </c>
      <c r="Z412">
        <v>87082900</v>
      </c>
      <c r="AA412">
        <v>10</v>
      </c>
      <c r="AB412" t="s">
        <v>159</v>
      </c>
      <c r="AC412" s="24">
        <v>9566.51</v>
      </c>
      <c r="AD412" t="s">
        <v>160</v>
      </c>
      <c r="AE412" s="24">
        <v>95665.1</v>
      </c>
      <c r="AF412">
        <v>0</v>
      </c>
      <c r="AG412" s="24">
        <v>95665.1</v>
      </c>
      <c r="AH412">
        <v>0</v>
      </c>
      <c r="AI412">
        <v>0</v>
      </c>
      <c r="AJ412">
        <v>0</v>
      </c>
      <c r="AK412">
        <v>0</v>
      </c>
      <c r="AL412" s="24">
        <v>95665.1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 s="24">
        <v>95665.1</v>
      </c>
      <c r="AV412">
        <v>0</v>
      </c>
      <c r="AW412">
        <v>0</v>
      </c>
      <c r="AX412">
        <v>311000</v>
      </c>
      <c r="AY412" t="s">
        <v>161</v>
      </c>
      <c r="AZ412">
        <v>0</v>
      </c>
      <c r="BA412">
        <v>61</v>
      </c>
      <c r="BB412">
        <v>-61</v>
      </c>
      <c r="BC412" t="s">
        <v>193</v>
      </c>
      <c r="BD412">
        <v>1509</v>
      </c>
      <c r="BE412" t="s">
        <v>169</v>
      </c>
      <c r="BF412">
        <v>5094053644</v>
      </c>
      <c r="BG412" t="s">
        <v>336</v>
      </c>
    </row>
    <row r="413" spans="1:59">
      <c r="A413">
        <v>1115</v>
      </c>
      <c r="B413">
        <v>1115</v>
      </c>
      <c r="C413">
        <v>10</v>
      </c>
      <c r="D413">
        <v>2</v>
      </c>
      <c r="E413" t="s">
        <v>152</v>
      </c>
      <c r="F413" t="s">
        <v>153</v>
      </c>
      <c r="G413" t="s">
        <v>154</v>
      </c>
      <c r="H413">
        <v>1526005469</v>
      </c>
      <c r="I413">
        <v>1000005702</v>
      </c>
      <c r="L413" t="s">
        <v>338</v>
      </c>
      <c r="M413">
        <v>5100001928</v>
      </c>
      <c r="N413" t="s">
        <v>155</v>
      </c>
      <c r="O413" t="s">
        <v>156</v>
      </c>
      <c r="P413">
        <v>4110057393</v>
      </c>
      <c r="Q413" t="s">
        <v>192</v>
      </c>
      <c r="R413">
        <v>5000</v>
      </c>
      <c r="S413" t="s">
        <v>166</v>
      </c>
      <c r="V413" t="s">
        <v>167</v>
      </c>
      <c r="W413">
        <v>1502020122</v>
      </c>
      <c r="X413" t="s">
        <v>70</v>
      </c>
      <c r="Y413" t="str">
        <f>VLOOKUP(W413,Sheet4!$A$5:$B$71,2,0)</f>
        <v>MAX UG NEW EV</v>
      </c>
      <c r="Z413">
        <v>87082900</v>
      </c>
      <c r="AA413">
        <v>10</v>
      </c>
      <c r="AB413" t="s">
        <v>159</v>
      </c>
      <c r="AC413" s="24">
        <v>9566.51</v>
      </c>
      <c r="AD413" t="s">
        <v>160</v>
      </c>
      <c r="AE413" s="24">
        <v>95665.1</v>
      </c>
      <c r="AF413">
        <v>0</v>
      </c>
      <c r="AG413" s="24">
        <v>95665.1</v>
      </c>
      <c r="AH413">
        <v>0</v>
      </c>
      <c r="AI413">
        <v>0</v>
      </c>
      <c r="AJ413">
        <v>0</v>
      </c>
      <c r="AK413">
        <v>0</v>
      </c>
      <c r="AL413" s="24">
        <v>95665.1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s="24">
        <v>95665.1</v>
      </c>
      <c r="AV413">
        <v>0</v>
      </c>
      <c r="AW413">
        <v>0</v>
      </c>
      <c r="AX413">
        <v>311000</v>
      </c>
      <c r="AY413" t="s">
        <v>161</v>
      </c>
      <c r="AZ413">
        <v>0</v>
      </c>
      <c r="BA413">
        <v>61</v>
      </c>
      <c r="BB413">
        <v>-61</v>
      </c>
      <c r="BC413" t="s">
        <v>193</v>
      </c>
      <c r="BD413">
        <v>1509</v>
      </c>
      <c r="BE413" t="s">
        <v>169</v>
      </c>
      <c r="BF413">
        <v>5094053679</v>
      </c>
      <c r="BG413" t="s">
        <v>336</v>
      </c>
    </row>
    <row r="414" spans="1:59">
      <c r="A414">
        <v>1115</v>
      </c>
      <c r="B414">
        <v>1115</v>
      </c>
      <c r="C414">
        <v>10</v>
      </c>
      <c r="D414">
        <v>2</v>
      </c>
      <c r="E414" t="s">
        <v>152</v>
      </c>
      <c r="F414" t="s">
        <v>153</v>
      </c>
      <c r="G414" t="s">
        <v>154</v>
      </c>
      <c r="H414">
        <v>1526005468</v>
      </c>
      <c r="I414">
        <v>1000005701</v>
      </c>
      <c r="L414" t="s">
        <v>338</v>
      </c>
      <c r="M414">
        <v>5100001928</v>
      </c>
      <c r="N414" t="s">
        <v>155</v>
      </c>
      <c r="O414" t="s">
        <v>156</v>
      </c>
      <c r="P414">
        <v>4110057393</v>
      </c>
      <c r="Q414" t="s">
        <v>192</v>
      </c>
      <c r="R414">
        <v>5000</v>
      </c>
      <c r="S414" t="s">
        <v>166</v>
      </c>
      <c r="V414" t="s">
        <v>167</v>
      </c>
      <c r="W414">
        <v>1502020122</v>
      </c>
      <c r="X414" t="s">
        <v>70</v>
      </c>
      <c r="Y414" t="str">
        <f>VLOOKUP(W414,Sheet4!$A$5:$B$71,2,0)</f>
        <v>MAX UG NEW EV</v>
      </c>
      <c r="Z414">
        <v>87082900</v>
      </c>
      <c r="AA414">
        <v>10</v>
      </c>
      <c r="AB414" t="s">
        <v>159</v>
      </c>
      <c r="AC414" s="24">
        <v>9566.51</v>
      </c>
      <c r="AD414" t="s">
        <v>160</v>
      </c>
      <c r="AE414" s="24">
        <v>95665.1</v>
      </c>
      <c r="AF414">
        <v>0</v>
      </c>
      <c r="AG414" s="24">
        <v>95665.1</v>
      </c>
      <c r="AH414">
        <v>0</v>
      </c>
      <c r="AI414">
        <v>0</v>
      </c>
      <c r="AJ414">
        <v>0</v>
      </c>
      <c r="AK414">
        <v>0</v>
      </c>
      <c r="AL414" s="24">
        <v>95665.1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 s="24">
        <v>95665.1</v>
      </c>
      <c r="AV414">
        <v>0</v>
      </c>
      <c r="AW414">
        <v>0</v>
      </c>
      <c r="AX414">
        <v>311000</v>
      </c>
      <c r="AY414" t="s">
        <v>161</v>
      </c>
      <c r="AZ414">
        <v>0</v>
      </c>
      <c r="BA414">
        <v>61</v>
      </c>
      <c r="BB414">
        <v>-61</v>
      </c>
      <c r="BC414" t="s">
        <v>193</v>
      </c>
      <c r="BD414">
        <v>1509</v>
      </c>
      <c r="BE414" t="s">
        <v>169</v>
      </c>
      <c r="BF414">
        <v>5094054912</v>
      </c>
      <c r="BG414" t="s">
        <v>336</v>
      </c>
    </row>
    <row r="415" spans="1:59">
      <c r="A415">
        <v>1115</v>
      </c>
      <c r="B415">
        <v>1115</v>
      </c>
      <c r="C415">
        <v>10</v>
      </c>
      <c r="D415">
        <v>2</v>
      </c>
      <c r="E415" t="s">
        <v>152</v>
      </c>
      <c r="F415" t="s">
        <v>153</v>
      </c>
      <c r="G415" t="s">
        <v>154</v>
      </c>
      <c r="H415">
        <v>1526005467</v>
      </c>
      <c r="I415">
        <v>1000005700</v>
      </c>
      <c r="L415" t="s">
        <v>338</v>
      </c>
      <c r="M415">
        <v>5100001928</v>
      </c>
      <c r="N415" t="s">
        <v>155</v>
      </c>
      <c r="O415" t="s">
        <v>156</v>
      </c>
      <c r="P415">
        <v>4110057393</v>
      </c>
      <c r="Q415" t="s">
        <v>192</v>
      </c>
      <c r="R415">
        <v>5000</v>
      </c>
      <c r="S415" t="s">
        <v>166</v>
      </c>
      <c r="V415" t="s">
        <v>167</v>
      </c>
      <c r="W415">
        <v>1502020122</v>
      </c>
      <c r="X415" t="s">
        <v>70</v>
      </c>
      <c r="Y415" t="str">
        <f>VLOOKUP(W415,Sheet4!$A$5:$B$71,2,0)</f>
        <v>MAX UG NEW EV</v>
      </c>
      <c r="Z415">
        <v>87082900</v>
      </c>
      <c r="AA415">
        <v>10</v>
      </c>
      <c r="AB415" t="s">
        <v>159</v>
      </c>
      <c r="AC415" s="24">
        <v>9566.51</v>
      </c>
      <c r="AD415" t="s">
        <v>160</v>
      </c>
      <c r="AE415" s="24">
        <v>95665.1</v>
      </c>
      <c r="AF415">
        <v>0</v>
      </c>
      <c r="AG415" s="24">
        <v>95665.1</v>
      </c>
      <c r="AH415">
        <v>0</v>
      </c>
      <c r="AI415">
        <v>0</v>
      </c>
      <c r="AJ415">
        <v>0</v>
      </c>
      <c r="AK415">
        <v>0</v>
      </c>
      <c r="AL415" s="24">
        <v>95665.1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s="24">
        <v>95665.1</v>
      </c>
      <c r="AV415">
        <v>0</v>
      </c>
      <c r="AW415">
        <v>0</v>
      </c>
      <c r="AX415">
        <v>311000</v>
      </c>
      <c r="AY415" t="s">
        <v>161</v>
      </c>
      <c r="AZ415">
        <v>0</v>
      </c>
      <c r="BA415">
        <v>61</v>
      </c>
      <c r="BB415">
        <v>-61</v>
      </c>
      <c r="BC415" t="s">
        <v>193</v>
      </c>
      <c r="BD415">
        <v>1509</v>
      </c>
      <c r="BE415" t="s">
        <v>169</v>
      </c>
      <c r="BF415">
        <v>5094053666</v>
      </c>
      <c r="BG415" t="s">
        <v>336</v>
      </c>
    </row>
    <row r="416" spans="1:59">
      <c r="A416">
        <v>1115</v>
      </c>
      <c r="B416">
        <v>1115</v>
      </c>
      <c r="C416">
        <v>10</v>
      </c>
      <c r="D416">
        <v>2</v>
      </c>
      <c r="E416" t="s">
        <v>152</v>
      </c>
      <c r="F416" t="s">
        <v>153</v>
      </c>
      <c r="G416" t="s">
        <v>154</v>
      </c>
      <c r="H416">
        <v>1526005466</v>
      </c>
      <c r="I416">
        <v>1000005699</v>
      </c>
      <c r="L416" t="s">
        <v>338</v>
      </c>
      <c r="M416">
        <v>5100001928</v>
      </c>
      <c r="N416" t="s">
        <v>155</v>
      </c>
      <c r="O416" t="s">
        <v>156</v>
      </c>
      <c r="P416">
        <v>4110057393</v>
      </c>
      <c r="Q416" t="s">
        <v>192</v>
      </c>
      <c r="R416">
        <v>5000</v>
      </c>
      <c r="S416" t="s">
        <v>166</v>
      </c>
      <c r="V416" t="s">
        <v>167</v>
      </c>
      <c r="W416">
        <v>1502020122</v>
      </c>
      <c r="X416" t="s">
        <v>70</v>
      </c>
      <c r="Y416" t="str">
        <f>VLOOKUP(W416,Sheet4!$A$5:$B$71,2,0)</f>
        <v>MAX UG NEW EV</v>
      </c>
      <c r="Z416">
        <v>87082900</v>
      </c>
      <c r="AA416">
        <v>10</v>
      </c>
      <c r="AB416" t="s">
        <v>159</v>
      </c>
      <c r="AC416" s="24">
        <v>9566.51</v>
      </c>
      <c r="AD416" t="s">
        <v>160</v>
      </c>
      <c r="AE416" s="24">
        <v>95665.1</v>
      </c>
      <c r="AF416">
        <v>0</v>
      </c>
      <c r="AG416" s="24">
        <v>95665.1</v>
      </c>
      <c r="AH416">
        <v>0</v>
      </c>
      <c r="AI416">
        <v>0</v>
      </c>
      <c r="AJ416">
        <v>0</v>
      </c>
      <c r="AK416">
        <v>0</v>
      </c>
      <c r="AL416" s="24">
        <v>95665.1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s="24">
        <v>95665.1</v>
      </c>
      <c r="AV416">
        <v>0</v>
      </c>
      <c r="AW416">
        <v>0</v>
      </c>
      <c r="AX416">
        <v>311000</v>
      </c>
      <c r="AY416" t="s">
        <v>161</v>
      </c>
      <c r="AZ416">
        <v>0</v>
      </c>
      <c r="BA416">
        <v>61</v>
      </c>
      <c r="BB416">
        <v>-61</v>
      </c>
      <c r="BC416" t="s">
        <v>193</v>
      </c>
      <c r="BD416">
        <v>1509</v>
      </c>
      <c r="BE416" t="s">
        <v>169</v>
      </c>
      <c r="BF416">
        <v>5094054880</v>
      </c>
      <c r="BG416" t="s">
        <v>336</v>
      </c>
    </row>
    <row r="417" spans="1:59">
      <c r="A417">
        <v>1115</v>
      </c>
      <c r="B417">
        <v>1115</v>
      </c>
      <c r="C417">
        <v>10</v>
      </c>
      <c r="D417">
        <v>2</v>
      </c>
      <c r="E417" t="s">
        <v>152</v>
      </c>
      <c r="F417" t="s">
        <v>153</v>
      </c>
      <c r="G417" t="s">
        <v>154</v>
      </c>
      <c r="H417">
        <v>1526005465</v>
      </c>
      <c r="I417">
        <v>1000005698</v>
      </c>
      <c r="L417" t="s">
        <v>338</v>
      </c>
      <c r="M417">
        <v>5100001928</v>
      </c>
      <c r="N417" t="s">
        <v>155</v>
      </c>
      <c r="O417" t="s">
        <v>156</v>
      </c>
      <c r="P417">
        <v>4110057393</v>
      </c>
      <c r="Q417" t="s">
        <v>192</v>
      </c>
      <c r="R417">
        <v>5000</v>
      </c>
      <c r="S417" t="s">
        <v>166</v>
      </c>
      <c r="V417" t="s">
        <v>167</v>
      </c>
      <c r="W417">
        <v>1502020122</v>
      </c>
      <c r="X417" t="s">
        <v>70</v>
      </c>
      <c r="Y417" t="str">
        <f>VLOOKUP(W417,Sheet4!$A$5:$B$71,2,0)</f>
        <v>MAX UG NEW EV</v>
      </c>
      <c r="Z417">
        <v>87082900</v>
      </c>
      <c r="AA417">
        <v>10</v>
      </c>
      <c r="AB417" t="s">
        <v>159</v>
      </c>
      <c r="AC417" s="24">
        <v>9566.51</v>
      </c>
      <c r="AD417" t="s">
        <v>160</v>
      </c>
      <c r="AE417" s="24">
        <v>95665.1</v>
      </c>
      <c r="AF417">
        <v>0</v>
      </c>
      <c r="AG417" s="24">
        <v>95665.1</v>
      </c>
      <c r="AH417">
        <v>0</v>
      </c>
      <c r="AI417">
        <v>0</v>
      </c>
      <c r="AJ417">
        <v>0</v>
      </c>
      <c r="AK417">
        <v>0</v>
      </c>
      <c r="AL417" s="24">
        <v>95665.1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s="24">
        <v>95665.1</v>
      </c>
      <c r="AV417">
        <v>0</v>
      </c>
      <c r="AW417">
        <v>0</v>
      </c>
      <c r="AX417">
        <v>311000</v>
      </c>
      <c r="AY417" t="s">
        <v>161</v>
      </c>
      <c r="AZ417">
        <v>0</v>
      </c>
      <c r="BA417">
        <v>61</v>
      </c>
      <c r="BB417">
        <v>-61</v>
      </c>
      <c r="BC417" t="s">
        <v>193</v>
      </c>
      <c r="BD417">
        <v>1509</v>
      </c>
      <c r="BE417" t="s">
        <v>169</v>
      </c>
      <c r="BF417">
        <v>5094054743</v>
      </c>
      <c r="BG417" t="s">
        <v>336</v>
      </c>
    </row>
    <row r="418" spans="1:59">
      <c r="A418">
        <v>1115</v>
      </c>
      <c r="B418">
        <v>1115</v>
      </c>
      <c r="C418">
        <v>10</v>
      </c>
      <c r="D418">
        <v>2</v>
      </c>
      <c r="E418" t="s">
        <v>152</v>
      </c>
      <c r="F418" t="s">
        <v>153</v>
      </c>
      <c r="G418" t="s">
        <v>154</v>
      </c>
      <c r="H418">
        <v>1526005464</v>
      </c>
      <c r="I418">
        <v>1000005697</v>
      </c>
      <c r="L418" t="s">
        <v>338</v>
      </c>
      <c r="M418">
        <v>5100001928</v>
      </c>
      <c r="N418" t="s">
        <v>155</v>
      </c>
      <c r="O418" t="s">
        <v>156</v>
      </c>
      <c r="P418">
        <v>4110057393</v>
      </c>
      <c r="Q418" t="s">
        <v>192</v>
      </c>
      <c r="R418">
        <v>5000</v>
      </c>
      <c r="S418" t="s">
        <v>166</v>
      </c>
      <c r="V418" t="s">
        <v>167</v>
      </c>
      <c r="W418">
        <v>1502020122</v>
      </c>
      <c r="X418" t="s">
        <v>70</v>
      </c>
      <c r="Y418" t="str">
        <f>VLOOKUP(W418,Sheet4!$A$5:$B$71,2,0)</f>
        <v>MAX UG NEW EV</v>
      </c>
      <c r="Z418">
        <v>87082900</v>
      </c>
      <c r="AA418">
        <v>10</v>
      </c>
      <c r="AB418" t="s">
        <v>159</v>
      </c>
      <c r="AC418" s="24">
        <v>9566.51</v>
      </c>
      <c r="AD418" t="s">
        <v>160</v>
      </c>
      <c r="AE418" s="24">
        <v>95665.1</v>
      </c>
      <c r="AF418">
        <v>0</v>
      </c>
      <c r="AG418" s="24">
        <v>95665.1</v>
      </c>
      <c r="AH418">
        <v>0</v>
      </c>
      <c r="AI418">
        <v>0</v>
      </c>
      <c r="AJ418">
        <v>0</v>
      </c>
      <c r="AK418">
        <v>0</v>
      </c>
      <c r="AL418" s="24">
        <v>95665.1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s="24">
        <v>95665.1</v>
      </c>
      <c r="AV418">
        <v>0</v>
      </c>
      <c r="AW418">
        <v>0</v>
      </c>
      <c r="AX418">
        <v>311000</v>
      </c>
      <c r="AY418" t="s">
        <v>161</v>
      </c>
      <c r="AZ418">
        <v>0</v>
      </c>
      <c r="BA418">
        <v>61</v>
      </c>
      <c r="BB418">
        <v>-61</v>
      </c>
      <c r="BC418" t="s">
        <v>193</v>
      </c>
      <c r="BD418">
        <v>1509</v>
      </c>
      <c r="BE418" t="s">
        <v>169</v>
      </c>
      <c r="BF418">
        <v>5094053670</v>
      </c>
      <c r="BG418" t="s">
        <v>336</v>
      </c>
    </row>
    <row r="419" spans="1:59">
      <c r="A419">
        <v>1115</v>
      </c>
      <c r="B419">
        <v>1115</v>
      </c>
      <c r="C419">
        <v>10</v>
      </c>
      <c r="D419">
        <v>2</v>
      </c>
      <c r="E419" t="s">
        <v>152</v>
      </c>
      <c r="F419" t="s">
        <v>153</v>
      </c>
      <c r="G419" t="s">
        <v>154</v>
      </c>
      <c r="H419">
        <v>1526005463</v>
      </c>
      <c r="I419">
        <v>1000005696</v>
      </c>
      <c r="L419" t="s">
        <v>338</v>
      </c>
      <c r="M419">
        <v>5100001928</v>
      </c>
      <c r="N419" t="s">
        <v>155</v>
      </c>
      <c r="O419" t="s">
        <v>156</v>
      </c>
      <c r="P419">
        <v>4110057393</v>
      </c>
      <c r="Q419" t="s">
        <v>192</v>
      </c>
      <c r="R419">
        <v>5000</v>
      </c>
      <c r="S419" t="s">
        <v>166</v>
      </c>
      <c r="V419" t="s">
        <v>167</v>
      </c>
      <c r="W419">
        <v>1502020122</v>
      </c>
      <c r="X419" t="s">
        <v>70</v>
      </c>
      <c r="Y419" t="str">
        <f>VLOOKUP(W419,Sheet4!$A$5:$B$71,2,0)</f>
        <v>MAX UG NEW EV</v>
      </c>
      <c r="Z419">
        <v>87082900</v>
      </c>
      <c r="AA419">
        <v>10</v>
      </c>
      <c r="AB419" t="s">
        <v>159</v>
      </c>
      <c r="AC419" s="24">
        <v>9566.51</v>
      </c>
      <c r="AD419" t="s">
        <v>160</v>
      </c>
      <c r="AE419" s="24">
        <v>95665.1</v>
      </c>
      <c r="AF419">
        <v>0</v>
      </c>
      <c r="AG419" s="24">
        <v>95665.1</v>
      </c>
      <c r="AH419">
        <v>0</v>
      </c>
      <c r="AI419">
        <v>0</v>
      </c>
      <c r="AJ419">
        <v>0</v>
      </c>
      <c r="AK419">
        <v>0</v>
      </c>
      <c r="AL419" s="24">
        <v>95665.1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s="24">
        <v>95665.1</v>
      </c>
      <c r="AV419">
        <v>0</v>
      </c>
      <c r="AW419">
        <v>0</v>
      </c>
      <c r="AX419">
        <v>311000</v>
      </c>
      <c r="AY419" t="s">
        <v>161</v>
      </c>
      <c r="AZ419">
        <v>0</v>
      </c>
      <c r="BA419">
        <v>61</v>
      </c>
      <c r="BB419">
        <v>-61</v>
      </c>
      <c r="BC419" t="s">
        <v>193</v>
      </c>
      <c r="BD419">
        <v>1509</v>
      </c>
      <c r="BE419" t="s">
        <v>169</v>
      </c>
      <c r="BF419">
        <v>5094054741</v>
      </c>
      <c r="BG419" t="s">
        <v>336</v>
      </c>
    </row>
    <row r="420" spans="1:59">
      <c r="A420">
        <v>1115</v>
      </c>
      <c r="B420">
        <v>1115</v>
      </c>
      <c r="C420">
        <v>10</v>
      </c>
      <c r="D420">
        <v>2</v>
      </c>
      <c r="E420" t="s">
        <v>152</v>
      </c>
      <c r="F420" t="s">
        <v>153</v>
      </c>
      <c r="G420" t="s">
        <v>154</v>
      </c>
      <c r="H420">
        <v>1526005462</v>
      </c>
      <c r="I420">
        <v>1000005695</v>
      </c>
      <c r="L420" t="s">
        <v>338</v>
      </c>
      <c r="M420">
        <v>5100001939</v>
      </c>
      <c r="N420" t="s">
        <v>155</v>
      </c>
      <c r="O420" t="s">
        <v>156</v>
      </c>
      <c r="P420">
        <v>4110059608</v>
      </c>
      <c r="Q420" t="s">
        <v>240</v>
      </c>
      <c r="R420">
        <v>5000</v>
      </c>
      <c r="S420" t="s">
        <v>166</v>
      </c>
      <c r="V420" t="s">
        <v>167</v>
      </c>
      <c r="W420">
        <v>1502020129</v>
      </c>
      <c r="X420" t="s">
        <v>241</v>
      </c>
      <c r="Y420" t="str">
        <f>VLOOKUP(W420,Sheet4!$A$5:$B$71,2,0)</f>
        <v>RE STYLING</v>
      </c>
      <c r="Z420">
        <v>87082900</v>
      </c>
      <c r="AA420">
        <v>9</v>
      </c>
      <c r="AB420" t="s">
        <v>159</v>
      </c>
      <c r="AC420" s="24">
        <v>6500.18</v>
      </c>
      <c r="AD420" t="s">
        <v>160</v>
      </c>
      <c r="AE420" s="24">
        <v>58501.62</v>
      </c>
      <c r="AF420">
        <v>0</v>
      </c>
      <c r="AG420" s="24">
        <v>58501.62</v>
      </c>
      <c r="AH420">
        <v>0</v>
      </c>
      <c r="AI420">
        <v>0</v>
      </c>
      <c r="AJ420">
        <v>0</v>
      </c>
      <c r="AK420">
        <v>0</v>
      </c>
      <c r="AL420" s="24">
        <v>58501.62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 s="24">
        <v>58501.62</v>
      </c>
      <c r="AV420">
        <v>0</v>
      </c>
      <c r="AW420">
        <v>0</v>
      </c>
      <c r="AX420">
        <v>311000</v>
      </c>
      <c r="AY420" t="s">
        <v>161</v>
      </c>
      <c r="AZ420">
        <v>0</v>
      </c>
      <c r="BA420">
        <v>0</v>
      </c>
      <c r="BB420">
        <v>0</v>
      </c>
      <c r="BC420" t="s">
        <v>242</v>
      </c>
      <c r="BD420">
        <v>1509</v>
      </c>
      <c r="BE420" t="s">
        <v>169</v>
      </c>
      <c r="BF420">
        <v>5094070265</v>
      </c>
      <c r="BG420" t="s">
        <v>337</v>
      </c>
    </row>
    <row r="421" spans="1:59">
      <c r="A421">
        <v>1115</v>
      </c>
      <c r="B421">
        <v>1115</v>
      </c>
      <c r="C421">
        <v>10</v>
      </c>
      <c r="D421">
        <v>2</v>
      </c>
      <c r="E421" t="s">
        <v>152</v>
      </c>
      <c r="F421" t="s">
        <v>153</v>
      </c>
      <c r="G421" t="s">
        <v>154</v>
      </c>
      <c r="H421">
        <v>1526005461</v>
      </c>
      <c r="I421">
        <v>1000005694</v>
      </c>
      <c r="L421" t="s">
        <v>338</v>
      </c>
      <c r="M421">
        <v>5100001935</v>
      </c>
      <c r="N421" t="s">
        <v>155</v>
      </c>
      <c r="O421" t="s">
        <v>156</v>
      </c>
      <c r="P421">
        <v>4110059361</v>
      </c>
      <c r="Q421" t="s">
        <v>243</v>
      </c>
      <c r="R421">
        <v>5000</v>
      </c>
      <c r="S421" t="s">
        <v>166</v>
      </c>
      <c r="V421" t="s">
        <v>167</v>
      </c>
      <c r="W421">
        <v>1502020125</v>
      </c>
      <c r="X421" t="s">
        <v>244</v>
      </c>
      <c r="Y421" t="str">
        <f>VLOOKUP(W421,Sheet4!$A$5:$B$71,2,0)</f>
        <v>RE STYLING</v>
      </c>
      <c r="Z421">
        <v>87082900</v>
      </c>
      <c r="AA421">
        <v>6</v>
      </c>
      <c r="AB421" t="s">
        <v>159</v>
      </c>
      <c r="AC421" s="24">
        <v>6435.33</v>
      </c>
      <c r="AD421" t="s">
        <v>160</v>
      </c>
      <c r="AE421" s="24">
        <v>38611.980000000003</v>
      </c>
      <c r="AF421">
        <v>0</v>
      </c>
      <c r="AG421" s="24">
        <v>38611.980000000003</v>
      </c>
      <c r="AH421">
        <v>0</v>
      </c>
      <c r="AI421">
        <v>0</v>
      </c>
      <c r="AJ421">
        <v>0</v>
      </c>
      <c r="AK421">
        <v>0</v>
      </c>
      <c r="AL421" s="24">
        <v>38611.980000000003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s="24">
        <v>38611.980000000003</v>
      </c>
      <c r="AV421">
        <v>0</v>
      </c>
      <c r="AW421">
        <v>0</v>
      </c>
      <c r="AX421">
        <v>311000</v>
      </c>
      <c r="AY421" t="s">
        <v>161</v>
      </c>
      <c r="AZ421">
        <v>0</v>
      </c>
      <c r="BA421">
        <v>0</v>
      </c>
      <c r="BB421">
        <v>0</v>
      </c>
      <c r="BC421" t="s">
        <v>245</v>
      </c>
      <c r="BD421">
        <v>1509</v>
      </c>
      <c r="BE421" t="s">
        <v>169</v>
      </c>
      <c r="BF421">
        <v>5094070310</v>
      </c>
      <c r="BG421" t="s">
        <v>337</v>
      </c>
    </row>
    <row r="422" spans="1:59">
      <c r="A422">
        <v>1115</v>
      </c>
      <c r="B422">
        <v>1115</v>
      </c>
      <c r="C422">
        <v>10</v>
      </c>
      <c r="D422">
        <v>2</v>
      </c>
      <c r="E422" t="s">
        <v>152</v>
      </c>
      <c r="F422" t="s">
        <v>153</v>
      </c>
      <c r="G422" t="s">
        <v>154</v>
      </c>
      <c r="H422">
        <v>1526005460</v>
      </c>
      <c r="I422">
        <v>1000005693</v>
      </c>
      <c r="L422" t="s">
        <v>338</v>
      </c>
      <c r="M422">
        <v>5100001934</v>
      </c>
      <c r="N422" t="s">
        <v>155</v>
      </c>
      <c r="O422" t="s">
        <v>156</v>
      </c>
      <c r="P422">
        <v>4110058649</v>
      </c>
      <c r="Q422" t="s">
        <v>196</v>
      </c>
      <c r="R422">
        <v>5000</v>
      </c>
      <c r="S422" t="s">
        <v>166</v>
      </c>
      <c r="V422" t="s">
        <v>167</v>
      </c>
      <c r="W422">
        <v>1502040217</v>
      </c>
      <c r="X422" t="s">
        <v>197</v>
      </c>
      <c r="Y422" t="str">
        <f>VLOOKUP(W422,Sheet4!$A$5:$B$71,2,0)</f>
        <v>FRONT MUDGARD GOGO</v>
      </c>
      <c r="Z422">
        <v>87082900</v>
      </c>
      <c r="AA422">
        <v>100</v>
      </c>
      <c r="AB422" t="s">
        <v>159</v>
      </c>
      <c r="AC422">
        <v>380.93</v>
      </c>
      <c r="AD422" t="s">
        <v>160</v>
      </c>
      <c r="AE422" s="24">
        <v>38093</v>
      </c>
      <c r="AF422">
        <v>0</v>
      </c>
      <c r="AG422" s="24">
        <v>38093</v>
      </c>
      <c r="AH422">
        <v>0</v>
      </c>
      <c r="AI422">
        <v>0</v>
      </c>
      <c r="AJ422">
        <v>0</v>
      </c>
      <c r="AK422">
        <v>0</v>
      </c>
      <c r="AL422" s="24">
        <v>38093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s="24">
        <v>38093</v>
      </c>
      <c r="AV422">
        <v>0</v>
      </c>
      <c r="AW422">
        <v>0</v>
      </c>
      <c r="AX422">
        <v>311000</v>
      </c>
      <c r="AY422" t="s">
        <v>161</v>
      </c>
      <c r="AZ422">
        <v>2.13</v>
      </c>
      <c r="BA422">
        <v>2.13</v>
      </c>
      <c r="BB422">
        <v>0</v>
      </c>
      <c r="BC422" t="s">
        <v>198</v>
      </c>
      <c r="BD422">
        <v>1511</v>
      </c>
      <c r="BE422" t="s">
        <v>174</v>
      </c>
      <c r="BF422">
        <v>5094053642</v>
      </c>
      <c r="BG422" t="s">
        <v>336</v>
      </c>
    </row>
    <row r="423" spans="1:59">
      <c r="A423">
        <v>1115</v>
      </c>
      <c r="B423">
        <v>1115</v>
      </c>
      <c r="C423">
        <v>10</v>
      </c>
      <c r="D423">
        <v>2</v>
      </c>
      <c r="E423" t="s">
        <v>152</v>
      </c>
      <c r="F423" t="s">
        <v>153</v>
      </c>
      <c r="G423" t="s">
        <v>154</v>
      </c>
      <c r="H423">
        <v>1526005459</v>
      </c>
      <c r="I423">
        <v>1000005692</v>
      </c>
      <c r="L423" t="s">
        <v>338</v>
      </c>
      <c r="M423">
        <v>5100001928</v>
      </c>
      <c r="N423" t="s">
        <v>155</v>
      </c>
      <c r="O423" t="s">
        <v>156</v>
      </c>
      <c r="P423">
        <v>4110057393</v>
      </c>
      <c r="Q423" t="s">
        <v>192</v>
      </c>
      <c r="R423">
        <v>5000</v>
      </c>
      <c r="S423" t="s">
        <v>166</v>
      </c>
      <c r="V423" t="s">
        <v>167</v>
      </c>
      <c r="W423">
        <v>1502020122</v>
      </c>
      <c r="X423" t="s">
        <v>70</v>
      </c>
      <c r="Y423" t="str">
        <f>VLOOKUP(W423,Sheet4!$A$5:$B$71,2,0)</f>
        <v>MAX UG NEW EV</v>
      </c>
      <c r="Z423">
        <v>87082900</v>
      </c>
      <c r="AA423">
        <v>8</v>
      </c>
      <c r="AB423" t="s">
        <v>159</v>
      </c>
      <c r="AC423" s="24">
        <v>9566.51</v>
      </c>
      <c r="AD423" t="s">
        <v>160</v>
      </c>
      <c r="AE423" s="24">
        <v>76532.08</v>
      </c>
      <c r="AF423">
        <v>0</v>
      </c>
      <c r="AG423" s="24">
        <v>76532.08</v>
      </c>
      <c r="AH423">
        <v>0</v>
      </c>
      <c r="AI423">
        <v>0</v>
      </c>
      <c r="AJ423">
        <v>0</v>
      </c>
      <c r="AK423">
        <v>0</v>
      </c>
      <c r="AL423" s="24">
        <v>76532.08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s="24">
        <v>76532.08</v>
      </c>
      <c r="AV423">
        <v>0</v>
      </c>
      <c r="AW423">
        <v>0</v>
      </c>
      <c r="AX423">
        <v>311000</v>
      </c>
      <c r="AY423" t="s">
        <v>161</v>
      </c>
      <c r="AZ423">
        <v>0</v>
      </c>
      <c r="BA423">
        <v>61</v>
      </c>
      <c r="BB423">
        <v>-61</v>
      </c>
      <c r="BC423" t="s">
        <v>193</v>
      </c>
      <c r="BD423">
        <v>1509</v>
      </c>
      <c r="BE423" t="s">
        <v>169</v>
      </c>
      <c r="BF423">
        <v>5094053652</v>
      </c>
      <c r="BG423" t="s">
        <v>336</v>
      </c>
    </row>
    <row r="424" spans="1:59">
      <c r="A424">
        <v>1115</v>
      </c>
      <c r="B424">
        <v>1115</v>
      </c>
      <c r="C424">
        <v>10</v>
      </c>
      <c r="D424">
        <v>2</v>
      </c>
      <c r="E424" t="s">
        <v>152</v>
      </c>
      <c r="F424" t="s">
        <v>153</v>
      </c>
      <c r="G424" t="s">
        <v>154</v>
      </c>
      <c r="H424">
        <v>1526005458</v>
      </c>
      <c r="I424">
        <v>1000005691</v>
      </c>
      <c r="L424" t="s">
        <v>338</v>
      </c>
      <c r="M424">
        <v>5100001666</v>
      </c>
      <c r="N424" t="s">
        <v>155</v>
      </c>
      <c r="O424" t="s">
        <v>156</v>
      </c>
      <c r="P424">
        <v>4110027035</v>
      </c>
      <c r="Q424" t="s">
        <v>225</v>
      </c>
      <c r="R424">
        <v>5000</v>
      </c>
      <c r="S424" t="s">
        <v>166</v>
      </c>
      <c r="V424" t="s">
        <v>167</v>
      </c>
      <c r="W424">
        <v>1502020105</v>
      </c>
      <c r="X424" t="s">
        <v>226</v>
      </c>
      <c r="Y424" t="str">
        <f>VLOOKUP(W424,Sheet4!$A$5:$B$71,2,0)</f>
        <v>RE STYLING</v>
      </c>
      <c r="Z424">
        <v>87082900</v>
      </c>
      <c r="AA424">
        <v>15</v>
      </c>
      <c r="AB424" t="s">
        <v>159</v>
      </c>
      <c r="AC424" s="24">
        <v>6570.77</v>
      </c>
      <c r="AD424" t="s">
        <v>160</v>
      </c>
      <c r="AE424" s="24">
        <v>98561.55</v>
      </c>
      <c r="AF424">
        <v>0</v>
      </c>
      <c r="AG424" s="24">
        <v>98561.55</v>
      </c>
      <c r="AH424">
        <v>0</v>
      </c>
      <c r="AI424">
        <v>0</v>
      </c>
      <c r="AJ424">
        <v>0</v>
      </c>
      <c r="AK424">
        <v>0</v>
      </c>
      <c r="AL424" s="24">
        <v>98561.55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 s="24">
        <v>98561.55</v>
      </c>
      <c r="AV424">
        <v>0</v>
      </c>
      <c r="AW424">
        <v>0</v>
      </c>
      <c r="AX424">
        <v>311000</v>
      </c>
      <c r="AY424" t="s">
        <v>161</v>
      </c>
      <c r="AZ424">
        <v>49.75</v>
      </c>
      <c r="BA424">
        <v>49.75</v>
      </c>
      <c r="BB424">
        <v>0</v>
      </c>
      <c r="BC424" t="s">
        <v>227</v>
      </c>
      <c r="BD424">
        <v>1509</v>
      </c>
      <c r="BE424" t="s">
        <v>169</v>
      </c>
      <c r="BF424">
        <v>5094068179</v>
      </c>
      <c r="BG424" t="s">
        <v>336</v>
      </c>
    </row>
    <row r="425" spans="1:59">
      <c r="A425">
        <v>1115</v>
      </c>
      <c r="B425">
        <v>1115</v>
      </c>
      <c r="C425">
        <v>10</v>
      </c>
      <c r="D425">
        <v>2</v>
      </c>
      <c r="E425" t="s">
        <v>152</v>
      </c>
      <c r="F425" t="s">
        <v>153</v>
      </c>
      <c r="G425" t="s">
        <v>154</v>
      </c>
      <c r="H425">
        <v>1526005457</v>
      </c>
      <c r="I425">
        <v>1000005690</v>
      </c>
      <c r="L425" t="s">
        <v>338</v>
      </c>
      <c r="M425">
        <v>5100001934</v>
      </c>
      <c r="N425" t="s">
        <v>155</v>
      </c>
      <c r="O425" t="s">
        <v>156</v>
      </c>
      <c r="P425">
        <v>4110058649</v>
      </c>
      <c r="Q425" t="s">
        <v>196</v>
      </c>
      <c r="R425">
        <v>5000</v>
      </c>
      <c r="S425" t="s">
        <v>166</v>
      </c>
      <c r="V425" t="s">
        <v>167</v>
      </c>
      <c r="W425">
        <v>1502040217</v>
      </c>
      <c r="X425" t="s">
        <v>197</v>
      </c>
      <c r="Y425" t="str">
        <f>VLOOKUP(W425,Sheet4!$A$5:$B$71,2,0)</f>
        <v>FRONT MUDGARD GOGO</v>
      </c>
      <c r="Z425">
        <v>87082900</v>
      </c>
      <c r="AA425">
        <v>100</v>
      </c>
      <c r="AB425" t="s">
        <v>159</v>
      </c>
      <c r="AC425">
        <v>380.93</v>
      </c>
      <c r="AD425" t="s">
        <v>160</v>
      </c>
      <c r="AE425" s="24">
        <v>38093</v>
      </c>
      <c r="AF425">
        <v>0</v>
      </c>
      <c r="AG425" s="24">
        <v>38093</v>
      </c>
      <c r="AH425">
        <v>0</v>
      </c>
      <c r="AI425">
        <v>0</v>
      </c>
      <c r="AJ425">
        <v>0</v>
      </c>
      <c r="AK425">
        <v>0</v>
      </c>
      <c r="AL425" s="24">
        <v>38093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 s="24">
        <v>38093</v>
      </c>
      <c r="AV425">
        <v>0</v>
      </c>
      <c r="AW425">
        <v>0</v>
      </c>
      <c r="AX425">
        <v>311000</v>
      </c>
      <c r="AY425" t="s">
        <v>161</v>
      </c>
      <c r="AZ425">
        <v>2.13</v>
      </c>
      <c r="BA425">
        <v>2.13</v>
      </c>
      <c r="BB425">
        <v>0</v>
      </c>
      <c r="BC425" t="s">
        <v>198</v>
      </c>
      <c r="BD425">
        <v>1511</v>
      </c>
      <c r="BE425" t="s">
        <v>174</v>
      </c>
      <c r="BF425">
        <v>5094073650</v>
      </c>
      <c r="BG425" t="s">
        <v>337</v>
      </c>
    </row>
    <row r="426" spans="1:59">
      <c r="A426">
        <v>1115</v>
      </c>
      <c r="B426">
        <v>1115</v>
      </c>
      <c r="C426">
        <v>10</v>
      </c>
      <c r="D426">
        <v>2</v>
      </c>
      <c r="E426" t="s">
        <v>152</v>
      </c>
      <c r="F426" t="s">
        <v>153</v>
      </c>
      <c r="G426" t="s">
        <v>154</v>
      </c>
      <c r="H426">
        <v>1526005456</v>
      </c>
      <c r="I426">
        <v>1000005689</v>
      </c>
      <c r="L426" t="s">
        <v>338</v>
      </c>
      <c r="M426">
        <v>5100001928</v>
      </c>
      <c r="N426" t="s">
        <v>155</v>
      </c>
      <c r="O426" t="s">
        <v>156</v>
      </c>
      <c r="P426">
        <v>4110057393</v>
      </c>
      <c r="Q426" t="s">
        <v>192</v>
      </c>
      <c r="R426">
        <v>5000</v>
      </c>
      <c r="S426" t="s">
        <v>166</v>
      </c>
      <c r="V426" t="s">
        <v>167</v>
      </c>
      <c r="W426">
        <v>1502020122</v>
      </c>
      <c r="X426" t="s">
        <v>70</v>
      </c>
      <c r="Y426" t="str">
        <f>VLOOKUP(W426,Sheet4!$A$5:$B$71,2,0)</f>
        <v>MAX UG NEW EV</v>
      </c>
      <c r="Z426">
        <v>87082900</v>
      </c>
      <c r="AA426">
        <v>8</v>
      </c>
      <c r="AB426" t="s">
        <v>159</v>
      </c>
      <c r="AC426" s="24">
        <v>9566.51</v>
      </c>
      <c r="AD426" t="s">
        <v>160</v>
      </c>
      <c r="AE426" s="24">
        <v>76532.08</v>
      </c>
      <c r="AF426">
        <v>0</v>
      </c>
      <c r="AG426" s="24">
        <v>76532.08</v>
      </c>
      <c r="AH426">
        <v>0</v>
      </c>
      <c r="AI426">
        <v>0</v>
      </c>
      <c r="AJ426">
        <v>0</v>
      </c>
      <c r="AK426">
        <v>0</v>
      </c>
      <c r="AL426" s="24">
        <v>76532.08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 s="24">
        <v>76532.08</v>
      </c>
      <c r="AV426">
        <v>0</v>
      </c>
      <c r="AW426">
        <v>0</v>
      </c>
      <c r="AX426">
        <v>311000</v>
      </c>
      <c r="AY426" t="s">
        <v>161</v>
      </c>
      <c r="AZ426">
        <v>0</v>
      </c>
      <c r="BA426">
        <v>61</v>
      </c>
      <c r="BB426">
        <v>-61</v>
      </c>
      <c r="BC426" t="s">
        <v>193</v>
      </c>
      <c r="BD426">
        <v>1509</v>
      </c>
      <c r="BE426" t="s">
        <v>169</v>
      </c>
      <c r="BF426">
        <v>5094073478</v>
      </c>
      <c r="BG426" t="s">
        <v>337</v>
      </c>
    </row>
    <row r="427" spans="1:59">
      <c r="A427">
        <v>1115</v>
      </c>
      <c r="B427">
        <v>1115</v>
      </c>
      <c r="C427">
        <v>10</v>
      </c>
      <c r="D427">
        <v>2</v>
      </c>
      <c r="E427" t="s">
        <v>152</v>
      </c>
      <c r="F427" t="s">
        <v>153</v>
      </c>
      <c r="G427" t="s">
        <v>154</v>
      </c>
      <c r="H427">
        <v>1526005455</v>
      </c>
      <c r="I427">
        <v>1000005688</v>
      </c>
      <c r="L427" t="s">
        <v>338</v>
      </c>
      <c r="M427">
        <v>5100001928</v>
      </c>
      <c r="N427" t="s">
        <v>155</v>
      </c>
      <c r="O427" t="s">
        <v>156</v>
      </c>
      <c r="P427">
        <v>4110057393</v>
      </c>
      <c r="Q427" t="s">
        <v>192</v>
      </c>
      <c r="R427">
        <v>5000</v>
      </c>
      <c r="S427" t="s">
        <v>166</v>
      </c>
      <c r="V427" t="s">
        <v>167</v>
      </c>
      <c r="W427">
        <v>1502020122</v>
      </c>
      <c r="X427" t="s">
        <v>70</v>
      </c>
      <c r="Y427" t="str">
        <f>VLOOKUP(W427,Sheet4!$A$5:$B$71,2,0)</f>
        <v>MAX UG NEW EV</v>
      </c>
      <c r="Z427">
        <v>87082900</v>
      </c>
      <c r="AA427">
        <v>10</v>
      </c>
      <c r="AB427" t="s">
        <v>159</v>
      </c>
      <c r="AC427" s="24">
        <v>9566.51</v>
      </c>
      <c r="AD427" t="s">
        <v>160</v>
      </c>
      <c r="AE427" s="24">
        <v>95665.1</v>
      </c>
      <c r="AF427">
        <v>0</v>
      </c>
      <c r="AG427" s="24">
        <v>95665.1</v>
      </c>
      <c r="AH427">
        <v>0</v>
      </c>
      <c r="AI427">
        <v>0</v>
      </c>
      <c r="AJ427">
        <v>0</v>
      </c>
      <c r="AK427">
        <v>0</v>
      </c>
      <c r="AL427" s="24">
        <v>95665.1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 s="24">
        <v>95665.1</v>
      </c>
      <c r="AV427">
        <v>0</v>
      </c>
      <c r="AW427">
        <v>0</v>
      </c>
      <c r="AX427">
        <v>311000</v>
      </c>
      <c r="AY427" t="s">
        <v>161</v>
      </c>
      <c r="AZ427">
        <v>0</v>
      </c>
      <c r="BA427">
        <v>61</v>
      </c>
      <c r="BB427">
        <v>-61</v>
      </c>
      <c r="BC427" t="s">
        <v>193</v>
      </c>
      <c r="BD427">
        <v>1509</v>
      </c>
      <c r="BE427" t="s">
        <v>169</v>
      </c>
      <c r="BF427">
        <v>5094045497</v>
      </c>
      <c r="BG427" t="s">
        <v>338</v>
      </c>
    </row>
    <row r="428" spans="1:59">
      <c r="A428">
        <v>1115</v>
      </c>
      <c r="B428">
        <v>1115</v>
      </c>
      <c r="C428">
        <v>10</v>
      </c>
      <c r="D428">
        <v>2</v>
      </c>
      <c r="E428" t="s">
        <v>152</v>
      </c>
      <c r="F428" t="s">
        <v>153</v>
      </c>
      <c r="G428" t="s">
        <v>154</v>
      </c>
      <c r="H428">
        <v>1526005454</v>
      </c>
      <c r="I428">
        <v>1000005687</v>
      </c>
      <c r="L428" t="s">
        <v>338</v>
      </c>
      <c r="M428">
        <v>5100001928</v>
      </c>
      <c r="N428" t="s">
        <v>155</v>
      </c>
      <c r="O428" t="s">
        <v>156</v>
      </c>
      <c r="P428">
        <v>4110057393</v>
      </c>
      <c r="Q428" t="s">
        <v>192</v>
      </c>
      <c r="R428">
        <v>5000</v>
      </c>
      <c r="S428" t="s">
        <v>166</v>
      </c>
      <c r="V428" t="s">
        <v>167</v>
      </c>
      <c r="W428">
        <v>1502020122</v>
      </c>
      <c r="X428" t="s">
        <v>70</v>
      </c>
      <c r="Y428" t="str">
        <f>VLOOKUP(W428,Sheet4!$A$5:$B$71,2,0)</f>
        <v>MAX UG NEW EV</v>
      </c>
      <c r="Z428">
        <v>87082900</v>
      </c>
      <c r="AA428">
        <v>10</v>
      </c>
      <c r="AB428" t="s">
        <v>159</v>
      </c>
      <c r="AC428" s="24">
        <v>9566.51</v>
      </c>
      <c r="AD428" t="s">
        <v>160</v>
      </c>
      <c r="AE428" s="24">
        <v>95665.1</v>
      </c>
      <c r="AF428">
        <v>0</v>
      </c>
      <c r="AG428" s="24">
        <v>95665.1</v>
      </c>
      <c r="AH428">
        <v>0</v>
      </c>
      <c r="AI428">
        <v>0</v>
      </c>
      <c r="AJ428">
        <v>0</v>
      </c>
      <c r="AK428">
        <v>0</v>
      </c>
      <c r="AL428" s="24">
        <v>95665.1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 s="24">
        <v>95665.1</v>
      </c>
      <c r="AV428">
        <v>0</v>
      </c>
      <c r="AW428">
        <v>0</v>
      </c>
      <c r="AX428">
        <v>311000</v>
      </c>
      <c r="AY428" t="s">
        <v>161</v>
      </c>
      <c r="AZ428">
        <v>0</v>
      </c>
      <c r="BA428">
        <v>61</v>
      </c>
      <c r="BB428">
        <v>-61</v>
      </c>
      <c r="BC428" t="s">
        <v>193</v>
      </c>
      <c r="BD428">
        <v>1509</v>
      </c>
      <c r="BE428" t="s">
        <v>169</v>
      </c>
      <c r="BF428">
        <v>5094053672</v>
      </c>
      <c r="BG428" t="s">
        <v>336</v>
      </c>
    </row>
    <row r="429" spans="1:59">
      <c r="A429">
        <v>1115</v>
      </c>
      <c r="B429">
        <v>1115</v>
      </c>
      <c r="C429">
        <v>10</v>
      </c>
      <c r="D429">
        <v>2</v>
      </c>
      <c r="E429" t="s">
        <v>152</v>
      </c>
      <c r="F429" t="s">
        <v>153</v>
      </c>
      <c r="G429" t="s">
        <v>154</v>
      </c>
      <c r="H429">
        <v>1526005453</v>
      </c>
      <c r="I429">
        <v>1000005686</v>
      </c>
      <c r="L429" t="s">
        <v>338</v>
      </c>
      <c r="M429">
        <v>5100001928</v>
      </c>
      <c r="N429" t="s">
        <v>155</v>
      </c>
      <c r="O429" t="s">
        <v>156</v>
      </c>
      <c r="P429">
        <v>4110057393</v>
      </c>
      <c r="Q429" t="s">
        <v>192</v>
      </c>
      <c r="R429">
        <v>5000</v>
      </c>
      <c r="S429" t="s">
        <v>166</v>
      </c>
      <c r="V429" t="s">
        <v>167</v>
      </c>
      <c r="W429">
        <v>1502020122</v>
      </c>
      <c r="X429" t="s">
        <v>70</v>
      </c>
      <c r="Y429" t="str">
        <f>VLOOKUP(W429,Sheet4!$A$5:$B$71,2,0)</f>
        <v>MAX UG NEW EV</v>
      </c>
      <c r="Z429">
        <v>87082900</v>
      </c>
      <c r="AA429">
        <v>10</v>
      </c>
      <c r="AB429" t="s">
        <v>159</v>
      </c>
      <c r="AC429" s="24">
        <v>9566.51</v>
      </c>
      <c r="AD429" t="s">
        <v>160</v>
      </c>
      <c r="AE429" s="24">
        <v>95665.1</v>
      </c>
      <c r="AF429">
        <v>0</v>
      </c>
      <c r="AG429" s="24">
        <v>95665.1</v>
      </c>
      <c r="AH429">
        <v>0</v>
      </c>
      <c r="AI429">
        <v>0</v>
      </c>
      <c r="AJ429">
        <v>0</v>
      </c>
      <c r="AK429">
        <v>0</v>
      </c>
      <c r="AL429" s="24">
        <v>95665.1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 s="24">
        <v>95665.1</v>
      </c>
      <c r="AV429">
        <v>0</v>
      </c>
      <c r="AW429">
        <v>0</v>
      </c>
      <c r="AX429">
        <v>311000</v>
      </c>
      <c r="AY429" t="s">
        <v>161</v>
      </c>
      <c r="AZ429">
        <v>0</v>
      </c>
      <c r="BA429">
        <v>61</v>
      </c>
      <c r="BB429">
        <v>-61</v>
      </c>
      <c r="BC429" t="s">
        <v>193</v>
      </c>
      <c r="BD429">
        <v>1509</v>
      </c>
      <c r="BE429" t="s">
        <v>169</v>
      </c>
      <c r="BF429">
        <v>5094054647</v>
      </c>
      <c r="BG429" t="s">
        <v>336</v>
      </c>
    </row>
    <row r="430" spans="1:59">
      <c r="A430">
        <v>1115</v>
      </c>
      <c r="B430">
        <v>1115</v>
      </c>
      <c r="C430">
        <v>10</v>
      </c>
      <c r="D430">
        <v>2</v>
      </c>
      <c r="E430" t="s">
        <v>152</v>
      </c>
      <c r="F430" t="s">
        <v>153</v>
      </c>
      <c r="G430" t="s">
        <v>154</v>
      </c>
      <c r="H430">
        <v>1526005452</v>
      </c>
      <c r="I430">
        <v>1000005685</v>
      </c>
      <c r="L430" t="s">
        <v>338</v>
      </c>
      <c r="M430">
        <v>5100001928</v>
      </c>
      <c r="N430" t="s">
        <v>155</v>
      </c>
      <c r="O430" t="s">
        <v>156</v>
      </c>
      <c r="P430">
        <v>4110057393</v>
      </c>
      <c r="Q430" t="s">
        <v>192</v>
      </c>
      <c r="R430">
        <v>5000</v>
      </c>
      <c r="S430" t="s">
        <v>166</v>
      </c>
      <c r="V430" t="s">
        <v>167</v>
      </c>
      <c r="W430">
        <v>1502020122</v>
      </c>
      <c r="X430" t="s">
        <v>70</v>
      </c>
      <c r="Y430" t="str">
        <f>VLOOKUP(W430,Sheet4!$A$5:$B$71,2,0)</f>
        <v>MAX UG NEW EV</v>
      </c>
      <c r="Z430">
        <v>87082900</v>
      </c>
      <c r="AA430">
        <v>10</v>
      </c>
      <c r="AB430" t="s">
        <v>159</v>
      </c>
      <c r="AC430" s="24">
        <v>9566.51</v>
      </c>
      <c r="AD430" t="s">
        <v>160</v>
      </c>
      <c r="AE430" s="24">
        <v>95665.1</v>
      </c>
      <c r="AF430">
        <v>0</v>
      </c>
      <c r="AG430" s="24">
        <v>95665.1</v>
      </c>
      <c r="AH430">
        <v>0</v>
      </c>
      <c r="AI430">
        <v>0</v>
      </c>
      <c r="AJ430">
        <v>0</v>
      </c>
      <c r="AK430">
        <v>0</v>
      </c>
      <c r="AL430" s="24">
        <v>95665.1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 s="24">
        <v>95665.1</v>
      </c>
      <c r="AV430">
        <v>0</v>
      </c>
      <c r="AW430">
        <v>0</v>
      </c>
      <c r="AX430">
        <v>311000</v>
      </c>
      <c r="AY430" t="s">
        <v>161</v>
      </c>
      <c r="AZ430">
        <v>0</v>
      </c>
      <c r="BA430">
        <v>61</v>
      </c>
      <c r="BB430">
        <v>-61</v>
      </c>
      <c r="BC430" t="s">
        <v>193</v>
      </c>
      <c r="BD430">
        <v>1509</v>
      </c>
      <c r="BE430" t="s">
        <v>169</v>
      </c>
      <c r="BF430">
        <v>5094045542</v>
      </c>
      <c r="BG430" t="s">
        <v>338</v>
      </c>
    </row>
    <row r="431" spans="1:59">
      <c r="A431">
        <v>1115</v>
      </c>
      <c r="B431">
        <v>1115</v>
      </c>
      <c r="C431">
        <v>10</v>
      </c>
      <c r="D431">
        <v>2</v>
      </c>
      <c r="E431" t="s">
        <v>152</v>
      </c>
      <c r="F431" t="s">
        <v>153</v>
      </c>
      <c r="G431" t="s">
        <v>154</v>
      </c>
      <c r="H431">
        <v>1526005451</v>
      </c>
      <c r="I431">
        <v>1000005684</v>
      </c>
      <c r="L431" t="s">
        <v>338</v>
      </c>
      <c r="M431">
        <v>5100001928</v>
      </c>
      <c r="N431" t="s">
        <v>155</v>
      </c>
      <c r="O431" t="s">
        <v>156</v>
      </c>
      <c r="P431">
        <v>4110057393</v>
      </c>
      <c r="Q431" t="s">
        <v>192</v>
      </c>
      <c r="R431">
        <v>5000</v>
      </c>
      <c r="S431" t="s">
        <v>166</v>
      </c>
      <c r="V431" t="s">
        <v>167</v>
      </c>
      <c r="W431">
        <v>1502020122</v>
      </c>
      <c r="X431" t="s">
        <v>70</v>
      </c>
      <c r="Y431" t="str">
        <f>VLOOKUP(W431,Sheet4!$A$5:$B$71,2,0)</f>
        <v>MAX UG NEW EV</v>
      </c>
      <c r="Z431">
        <v>87082900</v>
      </c>
      <c r="AA431">
        <v>10</v>
      </c>
      <c r="AB431" t="s">
        <v>159</v>
      </c>
      <c r="AC431" s="24">
        <v>9566.51</v>
      </c>
      <c r="AD431" t="s">
        <v>160</v>
      </c>
      <c r="AE431" s="24">
        <v>95665.1</v>
      </c>
      <c r="AF431">
        <v>0</v>
      </c>
      <c r="AG431" s="24">
        <v>95665.1</v>
      </c>
      <c r="AH431">
        <v>0</v>
      </c>
      <c r="AI431">
        <v>0</v>
      </c>
      <c r="AJ431">
        <v>0</v>
      </c>
      <c r="AK431">
        <v>0</v>
      </c>
      <c r="AL431" s="24">
        <v>95665.1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 s="24">
        <v>95665.1</v>
      </c>
      <c r="AV431">
        <v>0</v>
      </c>
      <c r="AW431">
        <v>0</v>
      </c>
      <c r="AX431">
        <v>311000</v>
      </c>
      <c r="AY431" t="s">
        <v>161</v>
      </c>
      <c r="AZ431">
        <v>0</v>
      </c>
      <c r="BA431">
        <v>61</v>
      </c>
      <c r="BB431">
        <v>-61</v>
      </c>
      <c r="BC431" t="s">
        <v>193</v>
      </c>
      <c r="BD431">
        <v>1509</v>
      </c>
      <c r="BE431" t="s">
        <v>169</v>
      </c>
      <c r="BF431">
        <v>5094045823</v>
      </c>
      <c r="BG431" t="s">
        <v>338</v>
      </c>
    </row>
    <row r="432" spans="1:59">
      <c r="A432">
        <v>1115</v>
      </c>
      <c r="B432">
        <v>1115</v>
      </c>
      <c r="C432">
        <v>10</v>
      </c>
      <c r="D432">
        <v>2</v>
      </c>
      <c r="E432" t="s">
        <v>152</v>
      </c>
      <c r="F432" t="s">
        <v>153</v>
      </c>
      <c r="G432" t="s">
        <v>154</v>
      </c>
      <c r="H432">
        <v>1526005450</v>
      </c>
      <c r="I432">
        <v>1000005683</v>
      </c>
      <c r="L432" t="s">
        <v>338</v>
      </c>
      <c r="M432">
        <v>5100001636</v>
      </c>
      <c r="N432" t="s">
        <v>155</v>
      </c>
      <c r="O432" t="s">
        <v>156</v>
      </c>
      <c r="P432">
        <v>4110026445</v>
      </c>
      <c r="Q432" t="s">
        <v>170</v>
      </c>
      <c r="R432">
        <v>5000</v>
      </c>
      <c r="S432" t="s">
        <v>166</v>
      </c>
      <c r="V432" t="s">
        <v>167</v>
      </c>
      <c r="W432">
        <v>1502020101</v>
      </c>
      <c r="X432" t="s">
        <v>25</v>
      </c>
      <c r="Y432" t="str">
        <f>VLOOKUP(W432,Sheet4!$A$5:$B$71,2,0)</f>
        <v>RE STYLING</v>
      </c>
      <c r="Z432">
        <v>87082900</v>
      </c>
      <c r="AA432">
        <v>9</v>
      </c>
      <c r="AB432" t="s">
        <v>159</v>
      </c>
      <c r="AC432" s="24">
        <v>6240.88</v>
      </c>
      <c r="AD432" t="s">
        <v>160</v>
      </c>
      <c r="AE432" s="24">
        <v>56167.92</v>
      </c>
      <c r="AF432">
        <v>0</v>
      </c>
      <c r="AG432" s="24">
        <v>56167.92</v>
      </c>
      <c r="AH432">
        <v>0</v>
      </c>
      <c r="AI432">
        <v>0</v>
      </c>
      <c r="AJ432">
        <v>0</v>
      </c>
      <c r="AK432">
        <v>0</v>
      </c>
      <c r="AL432" s="24">
        <v>56167.92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 s="24">
        <v>56167.92</v>
      </c>
      <c r="AV432">
        <v>0</v>
      </c>
      <c r="AW432">
        <v>0</v>
      </c>
      <c r="AX432">
        <v>311000</v>
      </c>
      <c r="AY432" t="s">
        <v>161</v>
      </c>
      <c r="AZ432">
        <v>58</v>
      </c>
      <c r="BA432">
        <v>58</v>
      </c>
      <c r="BB432">
        <v>0</v>
      </c>
      <c r="BC432" t="s">
        <v>208</v>
      </c>
      <c r="BD432">
        <v>1509</v>
      </c>
      <c r="BE432" t="s">
        <v>169</v>
      </c>
      <c r="BF432">
        <v>5094045873</v>
      </c>
      <c r="BG432" t="s">
        <v>338</v>
      </c>
    </row>
    <row r="433" spans="1:59">
      <c r="A433">
        <v>1115</v>
      </c>
      <c r="B433">
        <v>1115</v>
      </c>
      <c r="C433">
        <v>10</v>
      </c>
      <c r="D433">
        <v>2</v>
      </c>
      <c r="E433" t="s">
        <v>152</v>
      </c>
      <c r="F433" t="s">
        <v>153</v>
      </c>
      <c r="G433" t="s">
        <v>154</v>
      </c>
      <c r="H433">
        <v>1526005449</v>
      </c>
      <c r="I433">
        <v>1000005682</v>
      </c>
      <c r="L433" t="s">
        <v>338</v>
      </c>
      <c r="M433">
        <v>5100001636</v>
      </c>
      <c r="N433" t="s">
        <v>155</v>
      </c>
      <c r="O433" t="s">
        <v>156</v>
      </c>
      <c r="P433">
        <v>4110026445</v>
      </c>
      <c r="Q433" t="s">
        <v>170</v>
      </c>
      <c r="R433">
        <v>5000</v>
      </c>
      <c r="S433" t="s">
        <v>166</v>
      </c>
      <c r="V433" t="s">
        <v>167</v>
      </c>
      <c r="W433">
        <v>1502020104</v>
      </c>
      <c r="X433" t="s">
        <v>26</v>
      </c>
      <c r="Y433" t="str">
        <f>VLOOKUP(W433,Sheet4!$A$5:$B$71,2,0)</f>
        <v>RE STYLING</v>
      </c>
      <c r="Z433">
        <v>87082900</v>
      </c>
      <c r="AA433">
        <v>6</v>
      </c>
      <c r="AB433" t="s">
        <v>159</v>
      </c>
      <c r="AC433" s="24">
        <v>6585.55</v>
      </c>
      <c r="AD433" t="s">
        <v>160</v>
      </c>
      <c r="AE433" s="24">
        <v>39513.300000000003</v>
      </c>
      <c r="AF433">
        <v>0</v>
      </c>
      <c r="AG433" s="24">
        <v>39513.300000000003</v>
      </c>
      <c r="AH433">
        <v>0</v>
      </c>
      <c r="AI433">
        <v>0</v>
      </c>
      <c r="AJ433">
        <v>0</v>
      </c>
      <c r="AK433">
        <v>0</v>
      </c>
      <c r="AL433" s="24">
        <v>39513.300000000003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 s="24">
        <v>39513.300000000003</v>
      </c>
      <c r="AV433">
        <v>0</v>
      </c>
      <c r="AW433">
        <v>0</v>
      </c>
      <c r="AX433">
        <v>311000</v>
      </c>
      <c r="AY433" t="s">
        <v>161</v>
      </c>
      <c r="AZ433">
        <v>49.75</v>
      </c>
      <c r="BA433">
        <v>49.75</v>
      </c>
      <c r="BB433">
        <v>0</v>
      </c>
      <c r="BC433" t="s">
        <v>171</v>
      </c>
      <c r="BD433">
        <v>1509</v>
      </c>
      <c r="BE433" t="s">
        <v>169</v>
      </c>
      <c r="BF433">
        <v>5094045872</v>
      </c>
      <c r="BG433" t="s">
        <v>338</v>
      </c>
    </row>
    <row r="434" spans="1:59">
      <c r="A434">
        <v>1115</v>
      </c>
      <c r="B434">
        <v>1115</v>
      </c>
      <c r="C434">
        <v>10</v>
      </c>
      <c r="D434">
        <v>2</v>
      </c>
      <c r="E434" t="s">
        <v>152</v>
      </c>
      <c r="F434" t="s">
        <v>153</v>
      </c>
      <c r="G434" t="s">
        <v>154</v>
      </c>
      <c r="H434">
        <v>1526005448</v>
      </c>
      <c r="I434">
        <v>1000005681</v>
      </c>
      <c r="L434" t="s">
        <v>338</v>
      </c>
      <c r="M434">
        <v>5100001636</v>
      </c>
      <c r="N434" t="s">
        <v>155</v>
      </c>
      <c r="O434" t="s">
        <v>156</v>
      </c>
      <c r="P434">
        <v>4110026445</v>
      </c>
      <c r="Q434" t="s">
        <v>170</v>
      </c>
      <c r="R434">
        <v>5000</v>
      </c>
      <c r="S434" t="s">
        <v>166</v>
      </c>
      <c r="V434" t="s">
        <v>167</v>
      </c>
      <c r="W434">
        <v>1502020104</v>
      </c>
      <c r="X434" t="s">
        <v>26</v>
      </c>
      <c r="Y434" t="str">
        <f>VLOOKUP(W434,Sheet4!$A$5:$B$71,2,0)</f>
        <v>RE STYLING</v>
      </c>
      <c r="Z434">
        <v>87082900</v>
      </c>
      <c r="AA434">
        <v>15</v>
      </c>
      <c r="AB434" t="s">
        <v>159</v>
      </c>
      <c r="AC434" s="24">
        <v>6585.55</v>
      </c>
      <c r="AD434" t="s">
        <v>160</v>
      </c>
      <c r="AE434" s="24">
        <v>98783.25</v>
      </c>
      <c r="AF434">
        <v>0</v>
      </c>
      <c r="AG434" s="24">
        <v>98783.25</v>
      </c>
      <c r="AH434">
        <v>0</v>
      </c>
      <c r="AI434">
        <v>0</v>
      </c>
      <c r="AJ434">
        <v>0</v>
      </c>
      <c r="AK434">
        <v>0</v>
      </c>
      <c r="AL434" s="24">
        <v>98783.25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 s="24">
        <v>98783.25</v>
      </c>
      <c r="AV434">
        <v>0</v>
      </c>
      <c r="AW434">
        <v>0</v>
      </c>
      <c r="AX434">
        <v>311000</v>
      </c>
      <c r="AY434" t="s">
        <v>161</v>
      </c>
      <c r="AZ434">
        <v>49.75</v>
      </c>
      <c r="BA434">
        <v>49.75</v>
      </c>
      <c r="BB434">
        <v>0</v>
      </c>
      <c r="BC434" t="s">
        <v>171</v>
      </c>
      <c r="BD434">
        <v>1509</v>
      </c>
      <c r="BE434" t="s">
        <v>169</v>
      </c>
      <c r="BF434">
        <v>5094070334</v>
      </c>
      <c r="BG434" t="s">
        <v>337</v>
      </c>
    </row>
    <row r="435" spans="1:59">
      <c r="A435">
        <v>1115</v>
      </c>
      <c r="B435">
        <v>1115</v>
      </c>
      <c r="C435">
        <v>10</v>
      </c>
      <c r="D435">
        <v>2</v>
      </c>
      <c r="E435" t="s">
        <v>152</v>
      </c>
      <c r="F435" t="s">
        <v>153</v>
      </c>
      <c r="G435" t="s">
        <v>154</v>
      </c>
      <c r="H435">
        <v>1526005447</v>
      </c>
      <c r="I435">
        <v>1000005680</v>
      </c>
      <c r="L435" t="s">
        <v>338</v>
      </c>
      <c r="M435">
        <v>5100001636</v>
      </c>
      <c r="N435" t="s">
        <v>155</v>
      </c>
      <c r="O435" t="s">
        <v>156</v>
      </c>
      <c r="P435">
        <v>4110026445</v>
      </c>
      <c r="Q435" t="s">
        <v>170</v>
      </c>
      <c r="R435">
        <v>5000</v>
      </c>
      <c r="S435" t="s">
        <v>166</v>
      </c>
      <c r="V435" t="s">
        <v>167</v>
      </c>
      <c r="W435">
        <v>1502020104</v>
      </c>
      <c r="X435" t="s">
        <v>26</v>
      </c>
      <c r="Y435" t="str">
        <f>VLOOKUP(W435,Sheet4!$A$5:$B$71,2,0)</f>
        <v>RE STYLING</v>
      </c>
      <c r="Z435">
        <v>87082900</v>
      </c>
      <c r="AA435">
        <v>15</v>
      </c>
      <c r="AB435" t="s">
        <v>159</v>
      </c>
      <c r="AC435" s="24">
        <v>6585.55</v>
      </c>
      <c r="AD435" t="s">
        <v>160</v>
      </c>
      <c r="AE435" s="24">
        <v>98783.25</v>
      </c>
      <c r="AF435">
        <v>0</v>
      </c>
      <c r="AG435" s="24">
        <v>98783.25</v>
      </c>
      <c r="AH435">
        <v>0</v>
      </c>
      <c r="AI435">
        <v>0</v>
      </c>
      <c r="AJ435">
        <v>0</v>
      </c>
      <c r="AK435">
        <v>0</v>
      </c>
      <c r="AL435" s="24">
        <v>98783.25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 s="24">
        <v>98783.25</v>
      </c>
      <c r="AV435">
        <v>0</v>
      </c>
      <c r="AW435">
        <v>0</v>
      </c>
      <c r="AX435">
        <v>311000</v>
      </c>
      <c r="AY435" t="s">
        <v>161</v>
      </c>
      <c r="AZ435">
        <v>49.75</v>
      </c>
      <c r="BA435">
        <v>49.75</v>
      </c>
      <c r="BB435">
        <v>0</v>
      </c>
      <c r="BC435" t="s">
        <v>171</v>
      </c>
      <c r="BD435">
        <v>1509</v>
      </c>
      <c r="BE435" t="s">
        <v>169</v>
      </c>
      <c r="BF435">
        <v>5094070236</v>
      </c>
      <c r="BG435" t="s">
        <v>337</v>
      </c>
    </row>
    <row r="436" spans="1:59">
      <c r="A436">
        <v>1115</v>
      </c>
      <c r="B436">
        <v>1115</v>
      </c>
      <c r="C436">
        <v>10</v>
      </c>
      <c r="D436">
        <v>2</v>
      </c>
      <c r="E436" t="s">
        <v>152</v>
      </c>
      <c r="F436" t="s">
        <v>153</v>
      </c>
      <c r="G436" t="s">
        <v>154</v>
      </c>
      <c r="H436">
        <v>1526005446</v>
      </c>
      <c r="I436">
        <v>1000005679</v>
      </c>
      <c r="L436" t="s">
        <v>338</v>
      </c>
      <c r="M436">
        <v>5100001636</v>
      </c>
      <c r="N436" t="s">
        <v>155</v>
      </c>
      <c r="O436" t="s">
        <v>156</v>
      </c>
      <c r="P436">
        <v>4110026445</v>
      </c>
      <c r="Q436" t="s">
        <v>170</v>
      </c>
      <c r="R436">
        <v>5000</v>
      </c>
      <c r="S436" t="s">
        <v>166</v>
      </c>
      <c r="V436" t="s">
        <v>167</v>
      </c>
      <c r="W436">
        <v>1502020104</v>
      </c>
      <c r="X436" t="s">
        <v>26</v>
      </c>
      <c r="Y436" t="str">
        <f>VLOOKUP(W436,Sheet4!$A$5:$B$71,2,0)</f>
        <v>RE STYLING</v>
      </c>
      <c r="Z436">
        <v>87082900</v>
      </c>
      <c r="AA436">
        <v>15</v>
      </c>
      <c r="AB436" t="s">
        <v>159</v>
      </c>
      <c r="AC436" s="24">
        <v>6585.55</v>
      </c>
      <c r="AD436" t="s">
        <v>160</v>
      </c>
      <c r="AE436" s="24">
        <v>98783.25</v>
      </c>
      <c r="AF436">
        <v>0</v>
      </c>
      <c r="AG436" s="24">
        <v>98783.25</v>
      </c>
      <c r="AH436">
        <v>0</v>
      </c>
      <c r="AI436">
        <v>0</v>
      </c>
      <c r="AJ436">
        <v>0</v>
      </c>
      <c r="AK436">
        <v>0</v>
      </c>
      <c r="AL436" s="24">
        <v>98783.25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 s="24">
        <v>98783.25</v>
      </c>
      <c r="AV436">
        <v>0</v>
      </c>
      <c r="AW436">
        <v>0</v>
      </c>
      <c r="AX436">
        <v>311000</v>
      </c>
      <c r="AY436" t="s">
        <v>161</v>
      </c>
      <c r="AZ436">
        <v>49.75</v>
      </c>
      <c r="BA436">
        <v>49.75</v>
      </c>
      <c r="BB436">
        <v>0</v>
      </c>
      <c r="BC436" t="s">
        <v>171</v>
      </c>
      <c r="BD436">
        <v>1509</v>
      </c>
      <c r="BE436" t="s">
        <v>169</v>
      </c>
      <c r="BF436">
        <v>5094070335</v>
      </c>
      <c r="BG436" t="s">
        <v>337</v>
      </c>
    </row>
    <row r="437" spans="1:59">
      <c r="A437">
        <v>1115</v>
      </c>
      <c r="B437">
        <v>1115</v>
      </c>
      <c r="C437">
        <v>10</v>
      </c>
      <c r="D437">
        <v>2</v>
      </c>
      <c r="E437" t="s">
        <v>152</v>
      </c>
      <c r="F437" t="s">
        <v>153</v>
      </c>
      <c r="G437" t="s">
        <v>154</v>
      </c>
      <c r="H437">
        <v>1526005485</v>
      </c>
      <c r="I437">
        <v>1000005718</v>
      </c>
      <c r="L437" t="s">
        <v>336</v>
      </c>
      <c r="M437">
        <v>5100001899</v>
      </c>
      <c r="N437" t="s">
        <v>155</v>
      </c>
      <c r="O437" t="s">
        <v>156</v>
      </c>
      <c r="P437">
        <v>4110041854</v>
      </c>
      <c r="Q437" t="s">
        <v>172</v>
      </c>
      <c r="R437">
        <v>5000</v>
      </c>
      <c r="S437" t="s">
        <v>166</v>
      </c>
      <c r="V437" t="s">
        <v>167</v>
      </c>
      <c r="W437">
        <v>1502040267</v>
      </c>
      <c r="X437" t="s">
        <v>63</v>
      </c>
      <c r="Y437" t="str">
        <f>VLOOKUP(W437,Sheet4!$A$5:$B$71,2,0)</f>
        <v>DASH BOARD</v>
      </c>
      <c r="Z437">
        <v>87082900</v>
      </c>
      <c r="AA437">
        <v>416</v>
      </c>
      <c r="AB437" t="s">
        <v>159</v>
      </c>
      <c r="AC437">
        <v>290.89999999999998</v>
      </c>
      <c r="AD437" t="s">
        <v>160</v>
      </c>
      <c r="AE437" s="24">
        <v>121014.39999999999</v>
      </c>
      <c r="AF437">
        <v>0</v>
      </c>
      <c r="AG437" s="24">
        <v>121014.39999999999</v>
      </c>
      <c r="AH437">
        <v>0</v>
      </c>
      <c r="AI437">
        <v>0</v>
      </c>
      <c r="AJ437">
        <v>0</v>
      </c>
      <c r="AK437">
        <v>0</v>
      </c>
      <c r="AL437" s="24">
        <v>121014.39999999999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 s="24">
        <v>121014.39999999999</v>
      </c>
      <c r="AV437">
        <v>0</v>
      </c>
      <c r="AW437">
        <v>0</v>
      </c>
      <c r="AX437">
        <v>311000</v>
      </c>
      <c r="AY437" t="s">
        <v>161</v>
      </c>
      <c r="AZ437">
        <v>4.5</v>
      </c>
      <c r="BA437">
        <v>4.5</v>
      </c>
      <c r="BB437">
        <v>0</v>
      </c>
      <c r="BC437" t="s">
        <v>173</v>
      </c>
      <c r="BD437">
        <v>1511</v>
      </c>
      <c r="BE437" t="s">
        <v>174</v>
      </c>
      <c r="BF437">
        <v>5094071276</v>
      </c>
      <c r="BG437" t="s">
        <v>337</v>
      </c>
    </row>
    <row r="438" spans="1:59">
      <c r="A438">
        <v>1115</v>
      </c>
      <c r="B438">
        <v>1115</v>
      </c>
      <c r="C438">
        <v>10</v>
      </c>
      <c r="D438">
        <v>2</v>
      </c>
      <c r="E438" t="s">
        <v>152</v>
      </c>
      <c r="F438" t="s">
        <v>153</v>
      </c>
      <c r="G438" t="s">
        <v>154</v>
      </c>
      <c r="H438">
        <v>1526005527</v>
      </c>
      <c r="I438">
        <v>1000005773</v>
      </c>
      <c r="L438" t="s">
        <v>336</v>
      </c>
      <c r="M438">
        <v>5100001925</v>
      </c>
      <c r="N438" t="s">
        <v>155</v>
      </c>
      <c r="O438" t="s">
        <v>156</v>
      </c>
      <c r="P438">
        <v>4110055667</v>
      </c>
      <c r="Q438" t="s">
        <v>185</v>
      </c>
      <c r="R438">
        <v>5000</v>
      </c>
      <c r="S438" t="s">
        <v>166</v>
      </c>
      <c r="V438" t="s">
        <v>167</v>
      </c>
      <c r="W438">
        <v>1502040317</v>
      </c>
      <c r="X438" t="s">
        <v>73</v>
      </c>
      <c r="Y438" t="str">
        <f>VLOOKUP(W438,Sheet4!$A$5:$B$71,2,0)</f>
        <v>Re Side Door</v>
      </c>
      <c r="Z438">
        <v>87082900</v>
      </c>
      <c r="AA438">
        <v>120</v>
      </c>
      <c r="AB438" t="s">
        <v>159</v>
      </c>
      <c r="AC438">
        <v>507.85</v>
      </c>
      <c r="AD438" t="s">
        <v>160</v>
      </c>
      <c r="AE438" s="24">
        <v>60942</v>
      </c>
      <c r="AF438">
        <v>0</v>
      </c>
      <c r="AG438" s="24">
        <v>60942</v>
      </c>
      <c r="AH438">
        <v>0</v>
      </c>
      <c r="AI438">
        <v>0</v>
      </c>
      <c r="AJ438">
        <v>0</v>
      </c>
      <c r="AK438">
        <v>0</v>
      </c>
      <c r="AL438" s="24">
        <v>60942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 s="24">
        <v>60942</v>
      </c>
      <c r="AV438">
        <v>0</v>
      </c>
      <c r="AW438">
        <v>0</v>
      </c>
      <c r="AX438">
        <v>311000</v>
      </c>
      <c r="AY438" t="s">
        <v>161</v>
      </c>
      <c r="AZ438">
        <v>2.27</v>
      </c>
      <c r="BA438">
        <v>2.27</v>
      </c>
      <c r="BB438">
        <v>0</v>
      </c>
      <c r="BC438" t="s">
        <v>186</v>
      </c>
      <c r="BD438">
        <v>1511</v>
      </c>
      <c r="BE438" t="s">
        <v>174</v>
      </c>
      <c r="BF438">
        <v>5094058719</v>
      </c>
      <c r="BG438" t="s">
        <v>336</v>
      </c>
    </row>
    <row r="439" spans="1:59">
      <c r="A439">
        <v>1115</v>
      </c>
      <c r="B439">
        <v>1115</v>
      </c>
      <c r="C439">
        <v>10</v>
      </c>
      <c r="D439">
        <v>2</v>
      </c>
      <c r="E439" t="s">
        <v>152</v>
      </c>
      <c r="F439" t="s">
        <v>153</v>
      </c>
      <c r="G439" t="s">
        <v>154</v>
      </c>
      <c r="H439">
        <v>1526005526</v>
      </c>
      <c r="I439">
        <v>1000005772</v>
      </c>
      <c r="L439" t="s">
        <v>336</v>
      </c>
      <c r="M439">
        <v>5100001636</v>
      </c>
      <c r="N439" t="s">
        <v>155</v>
      </c>
      <c r="O439" t="s">
        <v>156</v>
      </c>
      <c r="P439">
        <v>4110026445</v>
      </c>
      <c r="Q439" t="s">
        <v>170</v>
      </c>
      <c r="R439">
        <v>5000</v>
      </c>
      <c r="S439" t="s">
        <v>166</v>
      </c>
      <c r="V439" t="s">
        <v>167</v>
      </c>
      <c r="W439">
        <v>1502020104</v>
      </c>
      <c r="X439" t="s">
        <v>26</v>
      </c>
      <c r="Y439" t="str">
        <f>VLOOKUP(W439,Sheet4!$A$5:$B$71,2,0)</f>
        <v>RE STYLING</v>
      </c>
      <c r="Z439">
        <v>87082900</v>
      </c>
      <c r="AA439">
        <v>15</v>
      </c>
      <c r="AB439" t="s">
        <v>159</v>
      </c>
      <c r="AC439" s="24">
        <v>6585.55</v>
      </c>
      <c r="AD439" t="s">
        <v>160</v>
      </c>
      <c r="AE439" s="24">
        <v>98783.25</v>
      </c>
      <c r="AF439">
        <v>0</v>
      </c>
      <c r="AG439" s="24">
        <v>98783.25</v>
      </c>
      <c r="AH439">
        <v>0</v>
      </c>
      <c r="AI439">
        <v>0</v>
      </c>
      <c r="AJ439">
        <v>0</v>
      </c>
      <c r="AK439">
        <v>0</v>
      </c>
      <c r="AL439" s="24">
        <v>98783.25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s="24">
        <v>98783.25</v>
      </c>
      <c r="AV439">
        <v>0</v>
      </c>
      <c r="AW439">
        <v>0</v>
      </c>
      <c r="AX439">
        <v>311000</v>
      </c>
      <c r="AY439" t="s">
        <v>161</v>
      </c>
      <c r="AZ439">
        <v>49.75</v>
      </c>
      <c r="BA439">
        <v>49.75</v>
      </c>
      <c r="BB439">
        <v>0</v>
      </c>
      <c r="BC439" t="s">
        <v>171</v>
      </c>
      <c r="BD439">
        <v>1509</v>
      </c>
      <c r="BE439" t="s">
        <v>169</v>
      </c>
      <c r="BF439">
        <v>5094066904</v>
      </c>
      <c r="BG439" t="s">
        <v>336</v>
      </c>
    </row>
    <row r="440" spans="1:59">
      <c r="A440">
        <v>1115</v>
      </c>
      <c r="B440">
        <v>1115</v>
      </c>
      <c r="C440">
        <v>10</v>
      </c>
      <c r="D440">
        <v>2</v>
      </c>
      <c r="E440" t="s">
        <v>152</v>
      </c>
      <c r="F440" t="s">
        <v>153</v>
      </c>
      <c r="G440" t="s">
        <v>154</v>
      </c>
      <c r="H440">
        <v>1526005525</v>
      </c>
      <c r="I440">
        <v>1000005771</v>
      </c>
      <c r="L440" t="s">
        <v>336</v>
      </c>
      <c r="M440">
        <v>5100001934</v>
      </c>
      <c r="N440" t="s">
        <v>155</v>
      </c>
      <c r="O440" t="s">
        <v>156</v>
      </c>
      <c r="P440">
        <v>4110058649</v>
      </c>
      <c r="Q440" t="s">
        <v>196</v>
      </c>
      <c r="R440">
        <v>5000</v>
      </c>
      <c r="S440" t="s">
        <v>166</v>
      </c>
      <c r="V440" t="s">
        <v>167</v>
      </c>
      <c r="W440">
        <v>1502040217</v>
      </c>
      <c r="X440" t="s">
        <v>197</v>
      </c>
      <c r="Y440" t="str">
        <f>VLOOKUP(W440,Sheet4!$A$5:$B$71,2,0)</f>
        <v>FRONT MUDGARD GOGO</v>
      </c>
      <c r="Z440">
        <v>87082900</v>
      </c>
      <c r="AA440">
        <v>100</v>
      </c>
      <c r="AB440" t="s">
        <v>159</v>
      </c>
      <c r="AC440">
        <v>380.93</v>
      </c>
      <c r="AD440" t="s">
        <v>160</v>
      </c>
      <c r="AE440" s="24">
        <v>38093</v>
      </c>
      <c r="AF440">
        <v>0</v>
      </c>
      <c r="AG440" s="24">
        <v>38093</v>
      </c>
      <c r="AH440">
        <v>0</v>
      </c>
      <c r="AI440">
        <v>0</v>
      </c>
      <c r="AJ440">
        <v>0</v>
      </c>
      <c r="AK440">
        <v>0</v>
      </c>
      <c r="AL440" s="24">
        <v>38093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s="24">
        <v>38093</v>
      </c>
      <c r="AV440">
        <v>0</v>
      </c>
      <c r="AW440">
        <v>0</v>
      </c>
      <c r="AX440">
        <v>311000</v>
      </c>
      <c r="AY440" t="s">
        <v>161</v>
      </c>
      <c r="AZ440">
        <v>2.13</v>
      </c>
      <c r="BA440">
        <v>2.13</v>
      </c>
      <c r="BB440">
        <v>0</v>
      </c>
      <c r="BC440" t="s">
        <v>198</v>
      </c>
      <c r="BD440">
        <v>1511</v>
      </c>
      <c r="BE440" t="s">
        <v>174</v>
      </c>
      <c r="BF440">
        <v>5094055997</v>
      </c>
      <c r="BG440" t="s">
        <v>336</v>
      </c>
    </row>
    <row r="441" spans="1:59">
      <c r="A441">
        <v>1115</v>
      </c>
      <c r="B441">
        <v>1115</v>
      </c>
      <c r="C441">
        <v>10</v>
      </c>
      <c r="D441">
        <v>2</v>
      </c>
      <c r="E441" t="s">
        <v>152</v>
      </c>
      <c r="F441" t="s">
        <v>153</v>
      </c>
      <c r="G441" t="s">
        <v>154</v>
      </c>
      <c r="H441">
        <v>1526005523</v>
      </c>
      <c r="I441">
        <v>1000005769</v>
      </c>
      <c r="L441" t="s">
        <v>336</v>
      </c>
      <c r="M441">
        <v>5100001603</v>
      </c>
      <c r="N441" t="s">
        <v>155</v>
      </c>
      <c r="O441" t="s">
        <v>156</v>
      </c>
      <c r="P441">
        <v>4110025468</v>
      </c>
      <c r="Q441" t="s">
        <v>165</v>
      </c>
      <c r="R441">
        <v>5000</v>
      </c>
      <c r="S441" t="s">
        <v>166</v>
      </c>
      <c r="V441" t="s">
        <v>167</v>
      </c>
      <c r="W441">
        <v>1502020102</v>
      </c>
      <c r="X441" t="s">
        <v>58</v>
      </c>
      <c r="Y441" t="str">
        <f>VLOOKUP(W441,Sheet4!$A$5:$B$71,2,0)</f>
        <v>MAXIMA HD</v>
      </c>
      <c r="Z441">
        <v>87082900</v>
      </c>
      <c r="AA441">
        <v>6</v>
      </c>
      <c r="AB441" t="s">
        <v>159</v>
      </c>
      <c r="AC441" s="24">
        <v>8593.51</v>
      </c>
      <c r="AD441" t="s">
        <v>160</v>
      </c>
      <c r="AE441" s="24">
        <v>51561.06</v>
      </c>
      <c r="AF441">
        <v>0</v>
      </c>
      <c r="AG441" s="24">
        <v>51561.06</v>
      </c>
      <c r="AH441">
        <v>0</v>
      </c>
      <c r="AI441">
        <v>0</v>
      </c>
      <c r="AJ441">
        <v>0</v>
      </c>
      <c r="AK441">
        <v>0</v>
      </c>
      <c r="AL441" s="24">
        <v>51561.06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 s="24">
        <v>51561.06</v>
      </c>
      <c r="AV441">
        <v>0</v>
      </c>
      <c r="AW441">
        <v>0</v>
      </c>
      <c r="AX441">
        <v>311000</v>
      </c>
      <c r="AY441" t="s">
        <v>161</v>
      </c>
      <c r="AZ441">
        <v>93.34</v>
      </c>
      <c r="BA441">
        <v>75.430000000000007</v>
      </c>
      <c r="BB441">
        <v>17.91</v>
      </c>
      <c r="BC441" t="s">
        <v>168</v>
      </c>
      <c r="BD441">
        <v>1509</v>
      </c>
      <c r="BE441" t="s">
        <v>169</v>
      </c>
      <c r="BF441">
        <v>5094055998</v>
      </c>
      <c r="BG441" t="s">
        <v>336</v>
      </c>
    </row>
    <row r="442" spans="1:59">
      <c r="A442">
        <v>1115</v>
      </c>
      <c r="B442">
        <v>1115</v>
      </c>
      <c r="C442">
        <v>10</v>
      </c>
      <c r="D442">
        <v>2</v>
      </c>
      <c r="E442" t="s">
        <v>152</v>
      </c>
      <c r="F442" t="s">
        <v>153</v>
      </c>
      <c r="G442" t="s">
        <v>154</v>
      </c>
      <c r="H442">
        <v>1526005522</v>
      </c>
      <c r="I442">
        <v>1000005768</v>
      </c>
      <c r="L442" t="s">
        <v>336</v>
      </c>
      <c r="M442">
        <v>5100001101</v>
      </c>
      <c r="N442" t="s">
        <v>155</v>
      </c>
      <c r="O442" t="s">
        <v>156</v>
      </c>
      <c r="P442">
        <v>4110004653</v>
      </c>
      <c r="Q442" t="s">
        <v>177</v>
      </c>
      <c r="R442">
        <v>5000</v>
      </c>
      <c r="S442" t="s">
        <v>166</v>
      </c>
      <c r="V442" t="s">
        <v>167</v>
      </c>
      <c r="W442">
        <v>1502040194</v>
      </c>
      <c r="X442" t="s">
        <v>44</v>
      </c>
      <c r="Y442" t="str">
        <f>VLOOKUP(W442,Sheet4!$A$5:$B$71,2,0)</f>
        <v>CRADEL</v>
      </c>
      <c r="Z442">
        <v>87082900</v>
      </c>
      <c r="AA442">
        <v>48</v>
      </c>
      <c r="AB442" t="s">
        <v>159</v>
      </c>
      <c r="AC442">
        <v>956.92</v>
      </c>
      <c r="AD442" t="s">
        <v>160</v>
      </c>
      <c r="AE442" s="24">
        <v>45932.160000000003</v>
      </c>
      <c r="AF442">
        <v>0</v>
      </c>
      <c r="AG442" s="24">
        <v>45932.160000000003</v>
      </c>
      <c r="AH442">
        <v>0</v>
      </c>
      <c r="AI442">
        <v>0</v>
      </c>
      <c r="AJ442">
        <v>0</v>
      </c>
      <c r="AK442">
        <v>0</v>
      </c>
      <c r="AL442" s="24">
        <v>45932.160000000003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 s="24">
        <v>45932.160000000003</v>
      </c>
      <c r="AV442">
        <v>0</v>
      </c>
      <c r="AW442">
        <v>0</v>
      </c>
      <c r="AX442">
        <v>311000</v>
      </c>
      <c r="AY442" t="s">
        <v>161</v>
      </c>
      <c r="AZ442">
        <v>6.3769999999999998</v>
      </c>
      <c r="BA442">
        <v>6.3769999999999998</v>
      </c>
      <c r="BB442">
        <v>0</v>
      </c>
      <c r="BC442" t="s">
        <v>184</v>
      </c>
      <c r="BD442">
        <v>1511</v>
      </c>
      <c r="BE442" t="s">
        <v>174</v>
      </c>
      <c r="BF442">
        <v>5094062760</v>
      </c>
      <c r="BG442" t="s">
        <v>336</v>
      </c>
    </row>
    <row r="443" spans="1:59">
      <c r="A443">
        <v>1115</v>
      </c>
      <c r="B443">
        <v>1115</v>
      </c>
      <c r="C443">
        <v>10</v>
      </c>
      <c r="D443">
        <v>2</v>
      </c>
      <c r="E443" t="s">
        <v>152</v>
      </c>
      <c r="F443" t="s">
        <v>153</v>
      </c>
      <c r="G443" t="s">
        <v>154</v>
      </c>
      <c r="H443">
        <v>1526005521</v>
      </c>
      <c r="I443">
        <v>1000005767</v>
      </c>
      <c r="L443" t="s">
        <v>336</v>
      </c>
      <c r="M443">
        <v>5100001101</v>
      </c>
      <c r="N443" t="s">
        <v>155</v>
      </c>
      <c r="O443" t="s">
        <v>156</v>
      </c>
      <c r="P443">
        <v>4110004653</v>
      </c>
      <c r="Q443" t="s">
        <v>177</v>
      </c>
      <c r="R443">
        <v>5000</v>
      </c>
      <c r="S443" t="s">
        <v>166</v>
      </c>
      <c r="V443" t="s">
        <v>167</v>
      </c>
      <c r="W443">
        <v>1502040194</v>
      </c>
      <c r="X443" t="s">
        <v>44</v>
      </c>
      <c r="Y443" t="str">
        <f>VLOOKUP(W443,Sheet4!$A$5:$B$71,2,0)</f>
        <v>CRADEL</v>
      </c>
      <c r="Z443">
        <v>87082900</v>
      </c>
      <c r="AA443">
        <v>48</v>
      </c>
      <c r="AB443" t="s">
        <v>159</v>
      </c>
      <c r="AC443">
        <v>956.92</v>
      </c>
      <c r="AD443" t="s">
        <v>160</v>
      </c>
      <c r="AE443" s="24">
        <v>45932.160000000003</v>
      </c>
      <c r="AF443">
        <v>0</v>
      </c>
      <c r="AG443" s="24">
        <v>45932.160000000003</v>
      </c>
      <c r="AH443">
        <v>0</v>
      </c>
      <c r="AI443">
        <v>0</v>
      </c>
      <c r="AJ443">
        <v>0</v>
      </c>
      <c r="AK443">
        <v>0</v>
      </c>
      <c r="AL443" s="24">
        <v>45932.160000000003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s="24">
        <v>45932.160000000003</v>
      </c>
      <c r="AV443">
        <v>0</v>
      </c>
      <c r="AW443">
        <v>0</v>
      </c>
      <c r="AX443">
        <v>311000</v>
      </c>
      <c r="AY443" t="s">
        <v>161</v>
      </c>
      <c r="AZ443">
        <v>6.3769999999999998</v>
      </c>
      <c r="BA443">
        <v>6.3769999999999998</v>
      </c>
      <c r="BB443">
        <v>0</v>
      </c>
      <c r="BC443" t="s">
        <v>184</v>
      </c>
      <c r="BD443">
        <v>1511</v>
      </c>
      <c r="BE443" t="s">
        <v>174</v>
      </c>
      <c r="BF443">
        <v>5094059245</v>
      </c>
      <c r="BG443" t="s">
        <v>336</v>
      </c>
    </row>
    <row r="444" spans="1:59">
      <c r="A444">
        <v>1115</v>
      </c>
      <c r="B444">
        <v>1115</v>
      </c>
      <c r="C444">
        <v>10</v>
      </c>
      <c r="D444">
        <v>2</v>
      </c>
      <c r="E444" t="s">
        <v>152</v>
      </c>
      <c r="F444" t="s">
        <v>153</v>
      </c>
      <c r="G444" t="s">
        <v>154</v>
      </c>
      <c r="H444">
        <v>1526005520</v>
      </c>
      <c r="I444">
        <v>1000005763</v>
      </c>
      <c r="L444" t="s">
        <v>336</v>
      </c>
      <c r="M444">
        <v>5100001730</v>
      </c>
      <c r="N444" t="s">
        <v>155</v>
      </c>
      <c r="O444" t="s">
        <v>156</v>
      </c>
      <c r="P444">
        <v>4110029871</v>
      </c>
      <c r="Q444" t="s">
        <v>301</v>
      </c>
      <c r="R444">
        <v>5000</v>
      </c>
      <c r="S444" t="s">
        <v>166</v>
      </c>
      <c r="V444" t="s">
        <v>167</v>
      </c>
      <c r="W444">
        <v>1502020112</v>
      </c>
      <c r="X444" t="s">
        <v>302</v>
      </c>
      <c r="Y444" t="str">
        <f>VLOOKUP(W444,Sheet4!$A$5:$B$71,2,0)</f>
        <v>MAX UG NEW</v>
      </c>
      <c r="Z444">
        <v>87082900</v>
      </c>
      <c r="AA444">
        <v>10</v>
      </c>
      <c r="AB444" t="s">
        <v>159</v>
      </c>
      <c r="AC444" s="24">
        <v>9441.75</v>
      </c>
      <c r="AD444" t="s">
        <v>160</v>
      </c>
      <c r="AE444" s="24">
        <v>94417.5</v>
      </c>
      <c r="AF444">
        <v>0</v>
      </c>
      <c r="AG444" s="24">
        <v>94417.5</v>
      </c>
      <c r="AH444">
        <v>0</v>
      </c>
      <c r="AI444">
        <v>0</v>
      </c>
      <c r="AJ444">
        <v>0</v>
      </c>
      <c r="AK444">
        <v>0</v>
      </c>
      <c r="AL444" s="24">
        <v>94417.5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 s="24">
        <v>94417.5</v>
      </c>
      <c r="AV444">
        <v>0</v>
      </c>
      <c r="AW444">
        <v>0</v>
      </c>
      <c r="AX444">
        <v>311000</v>
      </c>
      <c r="AY444" t="s">
        <v>161</v>
      </c>
      <c r="AZ444">
        <v>75</v>
      </c>
      <c r="BA444">
        <v>75</v>
      </c>
      <c r="BB444">
        <v>0</v>
      </c>
      <c r="BC444" t="s">
        <v>303</v>
      </c>
      <c r="BD444">
        <v>1509</v>
      </c>
      <c r="BE444" t="s">
        <v>169</v>
      </c>
      <c r="BF444">
        <v>5094056126</v>
      </c>
      <c r="BG444" t="s">
        <v>336</v>
      </c>
    </row>
    <row r="445" spans="1:59">
      <c r="A445">
        <v>1115</v>
      </c>
      <c r="B445">
        <v>1115</v>
      </c>
      <c r="C445">
        <v>10</v>
      </c>
      <c r="D445">
        <v>2</v>
      </c>
      <c r="E445" t="s">
        <v>152</v>
      </c>
      <c r="F445" t="s">
        <v>153</v>
      </c>
      <c r="G445" t="s">
        <v>154</v>
      </c>
      <c r="H445">
        <v>1526005519</v>
      </c>
      <c r="I445">
        <v>1000005762</v>
      </c>
      <c r="L445" t="s">
        <v>336</v>
      </c>
      <c r="M445">
        <v>5100001730</v>
      </c>
      <c r="N445" t="s">
        <v>155</v>
      </c>
      <c r="O445" t="s">
        <v>156</v>
      </c>
      <c r="P445">
        <v>4110029871</v>
      </c>
      <c r="Q445" t="s">
        <v>301</v>
      </c>
      <c r="R445">
        <v>5000</v>
      </c>
      <c r="S445" t="s">
        <v>166</v>
      </c>
      <c r="V445" t="s">
        <v>167</v>
      </c>
      <c r="W445">
        <v>1502020112</v>
      </c>
      <c r="X445" t="s">
        <v>302</v>
      </c>
      <c r="Y445" t="str">
        <f>VLOOKUP(W445,Sheet4!$A$5:$B$71,2,0)</f>
        <v>MAX UG NEW</v>
      </c>
      <c r="Z445">
        <v>87082900</v>
      </c>
      <c r="AA445">
        <v>10</v>
      </c>
      <c r="AB445" t="s">
        <v>159</v>
      </c>
      <c r="AC445" s="24">
        <v>9441.75</v>
      </c>
      <c r="AD445" t="s">
        <v>160</v>
      </c>
      <c r="AE445" s="24">
        <v>94417.5</v>
      </c>
      <c r="AF445">
        <v>0</v>
      </c>
      <c r="AG445" s="24">
        <v>94417.5</v>
      </c>
      <c r="AH445">
        <v>0</v>
      </c>
      <c r="AI445">
        <v>0</v>
      </c>
      <c r="AJ445">
        <v>0</v>
      </c>
      <c r="AK445">
        <v>0</v>
      </c>
      <c r="AL445" s="24">
        <v>94417.5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 s="24">
        <v>94417.5</v>
      </c>
      <c r="AV445">
        <v>0</v>
      </c>
      <c r="AW445">
        <v>0</v>
      </c>
      <c r="AX445">
        <v>311000</v>
      </c>
      <c r="AY445" t="s">
        <v>161</v>
      </c>
      <c r="AZ445">
        <v>75</v>
      </c>
      <c r="BA445">
        <v>75</v>
      </c>
      <c r="BB445">
        <v>0</v>
      </c>
      <c r="BC445" t="s">
        <v>303</v>
      </c>
      <c r="BD445">
        <v>1509</v>
      </c>
      <c r="BE445" t="s">
        <v>169</v>
      </c>
      <c r="BF445">
        <v>5094056036</v>
      </c>
      <c r="BG445" t="s">
        <v>336</v>
      </c>
    </row>
    <row r="446" spans="1:59">
      <c r="A446">
        <v>1115</v>
      </c>
      <c r="B446">
        <v>1115</v>
      </c>
      <c r="C446">
        <v>10</v>
      </c>
      <c r="D446">
        <v>2</v>
      </c>
      <c r="E446" t="s">
        <v>152</v>
      </c>
      <c r="F446" t="s">
        <v>153</v>
      </c>
      <c r="G446" t="s">
        <v>154</v>
      </c>
      <c r="H446">
        <v>1526005518</v>
      </c>
      <c r="I446">
        <v>1000005759</v>
      </c>
      <c r="L446" t="s">
        <v>336</v>
      </c>
      <c r="M446">
        <v>5100001913</v>
      </c>
      <c r="N446" t="s">
        <v>155</v>
      </c>
      <c r="O446" t="s">
        <v>156</v>
      </c>
      <c r="P446">
        <v>4110050475</v>
      </c>
      <c r="Q446" t="s">
        <v>178</v>
      </c>
      <c r="R446">
        <v>5000</v>
      </c>
      <c r="S446" t="s">
        <v>166</v>
      </c>
      <c r="V446" t="s">
        <v>167</v>
      </c>
      <c r="W446">
        <v>1502040289</v>
      </c>
      <c r="X446" t="s">
        <v>49</v>
      </c>
      <c r="Y446" t="str">
        <f>VLOOKUP(W446,Sheet4!$A$5:$B$71,2,0)</f>
        <v>SUPPORT TOP</v>
      </c>
      <c r="Z446">
        <v>87082900</v>
      </c>
      <c r="AA446">
        <v>480</v>
      </c>
      <c r="AB446" t="s">
        <v>159</v>
      </c>
      <c r="AC446">
        <v>174.61</v>
      </c>
      <c r="AD446" t="s">
        <v>160</v>
      </c>
      <c r="AE446" s="24">
        <v>83812.800000000003</v>
      </c>
      <c r="AF446">
        <v>0</v>
      </c>
      <c r="AG446" s="24">
        <v>83812.800000000003</v>
      </c>
      <c r="AH446">
        <v>0</v>
      </c>
      <c r="AI446">
        <v>0</v>
      </c>
      <c r="AJ446">
        <v>0</v>
      </c>
      <c r="AK446">
        <v>0</v>
      </c>
      <c r="AL446" s="24">
        <v>83812.800000000003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 s="24">
        <v>83812.800000000003</v>
      </c>
      <c r="AV446">
        <v>0</v>
      </c>
      <c r="AW446">
        <v>0</v>
      </c>
      <c r="AX446">
        <v>311000</v>
      </c>
      <c r="AY446" t="s">
        <v>161</v>
      </c>
      <c r="AZ446">
        <v>0</v>
      </c>
      <c r="BA446">
        <v>0</v>
      </c>
      <c r="BB446">
        <v>0</v>
      </c>
      <c r="BC446" t="s">
        <v>179</v>
      </c>
      <c r="BD446">
        <v>1511</v>
      </c>
      <c r="BE446" t="s">
        <v>174</v>
      </c>
      <c r="BF446">
        <v>5094058740</v>
      </c>
      <c r="BG446" t="s">
        <v>336</v>
      </c>
    </row>
    <row r="447" spans="1:59">
      <c r="A447">
        <v>1115</v>
      </c>
      <c r="B447">
        <v>1115</v>
      </c>
      <c r="C447">
        <v>10</v>
      </c>
      <c r="D447">
        <v>2</v>
      </c>
      <c r="E447" t="s">
        <v>152</v>
      </c>
      <c r="F447" t="s">
        <v>153</v>
      </c>
      <c r="G447" t="s">
        <v>154</v>
      </c>
      <c r="H447">
        <v>1526005517</v>
      </c>
      <c r="I447">
        <v>1000005758</v>
      </c>
      <c r="L447" t="s">
        <v>336</v>
      </c>
      <c r="M447">
        <v>5100001588</v>
      </c>
      <c r="N447" t="s">
        <v>155</v>
      </c>
      <c r="O447" t="s">
        <v>156</v>
      </c>
      <c r="P447">
        <v>4110025058</v>
      </c>
      <c r="Q447" t="s">
        <v>180</v>
      </c>
      <c r="R447">
        <v>5000</v>
      </c>
      <c r="S447" t="s">
        <v>166</v>
      </c>
      <c r="V447" t="s">
        <v>167</v>
      </c>
      <c r="W447">
        <v>1502040235</v>
      </c>
      <c r="X447" t="s">
        <v>47</v>
      </c>
      <c r="Y447" t="str">
        <f>VLOOKUP(W447,Sheet4!$A$5:$B$71,2,0)</f>
        <v>STARTING HANDLE</v>
      </c>
      <c r="Z447">
        <v>87082900</v>
      </c>
      <c r="AA447">
        <v>540</v>
      </c>
      <c r="AB447" t="s">
        <v>159</v>
      </c>
      <c r="AC447">
        <v>217.33</v>
      </c>
      <c r="AD447" t="s">
        <v>160</v>
      </c>
      <c r="AE447" s="24">
        <v>117358.2</v>
      </c>
      <c r="AF447">
        <v>0</v>
      </c>
      <c r="AG447" s="24">
        <v>117358.2</v>
      </c>
      <c r="AH447">
        <v>0</v>
      </c>
      <c r="AI447">
        <v>0</v>
      </c>
      <c r="AJ447">
        <v>0</v>
      </c>
      <c r="AK447">
        <v>0</v>
      </c>
      <c r="AL447" s="24">
        <v>117358.2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 s="24">
        <v>117358.2</v>
      </c>
      <c r="AV447">
        <v>0</v>
      </c>
      <c r="AW447">
        <v>0</v>
      </c>
      <c r="AX447">
        <v>311000</v>
      </c>
      <c r="AY447" t="s">
        <v>161</v>
      </c>
      <c r="AZ447">
        <v>1.19</v>
      </c>
      <c r="BA447">
        <v>1.19</v>
      </c>
      <c r="BB447">
        <v>0</v>
      </c>
      <c r="BC447" t="s">
        <v>181</v>
      </c>
      <c r="BD447">
        <v>1511</v>
      </c>
      <c r="BE447" t="s">
        <v>174</v>
      </c>
      <c r="BF447">
        <v>5094057812</v>
      </c>
      <c r="BG447" t="s">
        <v>336</v>
      </c>
    </row>
    <row r="448" spans="1:59">
      <c r="A448">
        <v>1115</v>
      </c>
      <c r="B448">
        <v>1115</v>
      </c>
      <c r="C448">
        <v>10</v>
      </c>
      <c r="D448">
        <v>2</v>
      </c>
      <c r="E448" t="s">
        <v>152</v>
      </c>
      <c r="F448" t="s">
        <v>153</v>
      </c>
      <c r="G448" t="s">
        <v>154</v>
      </c>
      <c r="H448">
        <v>1526005516</v>
      </c>
      <c r="I448">
        <v>1000005756</v>
      </c>
      <c r="L448" t="s">
        <v>336</v>
      </c>
      <c r="M448">
        <v>5100001603</v>
      </c>
      <c r="N448" t="s">
        <v>155</v>
      </c>
      <c r="O448" t="s">
        <v>156</v>
      </c>
      <c r="P448">
        <v>4110025468</v>
      </c>
      <c r="Q448" t="s">
        <v>165</v>
      </c>
      <c r="R448">
        <v>5000</v>
      </c>
      <c r="S448" t="s">
        <v>166</v>
      </c>
      <c r="V448" t="s">
        <v>167</v>
      </c>
      <c r="W448">
        <v>1502020102</v>
      </c>
      <c r="X448" t="s">
        <v>58</v>
      </c>
      <c r="Y448" t="str">
        <f>VLOOKUP(W448,Sheet4!$A$5:$B$71,2,0)</f>
        <v>MAXIMA HD</v>
      </c>
      <c r="Z448">
        <v>87082900</v>
      </c>
      <c r="AA448">
        <v>8</v>
      </c>
      <c r="AB448" t="s">
        <v>159</v>
      </c>
      <c r="AC448" s="24">
        <v>8593.51</v>
      </c>
      <c r="AD448" t="s">
        <v>160</v>
      </c>
      <c r="AE448" s="24">
        <v>68748.08</v>
      </c>
      <c r="AF448">
        <v>0</v>
      </c>
      <c r="AG448" s="24">
        <v>68748.08</v>
      </c>
      <c r="AH448">
        <v>0</v>
      </c>
      <c r="AI448">
        <v>0</v>
      </c>
      <c r="AJ448">
        <v>0</v>
      </c>
      <c r="AK448">
        <v>0</v>
      </c>
      <c r="AL448" s="24">
        <v>68748.08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 s="24">
        <v>68748.08</v>
      </c>
      <c r="AV448">
        <v>0</v>
      </c>
      <c r="AW448">
        <v>0</v>
      </c>
      <c r="AX448">
        <v>311000</v>
      </c>
      <c r="AY448" t="s">
        <v>161</v>
      </c>
      <c r="AZ448">
        <v>93.34</v>
      </c>
      <c r="BA448">
        <v>75.430000000000007</v>
      </c>
      <c r="BB448">
        <v>17.91</v>
      </c>
      <c r="BC448" t="s">
        <v>168</v>
      </c>
      <c r="BD448">
        <v>1509</v>
      </c>
      <c r="BE448" t="s">
        <v>169</v>
      </c>
      <c r="BF448">
        <v>5094064741</v>
      </c>
      <c r="BG448" t="s">
        <v>336</v>
      </c>
    </row>
    <row r="449" spans="1:59">
      <c r="A449">
        <v>1115</v>
      </c>
      <c r="B449">
        <v>1115</v>
      </c>
      <c r="C449">
        <v>10</v>
      </c>
      <c r="D449">
        <v>2</v>
      </c>
      <c r="E449" t="s">
        <v>152</v>
      </c>
      <c r="F449" t="s">
        <v>153</v>
      </c>
      <c r="G449" t="s">
        <v>154</v>
      </c>
      <c r="H449">
        <v>1526005515</v>
      </c>
      <c r="I449">
        <v>1000005755</v>
      </c>
      <c r="L449" t="s">
        <v>336</v>
      </c>
      <c r="M449">
        <v>5100001603</v>
      </c>
      <c r="N449" t="s">
        <v>155</v>
      </c>
      <c r="O449" t="s">
        <v>156</v>
      </c>
      <c r="P449">
        <v>4110025468</v>
      </c>
      <c r="Q449" t="s">
        <v>165</v>
      </c>
      <c r="R449">
        <v>5000</v>
      </c>
      <c r="S449" t="s">
        <v>166</v>
      </c>
      <c r="V449" t="s">
        <v>167</v>
      </c>
      <c r="W449">
        <v>1502020102</v>
      </c>
      <c r="X449" t="s">
        <v>58</v>
      </c>
      <c r="Y449" t="str">
        <f>VLOOKUP(W449,Sheet4!$A$5:$B$71,2,0)</f>
        <v>MAXIMA HD</v>
      </c>
      <c r="Z449">
        <v>87082900</v>
      </c>
      <c r="AA449">
        <v>8</v>
      </c>
      <c r="AB449" t="s">
        <v>159</v>
      </c>
      <c r="AC449" s="24">
        <v>8593.51</v>
      </c>
      <c r="AD449" t="s">
        <v>160</v>
      </c>
      <c r="AE449" s="24">
        <v>68748.08</v>
      </c>
      <c r="AF449">
        <v>0</v>
      </c>
      <c r="AG449" s="24">
        <v>68748.08</v>
      </c>
      <c r="AH449">
        <v>0</v>
      </c>
      <c r="AI449">
        <v>0</v>
      </c>
      <c r="AJ449">
        <v>0</v>
      </c>
      <c r="AK449">
        <v>0</v>
      </c>
      <c r="AL449" s="24">
        <v>68748.08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 s="24">
        <v>68748.08</v>
      </c>
      <c r="AV449">
        <v>0</v>
      </c>
      <c r="AW449">
        <v>0</v>
      </c>
      <c r="AX449">
        <v>311000</v>
      </c>
      <c r="AY449" t="s">
        <v>161</v>
      </c>
      <c r="AZ449">
        <v>93.34</v>
      </c>
      <c r="BA449">
        <v>75.430000000000007</v>
      </c>
      <c r="BB449">
        <v>17.91</v>
      </c>
      <c r="BC449" t="s">
        <v>168</v>
      </c>
      <c r="BD449">
        <v>1509</v>
      </c>
      <c r="BE449" t="s">
        <v>169</v>
      </c>
      <c r="BF449">
        <v>5094067136</v>
      </c>
      <c r="BG449" t="s">
        <v>336</v>
      </c>
    </row>
    <row r="450" spans="1:59">
      <c r="A450">
        <v>1115</v>
      </c>
      <c r="B450">
        <v>1115</v>
      </c>
      <c r="C450">
        <v>10</v>
      </c>
      <c r="D450">
        <v>2</v>
      </c>
      <c r="E450" t="s">
        <v>152</v>
      </c>
      <c r="F450" t="s">
        <v>153</v>
      </c>
      <c r="G450" t="s">
        <v>154</v>
      </c>
      <c r="H450">
        <v>1526005514</v>
      </c>
      <c r="I450">
        <v>1000005753</v>
      </c>
      <c r="L450" t="s">
        <v>336</v>
      </c>
      <c r="M450">
        <v>5100001603</v>
      </c>
      <c r="N450" t="s">
        <v>155</v>
      </c>
      <c r="O450" t="s">
        <v>156</v>
      </c>
      <c r="P450">
        <v>4110025468</v>
      </c>
      <c r="Q450" t="s">
        <v>165</v>
      </c>
      <c r="R450">
        <v>5000</v>
      </c>
      <c r="S450" t="s">
        <v>166</v>
      </c>
      <c r="V450" t="s">
        <v>167</v>
      </c>
      <c r="W450">
        <v>1502020102</v>
      </c>
      <c r="X450" t="s">
        <v>58</v>
      </c>
      <c r="Y450" t="str">
        <f>VLOOKUP(W450,Sheet4!$A$5:$B$71,2,0)</f>
        <v>MAXIMA HD</v>
      </c>
      <c r="Z450">
        <v>87082900</v>
      </c>
      <c r="AA450">
        <v>8</v>
      </c>
      <c r="AB450" t="s">
        <v>159</v>
      </c>
      <c r="AC450" s="24">
        <v>8593.51</v>
      </c>
      <c r="AD450" t="s">
        <v>160</v>
      </c>
      <c r="AE450" s="24">
        <v>68748.08</v>
      </c>
      <c r="AF450">
        <v>0</v>
      </c>
      <c r="AG450" s="24">
        <v>68748.08</v>
      </c>
      <c r="AH450">
        <v>0</v>
      </c>
      <c r="AI450">
        <v>0</v>
      </c>
      <c r="AJ450">
        <v>0</v>
      </c>
      <c r="AK450">
        <v>0</v>
      </c>
      <c r="AL450" s="24">
        <v>68748.08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 s="24">
        <v>68748.08</v>
      </c>
      <c r="AV450">
        <v>0</v>
      </c>
      <c r="AW450">
        <v>0</v>
      </c>
      <c r="AX450">
        <v>311000</v>
      </c>
      <c r="AY450" t="s">
        <v>161</v>
      </c>
      <c r="AZ450">
        <v>93.34</v>
      </c>
      <c r="BA450">
        <v>75.430000000000007</v>
      </c>
      <c r="BB450">
        <v>17.91</v>
      </c>
      <c r="BC450" t="s">
        <v>168</v>
      </c>
      <c r="BD450">
        <v>1509</v>
      </c>
      <c r="BE450" t="s">
        <v>169</v>
      </c>
      <c r="BF450">
        <v>5094058057</v>
      </c>
      <c r="BG450" t="s">
        <v>336</v>
      </c>
    </row>
    <row r="451" spans="1:59">
      <c r="A451">
        <v>1115</v>
      </c>
      <c r="B451">
        <v>1115</v>
      </c>
      <c r="C451">
        <v>10</v>
      </c>
      <c r="D451">
        <v>2</v>
      </c>
      <c r="E451" t="s">
        <v>152</v>
      </c>
      <c r="F451" t="s">
        <v>153</v>
      </c>
      <c r="G451" t="s">
        <v>154</v>
      </c>
      <c r="H451">
        <v>1526005513</v>
      </c>
      <c r="I451">
        <v>1000005751</v>
      </c>
      <c r="L451" t="s">
        <v>336</v>
      </c>
      <c r="M451">
        <v>5100001603</v>
      </c>
      <c r="N451" t="s">
        <v>155</v>
      </c>
      <c r="O451" t="s">
        <v>156</v>
      </c>
      <c r="P451">
        <v>4110025468</v>
      </c>
      <c r="Q451" t="s">
        <v>165</v>
      </c>
      <c r="R451">
        <v>5000</v>
      </c>
      <c r="S451" t="s">
        <v>166</v>
      </c>
      <c r="V451" t="s">
        <v>167</v>
      </c>
      <c r="W451">
        <v>1502020102</v>
      </c>
      <c r="X451" t="s">
        <v>58</v>
      </c>
      <c r="Y451" t="str">
        <f>VLOOKUP(W451,Sheet4!$A$5:$B$71,2,0)</f>
        <v>MAXIMA HD</v>
      </c>
      <c r="Z451">
        <v>87082900</v>
      </c>
      <c r="AA451">
        <v>8</v>
      </c>
      <c r="AB451" t="s">
        <v>159</v>
      </c>
      <c r="AC451" s="24">
        <v>8593.51</v>
      </c>
      <c r="AD451" t="s">
        <v>160</v>
      </c>
      <c r="AE451" s="24">
        <v>68748.08</v>
      </c>
      <c r="AF451">
        <v>0</v>
      </c>
      <c r="AG451" s="24">
        <v>68748.08</v>
      </c>
      <c r="AH451">
        <v>0</v>
      </c>
      <c r="AI451">
        <v>0</v>
      </c>
      <c r="AJ451">
        <v>0</v>
      </c>
      <c r="AK451">
        <v>0</v>
      </c>
      <c r="AL451" s="24">
        <v>68748.08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s="24">
        <v>68748.08</v>
      </c>
      <c r="AV451">
        <v>0</v>
      </c>
      <c r="AW451">
        <v>0</v>
      </c>
      <c r="AX451">
        <v>311000</v>
      </c>
      <c r="AY451" t="s">
        <v>161</v>
      </c>
      <c r="AZ451">
        <v>93.34</v>
      </c>
      <c r="BA451">
        <v>75.430000000000007</v>
      </c>
      <c r="BB451">
        <v>17.91</v>
      </c>
      <c r="BC451" t="s">
        <v>168</v>
      </c>
      <c r="BD451">
        <v>1509</v>
      </c>
      <c r="BE451" t="s">
        <v>169</v>
      </c>
      <c r="BF451">
        <v>5094066093</v>
      </c>
      <c r="BG451" t="s">
        <v>336</v>
      </c>
    </row>
    <row r="452" spans="1:59">
      <c r="A452">
        <v>1115</v>
      </c>
      <c r="B452">
        <v>1115</v>
      </c>
      <c r="C452">
        <v>10</v>
      </c>
      <c r="D452">
        <v>2</v>
      </c>
      <c r="E452" t="s">
        <v>152</v>
      </c>
      <c r="F452" t="s">
        <v>153</v>
      </c>
      <c r="G452" t="s">
        <v>154</v>
      </c>
      <c r="H452">
        <v>1526005512</v>
      </c>
      <c r="I452">
        <v>1000005749</v>
      </c>
      <c r="L452" t="s">
        <v>336</v>
      </c>
      <c r="M452">
        <v>5100001100</v>
      </c>
      <c r="N452" t="s">
        <v>155</v>
      </c>
      <c r="O452" t="s">
        <v>156</v>
      </c>
      <c r="P452">
        <v>4110004652</v>
      </c>
      <c r="Q452" t="s">
        <v>177</v>
      </c>
      <c r="R452">
        <v>5000</v>
      </c>
      <c r="S452" t="s">
        <v>166</v>
      </c>
      <c r="V452" t="s">
        <v>167</v>
      </c>
      <c r="W452">
        <v>1502040126</v>
      </c>
      <c r="X452" t="s">
        <v>53</v>
      </c>
      <c r="Y452" t="str">
        <f>VLOOKUP(W452,Sheet4!$A$5:$B$71,2,0)</f>
        <v>REAR COVER</v>
      </c>
      <c r="Z452">
        <v>87082900</v>
      </c>
      <c r="AA452">
        <v>55</v>
      </c>
      <c r="AB452" t="s">
        <v>159</v>
      </c>
      <c r="AC452">
        <v>155.58000000000001</v>
      </c>
      <c r="AD452" t="s">
        <v>160</v>
      </c>
      <c r="AE452" s="24">
        <v>8556.9</v>
      </c>
      <c r="AF452">
        <v>0</v>
      </c>
      <c r="AG452" s="24">
        <v>8556.9</v>
      </c>
      <c r="AH452">
        <v>0</v>
      </c>
      <c r="AI452">
        <v>0</v>
      </c>
      <c r="AJ452">
        <v>0</v>
      </c>
      <c r="AK452">
        <v>0</v>
      </c>
      <c r="AL452" s="24">
        <v>8556.9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 s="24">
        <v>8556.9</v>
      </c>
      <c r="AV452">
        <v>0</v>
      </c>
      <c r="AW452">
        <v>0</v>
      </c>
      <c r="AX452">
        <v>311000</v>
      </c>
      <c r="AY452" t="s">
        <v>161</v>
      </c>
      <c r="AZ452">
        <v>1.1850000000000001</v>
      </c>
      <c r="BA452">
        <v>1.1850000000000001</v>
      </c>
      <c r="BB452">
        <v>0</v>
      </c>
      <c r="BC452" t="s">
        <v>232</v>
      </c>
      <c r="BD452">
        <v>1511</v>
      </c>
      <c r="BE452" t="s">
        <v>174</v>
      </c>
      <c r="BF452">
        <v>5094056439</v>
      </c>
      <c r="BG452" t="s">
        <v>336</v>
      </c>
    </row>
    <row r="453" spans="1:59">
      <c r="A453">
        <v>1115</v>
      </c>
      <c r="B453">
        <v>1115</v>
      </c>
      <c r="C453">
        <v>10</v>
      </c>
      <c r="D453">
        <v>2</v>
      </c>
      <c r="E453" t="s">
        <v>152</v>
      </c>
      <c r="F453" t="s">
        <v>153</v>
      </c>
      <c r="G453" t="s">
        <v>154</v>
      </c>
      <c r="H453">
        <v>1526005511</v>
      </c>
      <c r="I453">
        <v>1000005748</v>
      </c>
      <c r="L453" t="s">
        <v>336</v>
      </c>
      <c r="M453">
        <v>5100001100</v>
      </c>
      <c r="N453" t="s">
        <v>155</v>
      </c>
      <c r="O453" t="s">
        <v>156</v>
      </c>
      <c r="P453">
        <v>4110004652</v>
      </c>
      <c r="Q453" t="s">
        <v>177</v>
      </c>
      <c r="R453">
        <v>5000</v>
      </c>
      <c r="S453" t="s">
        <v>166</v>
      </c>
      <c r="V453" t="s">
        <v>167</v>
      </c>
      <c r="W453">
        <v>1502040125</v>
      </c>
      <c r="X453" t="s">
        <v>52</v>
      </c>
      <c r="Y453" t="str">
        <f>VLOOKUP(W453,Sheet4!$A$5:$B$71,2,0)</f>
        <v>REAR COVER</v>
      </c>
      <c r="Z453">
        <v>87082900</v>
      </c>
      <c r="AA453">
        <v>55</v>
      </c>
      <c r="AB453" t="s">
        <v>159</v>
      </c>
      <c r="AC453">
        <v>160.44999999999999</v>
      </c>
      <c r="AD453" t="s">
        <v>160</v>
      </c>
      <c r="AE453" s="24">
        <v>8824.75</v>
      </c>
      <c r="AF453">
        <v>0</v>
      </c>
      <c r="AG453" s="24">
        <v>8824.75</v>
      </c>
      <c r="AH453">
        <v>0</v>
      </c>
      <c r="AI453">
        <v>0</v>
      </c>
      <c r="AJ453">
        <v>0</v>
      </c>
      <c r="AK453">
        <v>0</v>
      </c>
      <c r="AL453" s="24">
        <v>8824.75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 s="24">
        <v>8824.75</v>
      </c>
      <c r="AV453">
        <v>0</v>
      </c>
      <c r="AW453">
        <v>0</v>
      </c>
      <c r="AX453">
        <v>311000</v>
      </c>
      <c r="AY453" t="s">
        <v>161</v>
      </c>
      <c r="AZ453">
        <v>1.1850000000000001</v>
      </c>
      <c r="BA453">
        <v>1.1850000000000001</v>
      </c>
      <c r="BB453">
        <v>0</v>
      </c>
      <c r="BC453" t="s">
        <v>233</v>
      </c>
      <c r="BD453">
        <v>1511</v>
      </c>
      <c r="BE453" t="s">
        <v>174</v>
      </c>
      <c r="BF453">
        <v>5094056416</v>
      </c>
      <c r="BG453" t="s">
        <v>336</v>
      </c>
    </row>
    <row r="454" spans="1:59">
      <c r="A454">
        <v>1115</v>
      </c>
      <c r="B454">
        <v>1115</v>
      </c>
      <c r="C454">
        <v>10</v>
      </c>
      <c r="D454">
        <v>2</v>
      </c>
      <c r="E454" t="s">
        <v>152</v>
      </c>
      <c r="F454" t="s">
        <v>153</v>
      </c>
      <c r="G454" t="s">
        <v>154</v>
      </c>
      <c r="H454">
        <v>1526005509</v>
      </c>
      <c r="I454">
        <v>1000005744</v>
      </c>
      <c r="L454" t="s">
        <v>336</v>
      </c>
      <c r="M454">
        <v>5100001636</v>
      </c>
      <c r="N454" t="s">
        <v>155</v>
      </c>
      <c r="O454" t="s">
        <v>156</v>
      </c>
      <c r="P454">
        <v>4110026445</v>
      </c>
      <c r="Q454" t="s">
        <v>170</v>
      </c>
      <c r="R454">
        <v>5000</v>
      </c>
      <c r="S454" t="s">
        <v>166</v>
      </c>
      <c r="V454" t="s">
        <v>167</v>
      </c>
      <c r="W454">
        <v>1502020104</v>
      </c>
      <c r="X454" t="s">
        <v>26</v>
      </c>
      <c r="Y454" t="str">
        <f>VLOOKUP(W454,Sheet4!$A$5:$B$71,2,0)</f>
        <v>RE STYLING</v>
      </c>
      <c r="Z454">
        <v>87082900</v>
      </c>
      <c r="AA454">
        <v>15</v>
      </c>
      <c r="AB454" t="s">
        <v>159</v>
      </c>
      <c r="AC454" s="24">
        <v>6585.55</v>
      </c>
      <c r="AD454" t="s">
        <v>160</v>
      </c>
      <c r="AE454" s="24">
        <v>98783.25</v>
      </c>
      <c r="AF454">
        <v>0</v>
      </c>
      <c r="AG454" s="24">
        <v>98783.25</v>
      </c>
      <c r="AH454">
        <v>0</v>
      </c>
      <c r="AI454">
        <v>0</v>
      </c>
      <c r="AJ454">
        <v>0</v>
      </c>
      <c r="AK454">
        <v>0</v>
      </c>
      <c r="AL454" s="24">
        <v>98783.25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 s="24">
        <v>98783.25</v>
      </c>
      <c r="AV454">
        <v>0</v>
      </c>
      <c r="AW454">
        <v>0</v>
      </c>
      <c r="AX454">
        <v>311000</v>
      </c>
      <c r="AY454" t="s">
        <v>161</v>
      </c>
      <c r="AZ454">
        <v>49.75</v>
      </c>
      <c r="BA454">
        <v>49.75</v>
      </c>
      <c r="BB454">
        <v>0</v>
      </c>
      <c r="BC454" t="s">
        <v>171</v>
      </c>
      <c r="BD454">
        <v>1509</v>
      </c>
      <c r="BE454" t="s">
        <v>169</v>
      </c>
      <c r="BF454">
        <v>5094066579</v>
      </c>
      <c r="BG454" t="s">
        <v>336</v>
      </c>
    </row>
    <row r="455" spans="1:59">
      <c r="A455">
        <v>1115</v>
      </c>
      <c r="B455">
        <v>1115</v>
      </c>
      <c r="C455">
        <v>10</v>
      </c>
      <c r="D455">
        <v>2</v>
      </c>
      <c r="E455" t="s">
        <v>152</v>
      </c>
      <c r="F455" t="s">
        <v>153</v>
      </c>
      <c r="G455" t="s">
        <v>154</v>
      </c>
      <c r="H455">
        <v>1526005508</v>
      </c>
      <c r="I455">
        <v>1000005743</v>
      </c>
      <c r="L455" t="s">
        <v>336</v>
      </c>
      <c r="M455">
        <v>5100001636</v>
      </c>
      <c r="N455" t="s">
        <v>155</v>
      </c>
      <c r="O455" t="s">
        <v>156</v>
      </c>
      <c r="P455">
        <v>4110026445</v>
      </c>
      <c r="Q455" t="s">
        <v>170</v>
      </c>
      <c r="R455">
        <v>5000</v>
      </c>
      <c r="S455" t="s">
        <v>166</v>
      </c>
      <c r="V455" t="s">
        <v>167</v>
      </c>
      <c r="W455">
        <v>1502020104</v>
      </c>
      <c r="X455" t="s">
        <v>26</v>
      </c>
      <c r="Y455" t="str">
        <f>VLOOKUP(W455,Sheet4!$A$5:$B$71,2,0)</f>
        <v>RE STYLING</v>
      </c>
      <c r="Z455">
        <v>87082900</v>
      </c>
      <c r="AA455">
        <v>15</v>
      </c>
      <c r="AB455" t="s">
        <v>159</v>
      </c>
      <c r="AC455" s="24">
        <v>6585.55</v>
      </c>
      <c r="AD455" t="s">
        <v>160</v>
      </c>
      <c r="AE455" s="24">
        <v>98783.25</v>
      </c>
      <c r="AF455">
        <v>0</v>
      </c>
      <c r="AG455" s="24">
        <v>98783.25</v>
      </c>
      <c r="AH455">
        <v>0</v>
      </c>
      <c r="AI455">
        <v>0</v>
      </c>
      <c r="AJ455">
        <v>0</v>
      </c>
      <c r="AK455">
        <v>0</v>
      </c>
      <c r="AL455" s="24">
        <v>98783.25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s="24">
        <v>98783.25</v>
      </c>
      <c r="AV455">
        <v>0</v>
      </c>
      <c r="AW455">
        <v>0</v>
      </c>
      <c r="AX455">
        <v>311000</v>
      </c>
      <c r="AY455" t="s">
        <v>161</v>
      </c>
      <c r="AZ455">
        <v>49.75</v>
      </c>
      <c r="BA455">
        <v>49.75</v>
      </c>
      <c r="BB455">
        <v>0</v>
      </c>
      <c r="BC455" t="s">
        <v>171</v>
      </c>
      <c r="BD455">
        <v>1509</v>
      </c>
      <c r="BE455" t="s">
        <v>169</v>
      </c>
      <c r="BF455">
        <v>5094069873</v>
      </c>
      <c r="BG455" t="s">
        <v>337</v>
      </c>
    </row>
    <row r="456" spans="1:59">
      <c r="A456">
        <v>1115</v>
      </c>
      <c r="B456">
        <v>1115</v>
      </c>
      <c r="C456">
        <v>10</v>
      </c>
      <c r="D456">
        <v>2</v>
      </c>
      <c r="E456" t="s">
        <v>152</v>
      </c>
      <c r="F456" t="s">
        <v>153</v>
      </c>
      <c r="G456" t="s">
        <v>154</v>
      </c>
      <c r="H456">
        <v>1526005507</v>
      </c>
      <c r="I456">
        <v>1000005742</v>
      </c>
      <c r="L456" t="s">
        <v>336</v>
      </c>
      <c r="M456">
        <v>5100001928</v>
      </c>
      <c r="N456" t="s">
        <v>155</v>
      </c>
      <c r="O456" t="s">
        <v>156</v>
      </c>
      <c r="P456">
        <v>4110057393</v>
      </c>
      <c r="Q456" t="s">
        <v>192</v>
      </c>
      <c r="R456">
        <v>5000</v>
      </c>
      <c r="S456" t="s">
        <v>166</v>
      </c>
      <c r="V456" t="s">
        <v>167</v>
      </c>
      <c r="W456">
        <v>1502020122</v>
      </c>
      <c r="X456" t="s">
        <v>70</v>
      </c>
      <c r="Y456" t="str">
        <f>VLOOKUP(W456,Sheet4!$A$5:$B$71,2,0)</f>
        <v>MAX UG NEW EV</v>
      </c>
      <c r="Z456">
        <v>87082900</v>
      </c>
      <c r="AA456">
        <v>10</v>
      </c>
      <c r="AB456" t="s">
        <v>159</v>
      </c>
      <c r="AC456" s="24">
        <v>9566.51</v>
      </c>
      <c r="AD456" t="s">
        <v>160</v>
      </c>
      <c r="AE456" s="24">
        <v>95665.1</v>
      </c>
      <c r="AF456">
        <v>0</v>
      </c>
      <c r="AG456" s="24">
        <v>95665.1</v>
      </c>
      <c r="AH456">
        <v>0</v>
      </c>
      <c r="AI456">
        <v>0</v>
      </c>
      <c r="AJ456">
        <v>0</v>
      </c>
      <c r="AK456">
        <v>0</v>
      </c>
      <c r="AL456" s="24">
        <v>95665.1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 s="24">
        <v>95665.1</v>
      </c>
      <c r="AV456">
        <v>0</v>
      </c>
      <c r="AW456">
        <v>0</v>
      </c>
      <c r="AX456">
        <v>311000</v>
      </c>
      <c r="AY456" t="s">
        <v>161</v>
      </c>
      <c r="AZ456">
        <v>0</v>
      </c>
      <c r="BA456">
        <v>61</v>
      </c>
      <c r="BB456">
        <v>-61</v>
      </c>
      <c r="BC456" t="s">
        <v>193</v>
      </c>
      <c r="BD456">
        <v>1509</v>
      </c>
      <c r="BE456" t="s">
        <v>169</v>
      </c>
      <c r="BF456">
        <v>5094064155</v>
      </c>
      <c r="BG456" t="s">
        <v>336</v>
      </c>
    </row>
    <row r="457" spans="1:59">
      <c r="A457">
        <v>1115</v>
      </c>
      <c r="B457">
        <v>1115</v>
      </c>
      <c r="C457">
        <v>10</v>
      </c>
      <c r="D457">
        <v>2</v>
      </c>
      <c r="E457" t="s">
        <v>152</v>
      </c>
      <c r="F457" t="s">
        <v>153</v>
      </c>
      <c r="G457" t="s">
        <v>154</v>
      </c>
      <c r="H457">
        <v>1526005506</v>
      </c>
      <c r="I457">
        <v>1000005741</v>
      </c>
      <c r="L457" t="s">
        <v>336</v>
      </c>
      <c r="M457">
        <v>5100001925</v>
      </c>
      <c r="N457" t="s">
        <v>155</v>
      </c>
      <c r="O457" t="s">
        <v>156</v>
      </c>
      <c r="P457">
        <v>4110055667</v>
      </c>
      <c r="Q457" t="s">
        <v>185</v>
      </c>
      <c r="R457">
        <v>5000</v>
      </c>
      <c r="S457" t="s">
        <v>166</v>
      </c>
      <c r="V457" t="s">
        <v>167</v>
      </c>
      <c r="W457">
        <v>1502040318</v>
      </c>
      <c r="X457" t="s">
        <v>72</v>
      </c>
      <c r="Y457" t="str">
        <f>VLOOKUP(W457,Sheet4!$A$5:$B$71,2,0)</f>
        <v>Re Side Door</v>
      </c>
      <c r="Z457">
        <v>87082900</v>
      </c>
      <c r="AA457">
        <v>120</v>
      </c>
      <c r="AB457" t="s">
        <v>159</v>
      </c>
      <c r="AC457">
        <v>507.85</v>
      </c>
      <c r="AD457" t="s">
        <v>160</v>
      </c>
      <c r="AE457" s="24">
        <v>60942</v>
      </c>
      <c r="AF457">
        <v>0</v>
      </c>
      <c r="AG457" s="24">
        <v>60942</v>
      </c>
      <c r="AH457">
        <v>0</v>
      </c>
      <c r="AI457">
        <v>0</v>
      </c>
      <c r="AJ457">
        <v>0</v>
      </c>
      <c r="AK457">
        <v>0</v>
      </c>
      <c r="AL457" s="24">
        <v>60942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s="24">
        <v>60942</v>
      </c>
      <c r="AV457">
        <v>0</v>
      </c>
      <c r="AW457">
        <v>0</v>
      </c>
      <c r="AX457">
        <v>311000</v>
      </c>
      <c r="AY457" t="s">
        <v>161</v>
      </c>
      <c r="AZ457">
        <v>2.27</v>
      </c>
      <c r="BA457">
        <v>2.27</v>
      </c>
      <c r="BB457">
        <v>0</v>
      </c>
      <c r="BC457" t="s">
        <v>187</v>
      </c>
      <c r="BD457">
        <v>1511</v>
      </c>
      <c r="BE457" t="s">
        <v>174</v>
      </c>
      <c r="BF457">
        <v>5094052539</v>
      </c>
      <c r="BG457" t="s">
        <v>336</v>
      </c>
    </row>
    <row r="458" spans="1:59">
      <c r="A458">
        <v>1115</v>
      </c>
      <c r="B458">
        <v>1115</v>
      </c>
      <c r="C458">
        <v>10</v>
      </c>
      <c r="D458">
        <v>2</v>
      </c>
      <c r="E458" t="s">
        <v>152</v>
      </c>
      <c r="F458" t="s">
        <v>153</v>
      </c>
      <c r="G458" t="s">
        <v>154</v>
      </c>
      <c r="H458">
        <v>1526005505</v>
      </c>
      <c r="I458">
        <v>1000005740</v>
      </c>
      <c r="L458" t="s">
        <v>336</v>
      </c>
      <c r="M458">
        <v>5100001928</v>
      </c>
      <c r="N458" t="s">
        <v>155</v>
      </c>
      <c r="O458" t="s">
        <v>156</v>
      </c>
      <c r="P458">
        <v>4110057393</v>
      </c>
      <c r="Q458" t="s">
        <v>192</v>
      </c>
      <c r="R458">
        <v>5000</v>
      </c>
      <c r="S458" t="s">
        <v>166</v>
      </c>
      <c r="V458" t="s">
        <v>167</v>
      </c>
      <c r="W458">
        <v>1502020122</v>
      </c>
      <c r="X458" t="s">
        <v>70</v>
      </c>
      <c r="Y458" t="str">
        <f>VLOOKUP(W458,Sheet4!$A$5:$B$71,2,0)</f>
        <v>MAX UG NEW EV</v>
      </c>
      <c r="Z458">
        <v>87082900</v>
      </c>
      <c r="AA458">
        <v>10</v>
      </c>
      <c r="AB458" t="s">
        <v>159</v>
      </c>
      <c r="AC458" s="24">
        <v>9566.51</v>
      </c>
      <c r="AD458" t="s">
        <v>160</v>
      </c>
      <c r="AE458" s="24">
        <v>95665.1</v>
      </c>
      <c r="AF458">
        <v>0</v>
      </c>
      <c r="AG458" s="24">
        <v>95665.1</v>
      </c>
      <c r="AH458">
        <v>0</v>
      </c>
      <c r="AI458">
        <v>0</v>
      </c>
      <c r="AJ458">
        <v>0</v>
      </c>
      <c r="AK458">
        <v>0</v>
      </c>
      <c r="AL458" s="24">
        <v>95665.1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s="24">
        <v>95665.1</v>
      </c>
      <c r="AV458">
        <v>0</v>
      </c>
      <c r="AW458">
        <v>0</v>
      </c>
      <c r="AX458">
        <v>311000</v>
      </c>
      <c r="AY458" t="s">
        <v>161</v>
      </c>
      <c r="AZ458">
        <v>0</v>
      </c>
      <c r="BA458">
        <v>61</v>
      </c>
      <c r="BB458">
        <v>-61</v>
      </c>
      <c r="BC458" t="s">
        <v>193</v>
      </c>
      <c r="BD458">
        <v>1509</v>
      </c>
      <c r="BE458" t="s">
        <v>169</v>
      </c>
      <c r="BF458">
        <v>5094059288</v>
      </c>
      <c r="BG458" t="s">
        <v>336</v>
      </c>
    </row>
    <row r="459" spans="1:59">
      <c r="A459">
        <v>1115</v>
      </c>
      <c r="B459">
        <v>1115</v>
      </c>
      <c r="C459">
        <v>10</v>
      </c>
      <c r="D459">
        <v>2</v>
      </c>
      <c r="E459" t="s">
        <v>152</v>
      </c>
      <c r="F459" t="s">
        <v>153</v>
      </c>
      <c r="G459" t="s">
        <v>154</v>
      </c>
      <c r="H459">
        <v>1526005504</v>
      </c>
      <c r="I459">
        <v>1000005739</v>
      </c>
      <c r="L459" t="s">
        <v>336</v>
      </c>
      <c r="M459">
        <v>5100001928</v>
      </c>
      <c r="N459" t="s">
        <v>155</v>
      </c>
      <c r="O459" t="s">
        <v>156</v>
      </c>
      <c r="P459">
        <v>4110057393</v>
      </c>
      <c r="Q459" t="s">
        <v>192</v>
      </c>
      <c r="R459">
        <v>5000</v>
      </c>
      <c r="S459" t="s">
        <v>166</v>
      </c>
      <c r="V459" t="s">
        <v>167</v>
      </c>
      <c r="W459">
        <v>1502020122</v>
      </c>
      <c r="X459" t="s">
        <v>70</v>
      </c>
      <c r="Y459" t="str">
        <f>VLOOKUP(W459,Sheet4!$A$5:$B$71,2,0)</f>
        <v>MAX UG NEW EV</v>
      </c>
      <c r="Z459">
        <v>87082900</v>
      </c>
      <c r="AA459">
        <v>10</v>
      </c>
      <c r="AB459" t="s">
        <v>159</v>
      </c>
      <c r="AC459" s="24">
        <v>9566.51</v>
      </c>
      <c r="AD459" t="s">
        <v>160</v>
      </c>
      <c r="AE459" s="24">
        <v>95665.1</v>
      </c>
      <c r="AF459">
        <v>0</v>
      </c>
      <c r="AG459" s="24">
        <v>95665.1</v>
      </c>
      <c r="AH459">
        <v>0</v>
      </c>
      <c r="AI459">
        <v>0</v>
      </c>
      <c r="AJ459">
        <v>0</v>
      </c>
      <c r="AK459">
        <v>0</v>
      </c>
      <c r="AL459" s="24">
        <v>95665.1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s="24">
        <v>95665.1</v>
      </c>
      <c r="AV459">
        <v>0</v>
      </c>
      <c r="AW459">
        <v>0</v>
      </c>
      <c r="AX459">
        <v>311000</v>
      </c>
      <c r="AY459" t="s">
        <v>161</v>
      </c>
      <c r="AZ459">
        <v>0</v>
      </c>
      <c r="BA459">
        <v>61</v>
      </c>
      <c r="BB459">
        <v>-61</v>
      </c>
      <c r="BC459" t="s">
        <v>193</v>
      </c>
      <c r="BD459">
        <v>1509</v>
      </c>
      <c r="BE459" t="s">
        <v>169</v>
      </c>
      <c r="BF459">
        <v>5094066079</v>
      </c>
      <c r="BG459" t="s">
        <v>336</v>
      </c>
    </row>
    <row r="460" spans="1:59">
      <c r="A460">
        <v>1115</v>
      </c>
      <c r="B460">
        <v>1115</v>
      </c>
      <c r="C460">
        <v>10</v>
      </c>
      <c r="D460">
        <v>2</v>
      </c>
      <c r="E460" t="s">
        <v>152</v>
      </c>
      <c r="F460" t="s">
        <v>153</v>
      </c>
      <c r="G460" t="s">
        <v>154</v>
      </c>
      <c r="H460">
        <v>1526005503</v>
      </c>
      <c r="I460">
        <v>1000005738</v>
      </c>
      <c r="L460" t="s">
        <v>336</v>
      </c>
      <c r="M460">
        <v>5100001925</v>
      </c>
      <c r="N460" t="s">
        <v>155</v>
      </c>
      <c r="O460" t="s">
        <v>156</v>
      </c>
      <c r="P460">
        <v>4110055667</v>
      </c>
      <c r="Q460" t="s">
        <v>185</v>
      </c>
      <c r="R460">
        <v>5000</v>
      </c>
      <c r="S460" t="s">
        <v>166</v>
      </c>
      <c r="V460" t="s">
        <v>167</v>
      </c>
      <c r="W460">
        <v>1502040317</v>
      </c>
      <c r="X460" t="s">
        <v>73</v>
      </c>
      <c r="Y460" t="str">
        <f>VLOOKUP(W460,Sheet4!$A$5:$B$71,2,0)</f>
        <v>Re Side Door</v>
      </c>
      <c r="Z460">
        <v>87082900</v>
      </c>
      <c r="AA460">
        <v>120</v>
      </c>
      <c r="AB460" t="s">
        <v>159</v>
      </c>
      <c r="AC460">
        <v>507.85</v>
      </c>
      <c r="AD460" t="s">
        <v>160</v>
      </c>
      <c r="AE460" s="24">
        <v>60942</v>
      </c>
      <c r="AF460">
        <v>0</v>
      </c>
      <c r="AG460" s="24">
        <v>60942</v>
      </c>
      <c r="AH460">
        <v>0</v>
      </c>
      <c r="AI460">
        <v>0</v>
      </c>
      <c r="AJ460">
        <v>0</v>
      </c>
      <c r="AK460">
        <v>0</v>
      </c>
      <c r="AL460" s="24">
        <v>60942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s="24">
        <v>60942</v>
      </c>
      <c r="AV460">
        <v>0</v>
      </c>
      <c r="AW460">
        <v>0</v>
      </c>
      <c r="AX460">
        <v>311000</v>
      </c>
      <c r="AY460" t="s">
        <v>161</v>
      </c>
      <c r="AZ460">
        <v>2.27</v>
      </c>
      <c r="BA460">
        <v>2.27</v>
      </c>
      <c r="BB460">
        <v>0</v>
      </c>
      <c r="BC460" t="s">
        <v>186</v>
      </c>
      <c r="BD460">
        <v>1511</v>
      </c>
      <c r="BE460" t="s">
        <v>174</v>
      </c>
      <c r="BF460">
        <v>5094052540</v>
      </c>
      <c r="BG460" t="s">
        <v>336</v>
      </c>
    </row>
    <row r="461" spans="1:59">
      <c r="A461">
        <v>1115</v>
      </c>
      <c r="B461">
        <v>1115</v>
      </c>
      <c r="C461">
        <v>10</v>
      </c>
      <c r="D461">
        <v>2</v>
      </c>
      <c r="E461" t="s">
        <v>152</v>
      </c>
      <c r="F461" t="s">
        <v>153</v>
      </c>
      <c r="G461" t="s">
        <v>154</v>
      </c>
      <c r="H461">
        <v>1526005502</v>
      </c>
      <c r="I461">
        <v>1000005737</v>
      </c>
      <c r="L461" t="s">
        <v>336</v>
      </c>
      <c r="M461">
        <v>5100001928</v>
      </c>
      <c r="N461" t="s">
        <v>155</v>
      </c>
      <c r="O461" t="s">
        <v>156</v>
      </c>
      <c r="P461">
        <v>4110057393</v>
      </c>
      <c r="Q461" t="s">
        <v>192</v>
      </c>
      <c r="R461">
        <v>5000</v>
      </c>
      <c r="S461" t="s">
        <v>166</v>
      </c>
      <c r="V461" t="s">
        <v>167</v>
      </c>
      <c r="W461">
        <v>1502020122</v>
      </c>
      <c r="X461" t="s">
        <v>70</v>
      </c>
      <c r="Y461" t="str">
        <f>VLOOKUP(W461,Sheet4!$A$5:$B$71,2,0)</f>
        <v>MAX UG NEW EV</v>
      </c>
      <c r="Z461">
        <v>87082900</v>
      </c>
      <c r="AA461">
        <v>10</v>
      </c>
      <c r="AB461" t="s">
        <v>159</v>
      </c>
      <c r="AC461" s="24">
        <v>9566.51</v>
      </c>
      <c r="AD461" t="s">
        <v>160</v>
      </c>
      <c r="AE461" s="24">
        <v>95665.1</v>
      </c>
      <c r="AF461">
        <v>0</v>
      </c>
      <c r="AG461" s="24">
        <v>95665.1</v>
      </c>
      <c r="AH461">
        <v>0</v>
      </c>
      <c r="AI461">
        <v>0</v>
      </c>
      <c r="AJ461">
        <v>0</v>
      </c>
      <c r="AK461">
        <v>0</v>
      </c>
      <c r="AL461" s="24">
        <v>95665.1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s="24">
        <v>95665.1</v>
      </c>
      <c r="AV461">
        <v>0</v>
      </c>
      <c r="AW461">
        <v>0</v>
      </c>
      <c r="AX461">
        <v>311000</v>
      </c>
      <c r="AY461" t="s">
        <v>161</v>
      </c>
      <c r="AZ461">
        <v>0</v>
      </c>
      <c r="BA461">
        <v>61</v>
      </c>
      <c r="BB461">
        <v>-61</v>
      </c>
      <c r="BC461" t="s">
        <v>193</v>
      </c>
      <c r="BD461">
        <v>1509</v>
      </c>
      <c r="BE461" t="s">
        <v>169</v>
      </c>
      <c r="BF461">
        <v>5094064308</v>
      </c>
      <c r="BG461" t="s">
        <v>336</v>
      </c>
    </row>
    <row r="462" spans="1:59">
      <c r="A462">
        <v>1115</v>
      </c>
      <c r="B462">
        <v>1115</v>
      </c>
      <c r="C462">
        <v>10</v>
      </c>
      <c r="D462">
        <v>2</v>
      </c>
      <c r="E462" t="s">
        <v>152</v>
      </c>
      <c r="F462" t="s">
        <v>153</v>
      </c>
      <c r="G462" t="s">
        <v>154</v>
      </c>
      <c r="H462">
        <v>1526005501</v>
      </c>
      <c r="I462">
        <v>1000005736</v>
      </c>
      <c r="L462" t="s">
        <v>336</v>
      </c>
      <c r="M462">
        <v>5100001928</v>
      </c>
      <c r="N462" t="s">
        <v>155</v>
      </c>
      <c r="O462" t="s">
        <v>156</v>
      </c>
      <c r="P462">
        <v>4110057393</v>
      </c>
      <c r="Q462" t="s">
        <v>192</v>
      </c>
      <c r="R462">
        <v>5000</v>
      </c>
      <c r="S462" t="s">
        <v>166</v>
      </c>
      <c r="V462" t="s">
        <v>167</v>
      </c>
      <c r="W462">
        <v>1502020122</v>
      </c>
      <c r="X462" t="s">
        <v>70</v>
      </c>
      <c r="Y462" t="str">
        <f>VLOOKUP(W462,Sheet4!$A$5:$B$71,2,0)</f>
        <v>MAX UG NEW EV</v>
      </c>
      <c r="Z462">
        <v>87082900</v>
      </c>
      <c r="AA462">
        <v>10</v>
      </c>
      <c r="AB462" t="s">
        <v>159</v>
      </c>
      <c r="AC462" s="24">
        <v>9566.51</v>
      </c>
      <c r="AD462" t="s">
        <v>160</v>
      </c>
      <c r="AE462" s="24">
        <v>95665.1</v>
      </c>
      <c r="AF462">
        <v>0</v>
      </c>
      <c r="AG462" s="24">
        <v>95665.1</v>
      </c>
      <c r="AH462">
        <v>0</v>
      </c>
      <c r="AI462">
        <v>0</v>
      </c>
      <c r="AJ462">
        <v>0</v>
      </c>
      <c r="AK462">
        <v>0</v>
      </c>
      <c r="AL462" s="24">
        <v>95665.1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 s="24">
        <v>95665.1</v>
      </c>
      <c r="AV462">
        <v>0</v>
      </c>
      <c r="AW462">
        <v>0</v>
      </c>
      <c r="AX462">
        <v>311000</v>
      </c>
      <c r="AY462" t="s">
        <v>161</v>
      </c>
      <c r="AZ462">
        <v>0</v>
      </c>
      <c r="BA462">
        <v>61</v>
      </c>
      <c r="BB462">
        <v>-61</v>
      </c>
      <c r="BC462" t="s">
        <v>193</v>
      </c>
      <c r="BD462">
        <v>1509</v>
      </c>
      <c r="BE462" t="s">
        <v>169</v>
      </c>
      <c r="BF462">
        <v>5094053726</v>
      </c>
      <c r="BG462" t="s">
        <v>336</v>
      </c>
    </row>
    <row r="463" spans="1:59">
      <c r="A463">
        <v>1115</v>
      </c>
      <c r="B463">
        <v>1115</v>
      </c>
      <c r="C463">
        <v>10</v>
      </c>
      <c r="D463">
        <v>2</v>
      </c>
      <c r="E463" t="s">
        <v>152</v>
      </c>
      <c r="F463" t="s">
        <v>153</v>
      </c>
      <c r="G463" t="s">
        <v>154</v>
      </c>
      <c r="H463">
        <v>1526005500</v>
      </c>
      <c r="I463">
        <v>1000005733</v>
      </c>
      <c r="L463" t="s">
        <v>336</v>
      </c>
      <c r="M463">
        <v>5100001928</v>
      </c>
      <c r="N463" t="s">
        <v>155</v>
      </c>
      <c r="O463" t="s">
        <v>156</v>
      </c>
      <c r="P463">
        <v>4110057393</v>
      </c>
      <c r="Q463" t="s">
        <v>192</v>
      </c>
      <c r="R463">
        <v>5000</v>
      </c>
      <c r="S463" t="s">
        <v>166</v>
      </c>
      <c r="V463" t="s">
        <v>167</v>
      </c>
      <c r="W463">
        <v>1502020122</v>
      </c>
      <c r="X463" t="s">
        <v>70</v>
      </c>
      <c r="Y463" t="str">
        <f>VLOOKUP(W463,Sheet4!$A$5:$B$71,2,0)</f>
        <v>MAX UG NEW EV</v>
      </c>
      <c r="Z463">
        <v>87082900</v>
      </c>
      <c r="AA463">
        <v>10</v>
      </c>
      <c r="AB463" t="s">
        <v>159</v>
      </c>
      <c r="AC463" s="24">
        <v>9566.51</v>
      </c>
      <c r="AD463" t="s">
        <v>160</v>
      </c>
      <c r="AE463" s="24">
        <v>95665.1</v>
      </c>
      <c r="AF463">
        <v>0</v>
      </c>
      <c r="AG463" s="24">
        <v>95665.1</v>
      </c>
      <c r="AH463">
        <v>0</v>
      </c>
      <c r="AI463">
        <v>0</v>
      </c>
      <c r="AJ463">
        <v>0</v>
      </c>
      <c r="AK463">
        <v>0</v>
      </c>
      <c r="AL463" s="24">
        <v>95665.1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s="24">
        <v>95665.1</v>
      </c>
      <c r="AV463">
        <v>0</v>
      </c>
      <c r="AW463">
        <v>0</v>
      </c>
      <c r="AX463">
        <v>311000</v>
      </c>
      <c r="AY463" t="s">
        <v>161</v>
      </c>
      <c r="AZ463">
        <v>0</v>
      </c>
      <c r="BA463">
        <v>61</v>
      </c>
      <c r="BB463">
        <v>-61</v>
      </c>
      <c r="BC463" t="s">
        <v>193</v>
      </c>
      <c r="BD463">
        <v>1509</v>
      </c>
      <c r="BE463" t="s">
        <v>169</v>
      </c>
      <c r="BF463">
        <v>5094053692</v>
      </c>
      <c r="BG463" t="s">
        <v>336</v>
      </c>
    </row>
    <row r="464" spans="1:59">
      <c r="A464">
        <v>1115</v>
      </c>
      <c r="B464">
        <v>1115</v>
      </c>
      <c r="C464">
        <v>10</v>
      </c>
      <c r="D464">
        <v>2</v>
      </c>
      <c r="E464" t="s">
        <v>152</v>
      </c>
      <c r="F464" t="s">
        <v>153</v>
      </c>
      <c r="G464" t="s">
        <v>154</v>
      </c>
      <c r="H464">
        <v>1526005499</v>
      </c>
      <c r="I464">
        <v>1000005732</v>
      </c>
      <c r="L464" t="s">
        <v>336</v>
      </c>
      <c r="M464">
        <v>5100001928</v>
      </c>
      <c r="N464" t="s">
        <v>155</v>
      </c>
      <c r="O464" t="s">
        <v>156</v>
      </c>
      <c r="P464">
        <v>4110057393</v>
      </c>
      <c r="Q464" t="s">
        <v>192</v>
      </c>
      <c r="R464">
        <v>5000</v>
      </c>
      <c r="S464" t="s">
        <v>166</v>
      </c>
      <c r="V464" t="s">
        <v>167</v>
      </c>
      <c r="W464">
        <v>1502020122</v>
      </c>
      <c r="X464" t="s">
        <v>70</v>
      </c>
      <c r="Y464" t="str">
        <f>VLOOKUP(W464,Sheet4!$A$5:$B$71,2,0)</f>
        <v>MAX UG NEW EV</v>
      </c>
      <c r="Z464">
        <v>87082900</v>
      </c>
      <c r="AA464">
        <v>10</v>
      </c>
      <c r="AB464" t="s">
        <v>159</v>
      </c>
      <c r="AC464" s="24">
        <v>9566.51</v>
      </c>
      <c r="AD464" t="s">
        <v>160</v>
      </c>
      <c r="AE464" s="24">
        <v>95665.1</v>
      </c>
      <c r="AF464">
        <v>0</v>
      </c>
      <c r="AG464" s="24">
        <v>95665.1</v>
      </c>
      <c r="AH464">
        <v>0</v>
      </c>
      <c r="AI464">
        <v>0</v>
      </c>
      <c r="AJ464">
        <v>0</v>
      </c>
      <c r="AK464">
        <v>0</v>
      </c>
      <c r="AL464" s="24">
        <v>95665.1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 s="24">
        <v>95665.1</v>
      </c>
      <c r="AV464">
        <v>0</v>
      </c>
      <c r="AW464">
        <v>0</v>
      </c>
      <c r="AX464">
        <v>311000</v>
      </c>
      <c r="AY464" t="s">
        <v>161</v>
      </c>
      <c r="AZ464">
        <v>0</v>
      </c>
      <c r="BA464">
        <v>61</v>
      </c>
      <c r="BB464">
        <v>-61</v>
      </c>
      <c r="BC464" t="s">
        <v>193</v>
      </c>
      <c r="BD464">
        <v>1509</v>
      </c>
      <c r="BE464" t="s">
        <v>169</v>
      </c>
      <c r="BF464">
        <v>5094053678</v>
      </c>
      <c r="BG464" t="s">
        <v>336</v>
      </c>
    </row>
    <row r="465" spans="1:59">
      <c r="A465">
        <v>1115</v>
      </c>
      <c r="B465">
        <v>1115</v>
      </c>
      <c r="C465">
        <v>10</v>
      </c>
      <c r="D465">
        <v>2</v>
      </c>
      <c r="E465" t="s">
        <v>152</v>
      </c>
      <c r="F465" t="s">
        <v>153</v>
      </c>
      <c r="G465" t="s">
        <v>154</v>
      </c>
      <c r="H465">
        <v>1526005498</v>
      </c>
      <c r="I465">
        <v>1000005731</v>
      </c>
      <c r="L465" t="s">
        <v>336</v>
      </c>
      <c r="M465">
        <v>5100001636</v>
      </c>
      <c r="N465" t="s">
        <v>155</v>
      </c>
      <c r="O465" t="s">
        <v>156</v>
      </c>
      <c r="P465">
        <v>4110026445</v>
      </c>
      <c r="Q465" t="s">
        <v>170</v>
      </c>
      <c r="R465">
        <v>5000</v>
      </c>
      <c r="S465" t="s">
        <v>166</v>
      </c>
      <c r="V465" t="s">
        <v>167</v>
      </c>
      <c r="W465">
        <v>1502020104</v>
      </c>
      <c r="X465" t="s">
        <v>26</v>
      </c>
      <c r="Y465" t="str">
        <f>VLOOKUP(W465,Sheet4!$A$5:$B$71,2,0)</f>
        <v>RE STYLING</v>
      </c>
      <c r="Z465">
        <v>87082900</v>
      </c>
      <c r="AA465">
        <v>15</v>
      </c>
      <c r="AB465" t="s">
        <v>159</v>
      </c>
      <c r="AC465" s="24">
        <v>6585.55</v>
      </c>
      <c r="AD465" t="s">
        <v>160</v>
      </c>
      <c r="AE465" s="24">
        <v>98783.25</v>
      </c>
      <c r="AF465">
        <v>0</v>
      </c>
      <c r="AG465" s="24">
        <v>98783.25</v>
      </c>
      <c r="AH465">
        <v>0</v>
      </c>
      <c r="AI465">
        <v>0</v>
      </c>
      <c r="AJ465">
        <v>0</v>
      </c>
      <c r="AK465">
        <v>0</v>
      </c>
      <c r="AL465" s="24">
        <v>98783.25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 s="24">
        <v>98783.25</v>
      </c>
      <c r="AV465">
        <v>0</v>
      </c>
      <c r="AW465">
        <v>0</v>
      </c>
      <c r="AX465">
        <v>311000</v>
      </c>
      <c r="AY465" t="s">
        <v>161</v>
      </c>
      <c r="AZ465">
        <v>49.75</v>
      </c>
      <c r="BA465">
        <v>49.75</v>
      </c>
      <c r="BB465">
        <v>0</v>
      </c>
      <c r="BC465" t="s">
        <v>171</v>
      </c>
      <c r="BD465">
        <v>1509</v>
      </c>
      <c r="BE465" t="s">
        <v>169</v>
      </c>
      <c r="BF465">
        <v>5094070109</v>
      </c>
      <c r="BG465" t="s">
        <v>337</v>
      </c>
    </row>
    <row r="466" spans="1:59">
      <c r="A466">
        <v>1115</v>
      </c>
      <c r="B466">
        <v>1115</v>
      </c>
      <c r="C466">
        <v>10</v>
      </c>
      <c r="D466">
        <v>2</v>
      </c>
      <c r="E466" t="s">
        <v>152</v>
      </c>
      <c r="F466" t="s">
        <v>153</v>
      </c>
      <c r="G466" t="s">
        <v>154</v>
      </c>
      <c r="H466">
        <v>1526005497</v>
      </c>
      <c r="I466">
        <v>1000005730</v>
      </c>
      <c r="L466" t="s">
        <v>336</v>
      </c>
      <c r="M466">
        <v>5100001636</v>
      </c>
      <c r="N466" t="s">
        <v>155</v>
      </c>
      <c r="O466" t="s">
        <v>156</v>
      </c>
      <c r="P466">
        <v>4110026445</v>
      </c>
      <c r="Q466" t="s">
        <v>170</v>
      </c>
      <c r="R466">
        <v>5000</v>
      </c>
      <c r="S466" t="s">
        <v>166</v>
      </c>
      <c r="V466" t="s">
        <v>167</v>
      </c>
      <c r="W466">
        <v>1502020104</v>
      </c>
      <c r="X466" t="s">
        <v>26</v>
      </c>
      <c r="Y466" t="str">
        <f>VLOOKUP(W466,Sheet4!$A$5:$B$71,2,0)</f>
        <v>RE STYLING</v>
      </c>
      <c r="Z466">
        <v>87082900</v>
      </c>
      <c r="AA466">
        <v>15</v>
      </c>
      <c r="AB466" t="s">
        <v>159</v>
      </c>
      <c r="AC466" s="24">
        <v>6585.55</v>
      </c>
      <c r="AD466" t="s">
        <v>160</v>
      </c>
      <c r="AE466" s="24">
        <v>98783.25</v>
      </c>
      <c r="AF466">
        <v>0</v>
      </c>
      <c r="AG466" s="24">
        <v>98783.25</v>
      </c>
      <c r="AH466">
        <v>0</v>
      </c>
      <c r="AI466">
        <v>0</v>
      </c>
      <c r="AJ466">
        <v>0</v>
      </c>
      <c r="AK466">
        <v>0</v>
      </c>
      <c r="AL466" s="24">
        <v>98783.25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 s="24">
        <v>98783.25</v>
      </c>
      <c r="AV466">
        <v>0</v>
      </c>
      <c r="AW466">
        <v>0</v>
      </c>
      <c r="AX466">
        <v>311000</v>
      </c>
      <c r="AY466" t="s">
        <v>161</v>
      </c>
      <c r="AZ466">
        <v>49.75</v>
      </c>
      <c r="BA466">
        <v>49.75</v>
      </c>
      <c r="BB466">
        <v>0</v>
      </c>
      <c r="BC466" t="s">
        <v>171</v>
      </c>
      <c r="BD466">
        <v>1509</v>
      </c>
      <c r="BE466" t="s">
        <v>169</v>
      </c>
      <c r="BF466">
        <v>5094067819</v>
      </c>
      <c r="BG466" t="s">
        <v>336</v>
      </c>
    </row>
    <row r="467" spans="1:59">
      <c r="A467">
        <v>1115</v>
      </c>
      <c r="B467">
        <v>1115</v>
      </c>
      <c r="C467">
        <v>10</v>
      </c>
      <c r="D467">
        <v>2</v>
      </c>
      <c r="E467" t="s">
        <v>152</v>
      </c>
      <c r="F467" t="s">
        <v>153</v>
      </c>
      <c r="G467" t="s">
        <v>154</v>
      </c>
      <c r="H467">
        <v>1526005496</v>
      </c>
      <c r="I467">
        <v>1000005729</v>
      </c>
      <c r="L467" t="s">
        <v>336</v>
      </c>
      <c r="M467">
        <v>5100001636</v>
      </c>
      <c r="N467" t="s">
        <v>155</v>
      </c>
      <c r="O467" t="s">
        <v>156</v>
      </c>
      <c r="P467">
        <v>4110026445</v>
      </c>
      <c r="Q467" t="s">
        <v>170</v>
      </c>
      <c r="R467">
        <v>5000</v>
      </c>
      <c r="S467" t="s">
        <v>166</v>
      </c>
      <c r="V467" t="s">
        <v>167</v>
      </c>
      <c r="W467">
        <v>1502020104</v>
      </c>
      <c r="X467" t="s">
        <v>26</v>
      </c>
      <c r="Y467" t="str">
        <f>VLOOKUP(W467,Sheet4!$A$5:$B$71,2,0)</f>
        <v>RE STYLING</v>
      </c>
      <c r="Z467">
        <v>87082900</v>
      </c>
      <c r="AA467">
        <v>15</v>
      </c>
      <c r="AB467" t="s">
        <v>159</v>
      </c>
      <c r="AC467" s="24">
        <v>6585.55</v>
      </c>
      <c r="AD467" t="s">
        <v>160</v>
      </c>
      <c r="AE467" s="24">
        <v>98783.25</v>
      </c>
      <c r="AF467">
        <v>0</v>
      </c>
      <c r="AG467" s="24">
        <v>98783.25</v>
      </c>
      <c r="AH467">
        <v>0</v>
      </c>
      <c r="AI467">
        <v>0</v>
      </c>
      <c r="AJ467">
        <v>0</v>
      </c>
      <c r="AK467">
        <v>0</v>
      </c>
      <c r="AL467" s="24">
        <v>98783.25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 s="24">
        <v>98783.25</v>
      </c>
      <c r="AV467">
        <v>0</v>
      </c>
      <c r="AW467">
        <v>0</v>
      </c>
      <c r="AX467">
        <v>311000</v>
      </c>
      <c r="AY467" t="s">
        <v>161</v>
      </c>
      <c r="AZ467">
        <v>49.75</v>
      </c>
      <c r="BA467">
        <v>49.75</v>
      </c>
      <c r="BB467">
        <v>0</v>
      </c>
      <c r="BC467" t="s">
        <v>171</v>
      </c>
      <c r="BD467">
        <v>1509</v>
      </c>
      <c r="BE467" t="s">
        <v>169</v>
      </c>
      <c r="BF467">
        <v>5094070079</v>
      </c>
      <c r="BG467" t="s">
        <v>337</v>
      </c>
    </row>
    <row r="468" spans="1:59">
      <c r="A468">
        <v>1115</v>
      </c>
      <c r="B468">
        <v>1115</v>
      </c>
      <c r="C468">
        <v>10</v>
      </c>
      <c r="D468">
        <v>2</v>
      </c>
      <c r="E468" t="s">
        <v>152</v>
      </c>
      <c r="F468" t="s">
        <v>153</v>
      </c>
      <c r="G468" t="s">
        <v>154</v>
      </c>
      <c r="H468">
        <v>1526005495</v>
      </c>
      <c r="I468">
        <v>1000005728</v>
      </c>
      <c r="L468" t="s">
        <v>336</v>
      </c>
      <c r="M468">
        <v>5100001636</v>
      </c>
      <c r="N468" t="s">
        <v>155</v>
      </c>
      <c r="O468" t="s">
        <v>156</v>
      </c>
      <c r="P468">
        <v>4110026445</v>
      </c>
      <c r="Q468" t="s">
        <v>170</v>
      </c>
      <c r="R468">
        <v>5000</v>
      </c>
      <c r="S468" t="s">
        <v>166</v>
      </c>
      <c r="V468" t="s">
        <v>167</v>
      </c>
      <c r="W468">
        <v>1502020104</v>
      </c>
      <c r="X468" t="s">
        <v>26</v>
      </c>
      <c r="Y468" t="str">
        <f>VLOOKUP(W468,Sheet4!$A$5:$B$71,2,0)</f>
        <v>RE STYLING</v>
      </c>
      <c r="Z468">
        <v>87082900</v>
      </c>
      <c r="AA468">
        <v>15</v>
      </c>
      <c r="AB468" t="s">
        <v>159</v>
      </c>
      <c r="AC468" s="24">
        <v>6585.55</v>
      </c>
      <c r="AD468" t="s">
        <v>160</v>
      </c>
      <c r="AE468" s="24">
        <v>98783.25</v>
      </c>
      <c r="AF468">
        <v>0</v>
      </c>
      <c r="AG468" s="24">
        <v>98783.25</v>
      </c>
      <c r="AH468">
        <v>0</v>
      </c>
      <c r="AI468">
        <v>0</v>
      </c>
      <c r="AJ468">
        <v>0</v>
      </c>
      <c r="AK468">
        <v>0</v>
      </c>
      <c r="AL468" s="24">
        <v>98783.25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 s="24">
        <v>98783.25</v>
      </c>
      <c r="AV468">
        <v>0</v>
      </c>
      <c r="AW468">
        <v>0</v>
      </c>
      <c r="AX468">
        <v>311000</v>
      </c>
      <c r="AY468" t="s">
        <v>161</v>
      </c>
      <c r="AZ468">
        <v>49.75</v>
      </c>
      <c r="BA468">
        <v>49.75</v>
      </c>
      <c r="BB468">
        <v>0</v>
      </c>
      <c r="BC468" t="s">
        <v>171</v>
      </c>
      <c r="BD468">
        <v>1509</v>
      </c>
      <c r="BE468" t="s">
        <v>169</v>
      </c>
      <c r="BF468">
        <v>5094069871</v>
      </c>
      <c r="BG468" t="s">
        <v>337</v>
      </c>
    </row>
    <row r="469" spans="1:59">
      <c r="A469">
        <v>1115</v>
      </c>
      <c r="B469">
        <v>1115</v>
      </c>
      <c r="C469">
        <v>10</v>
      </c>
      <c r="D469">
        <v>2</v>
      </c>
      <c r="E469" t="s">
        <v>152</v>
      </c>
      <c r="F469" t="s">
        <v>153</v>
      </c>
      <c r="G469" t="s">
        <v>154</v>
      </c>
      <c r="H469">
        <v>1526005494</v>
      </c>
      <c r="I469">
        <v>1000005727</v>
      </c>
      <c r="L469" t="s">
        <v>336</v>
      </c>
      <c r="M469">
        <v>5100001913</v>
      </c>
      <c r="N469" t="s">
        <v>155</v>
      </c>
      <c r="O469" t="s">
        <v>156</v>
      </c>
      <c r="P469">
        <v>4110050475</v>
      </c>
      <c r="Q469" t="s">
        <v>178</v>
      </c>
      <c r="R469">
        <v>5000</v>
      </c>
      <c r="S469" t="s">
        <v>166</v>
      </c>
      <c r="V469" t="s">
        <v>167</v>
      </c>
      <c r="W469">
        <v>1502040289</v>
      </c>
      <c r="X469" t="s">
        <v>49</v>
      </c>
      <c r="Y469" t="str">
        <f>VLOOKUP(W469,Sheet4!$A$5:$B$71,2,0)</f>
        <v>SUPPORT TOP</v>
      </c>
      <c r="Z469">
        <v>87082900</v>
      </c>
      <c r="AA469">
        <v>480</v>
      </c>
      <c r="AB469" t="s">
        <v>159</v>
      </c>
      <c r="AC469">
        <v>174.61</v>
      </c>
      <c r="AD469" t="s">
        <v>160</v>
      </c>
      <c r="AE469" s="24">
        <v>83812.800000000003</v>
      </c>
      <c r="AF469">
        <v>0</v>
      </c>
      <c r="AG469" s="24">
        <v>83812.800000000003</v>
      </c>
      <c r="AH469">
        <v>0</v>
      </c>
      <c r="AI469">
        <v>0</v>
      </c>
      <c r="AJ469">
        <v>0</v>
      </c>
      <c r="AK469">
        <v>0</v>
      </c>
      <c r="AL469" s="24">
        <v>83812.800000000003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s="24">
        <v>83812.800000000003</v>
      </c>
      <c r="AV469">
        <v>0</v>
      </c>
      <c r="AW469">
        <v>0</v>
      </c>
      <c r="AX469">
        <v>311000</v>
      </c>
      <c r="AY469" t="s">
        <v>161</v>
      </c>
      <c r="AZ469">
        <v>0</v>
      </c>
      <c r="BA469">
        <v>0</v>
      </c>
      <c r="BB469">
        <v>0</v>
      </c>
      <c r="BC469" t="s">
        <v>179</v>
      </c>
      <c r="BD469">
        <v>1511</v>
      </c>
      <c r="BE469" t="s">
        <v>174</v>
      </c>
      <c r="BF469">
        <v>5094052984</v>
      </c>
      <c r="BG469" t="s">
        <v>336</v>
      </c>
    </row>
    <row r="470" spans="1:59">
      <c r="A470">
        <v>1115</v>
      </c>
      <c r="B470">
        <v>1115</v>
      </c>
      <c r="C470">
        <v>10</v>
      </c>
      <c r="D470">
        <v>2</v>
      </c>
      <c r="E470" t="s">
        <v>152</v>
      </c>
      <c r="F470" t="s">
        <v>153</v>
      </c>
      <c r="G470" t="s">
        <v>154</v>
      </c>
      <c r="H470">
        <v>1526005493</v>
      </c>
      <c r="I470">
        <v>1000005726</v>
      </c>
      <c r="L470" t="s">
        <v>336</v>
      </c>
      <c r="M470">
        <v>5100001588</v>
      </c>
      <c r="N470" t="s">
        <v>155</v>
      </c>
      <c r="O470" t="s">
        <v>156</v>
      </c>
      <c r="P470">
        <v>4110025058</v>
      </c>
      <c r="Q470" t="s">
        <v>180</v>
      </c>
      <c r="R470">
        <v>5000</v>
      </c>
      <c r="S470" t="s">
        <v>166</v>
      </c>
      <c r="V470" t="s">
        <v>167</v>
      </c>
      <c r="W470">
        <v>1502040235</v>
      </c>
      <c r="X470" t="s">
        <v>47</v>
      </c>
      <c r="Y470" t="str">
        <f>VLOOKUP(W470,Sheet4!$A$5:$B$71,2,0)</f>
        <v>STARTING HANDLE</v>
      </c>
      <c r="Z470">
        <v>87082900</v>
      </c>
      <c r="AA470">
        <v>540</v>
      </c>
      <c r="AB470" t="s">
        <v>159</v>
      </c>
      <c r="AC470">
        <v>217.33</v>
      </c>
      <c r="AD470" t="s">
        <v>160</v>
      </c>
      <c r="AE470" s="24">
        <v>117358.2</v>
      </c>
      <c r="AF470">
        <v>0</v>
      </c>
      <c r="AG470" s="24">
        <v>117358.2</v>
      </c>
      <c r="AH470">
        <v>0</v>
      </c>
      <c r="AI470">
        <v>0</v>
      </c>
      <c r="AJ470">
        <v>0</v>
      </c>
      <c r="AK470">
        <v>0</v>
      </c>
      <c r="AL470" s="24">
        <v>117358.2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s="24">
        <v>117358.2</v>
      </c>
      <c r="AV470">
        <v>0</v>
      </c>
      <c r="AW470">
        <v>0</v>
      </c>
      <c r="AX470">
        <v>311000</v>
      </c>
      <c r="AY470" t="s">
        <v>161</v>
      </c>
      <c r="AZ470">
        <v>1.19</v>
      </c>
      <c r="BA470">
        <v>1.19</v>
      </c>
      <c r="BB470">
        <v>0</v>
      </c>
      <c r="BC470" t="s">
        <v>181</v>
      </c>
      <c r="BD470">
        <v>1511</v>
      </c>
      <c r="BE470" t="s">
        <v>174</v>
      </c>
      <c r="BF470">
        <v>5094054481</v>
      </c>
      <c r="BG470" t="s">
        <v>336</v>
      </c>
    </row>
    <row r="471" spans="1:59">
      <c r="A471">
        <v>1115</v>
      </c>
      <c r="B471">
        <v>1115</v>
      </c>
      <c r="C471">
        <v>10</v>
      </c>
      <c r="D471">
        <v>2</v>
      </c>
      <c r="E471" t="s">
        <v>152</v>
      </c>
      <c r="F471" t="s">
        <v>153</v>
      </c>
      <c r="G471" t="s">
        <v>154</v>
      </c>
      <c r="H471">
        <v>1526005492</v>
      </c>
      <c r="I471">
        <v>1000005725</v>
      </c>
      <c r="L471" t="s">
        <v>336</v>
      </c>
      <c r="M471">
        <v>5100001934</v>
      </c>
      <c r="N471" t="s">
        <v>155</v>
      </c>
      <c r="O471" t="s">
        <v>156</v>
      </c>
      <c r="P471">
        <v>4110058649</v>
      </c>
      <c r="Q471" t="s">
        <v>196</v>
      </c>
      <c r="R471">
        <v>5000</v>
      </c>
      <c r="S471" t="s">
        <v>166</v>
      </c>
      <c r="V471" t="s">
        <v>167</v>
      </c>
      <c r="W471">
        <v>1502040217</v>
      </c>
      <c r="X471" t="s">
        <v>197</v>
      </c>
      <c r="Y471" t="str">
        <f>VLOOKUP(W471,Sheet4!$A$5:$B$71,2,0)</f>
        <v>FRONT MUDGARD GOGO</v>
      </c>
      <c r="Z471">
        <v>87082900</v>
      </c>
      <c r="AA471">
        <v>80</v>
      </c>
      <c r="AB471" t="s">
        <v>159</v>
      </c>
      <c r="AC471">
        <v>380.93</v>
      </c>
      <c r="AD471" t="s">
        <v>160</v>
      </c>
      <c r="AE471" s="24">
        <v>30474.400000000001</v>
      </c>
      <c r="AF471">
        <v>0</v>
      </c>
      <c r="AG471" s="24">
        <v>30474.400000000001</v>
      </c>
      <c r="AH471">
        <v>0</v>
      </c>
      <c r="AI471">
        <v>0</v>
      </c>
      <c r="AJ471">
        <v>0</v>
      </c>
      <c r="AK471">
        <v>0</v>
      </c>
      <c r="AL471" s="24">
        <v>30474.400000000001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s="24">
        <v>30474.400000000001</v>
      </c>
      <c r="AV471">
        <v>0</v>
      </c>
      <c r="AW471">
        <v>0</v>
      </c>
      <c r="AX471">
        <v>311000</v>
      </c>
      <c r="AY471" t="s">
        <v>161</v>
      </c>
      <c r="AZ471">
        <v>2.13</v>
      </c>
      <c r="BA471">
        <v>2.13</v>
      </c>
      <c r="BB471">
        <v>0</v>
      </c>
      <c r="BC471" t="s">
        <v>198</v>
      </c>
      <c r="BD471">
        <v>1511</v>
      </c>
      <c r="BE471" t="s">
        <v>174</v>
      </c>
      <c r="BF471">
        <v>5094050678</v>
      </c>
      <c r="BG471" t="s">
        <v>336</v>
      </c>
    </row>
    <row r="472" spans="1:59">
      <c r="A472">
        <v>1115</v>
      </c>
      <c r="B472">
        <v>1115</v>
      </c>
      <c r="C472">
        <v>10</v>
      </c>
      <c r="D472">
        <v>2</v>
      </c>
      <c r="E472" t="s">
        <v>152</v>
      </c>
      <c r="F472" t="s">
        <v>153</v>
      </c>
      <c r="G472" t="s">
        <v>154</v>
      </c>
      <c r="H472">
        <v>1526005491</v>
      </c>
      <c r="I472">
        <v>1000005724</v>
      </c>
      <c r="L472" t="s">
        <v>336</v>
      </c>
      <c r="M472">
        <v>5100001603</v>
      </c>
      <c r="N472" t="s">
        <v>155</v>
      </c>
      <c r="O472" t="s">
        <v>156</v>
      </c>
      <c r="P472">
        <v>4110025468</v>
      </c>
      <c r="Q472" t="s">
        <v>165</v>
      </c>
      <c r="R472">
        <v>5000</v>
      </c>
      <c r="S472" t="s">
        <v>166</v>
      </c>
      <c r="V472" t="s">
        <v>167</v>
      </c>
      <c r="W472">
        <v>1502020102</v>
      </c>
      <c r="X472" t="s">
        <v>58</v>
      </c>
      <c r="Y472" t="str">
        <f>VLOOKUP(W472,Sheet4!$A$5:$B$71,2,0)</f>
        <v>MAXIMA HD</v>
      </c>
      <c r="Z472">
        <v>87082900</v>
      </c>
      <c r="AA472">
        <v>6</v>
      </c>
      <c r="AB472" t="s">
        <v>159</v>
      </c>
      <c r="AC472" s="24">
        <v>8593.51</v>
      </c>
      <c r="AD472" t="s">
        <v>160</v>
      </c>
      <c r="AE472" s="24">
        <v>51561.06</v>
      </c>
      <c r="AF472">
        <v>0</v>
      </c>
      <c r="AG472" s="24">
        <v>51561.06</v>
      </c>
      <c r="AH472">
        <v>0</v>
      </c>
      <c r="AI472">
        <v>0</v>
      </c>
      <c r="AJ472">
        <v>0</v>
      </c>
      <c r="AK472">
        <v>0</v>
      </c>
      <c r="AL472" s="24">
        <v>51561.06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s="24">
        <v>51561.06</v>
      </c>
      <c r="AV472">
        <v>0</v>
      </c>
      <c r="AW472">
        <v>0</v>
      </c>
      <c r="AX472">
        <v>311000</v>
      </c>
      <c r="AY472" t="s">
        <v>161</v>
      </c>
      <c r="AZ472">
        <v>93.34</v>
      </c>
      <c r="BA472">
        <v>75.430000000000007</v>
      </c>
      <c r="BB472">
        <v>17.91</v>
      </c>
      <c r="BC472" t="s">
        <v>168</v>
      </c>
      <c r="BD472">
        <v>1509</v>
      </c>
      <c r="BE472" t="s">
        <v>169</v>
      </c>
      <c r="BF472">
        <v>5094050850</v>
      </c>
      <c r="BG472" t="s">
        <v>336</v>
      </c>
    </row>
    <row r="473" spans="1:59">
      <c r="A473">
        <v>1115</v>
      </c>
      <c r="B473">
        <v>1115</v>
      </c>
      <c r="C473">
        <v>10</v>
      </c>
      <c r="D473">
        <v>2</v>
      </c>
      <c r="E473" t="s">
        <v>152</v>
      </c>
      <c r="F473" t="s">
        <v>153</v>
      </c>
      <c r="G473" t="s">
        <v>154</v>
      </c>
      <c r="H473">
        <v>1526005490</v>
      </c>
      <c r="I473">
        <v>1000005723</v>
      </c>
      <c r="L473" t="s">
        <v>336</v>
      </c>
      <c r="M473">
        <v>5100001928</v>
      </c>
      <c r="N473" t="s">
        <v>155</v>
      </c>
      <c r="O473" t="s">
        <v>156</v>
      </c>
      <c r="P473">
        <v>4110057393</v>
      </c>
      <c r="Q473" t="s">
        <v>192</v>
      </c>
      <c r="R473">
        <v>5000</v>
      </c>
      <c r="S473" t="s">
        <v>166</v>
      </c>
      <c r="V473" t="s">
        <v>167</v>
      </c>
      <c r="W473">
        <v>1502020122</v>
      </c>
      <c r="X473" t="s">
        <v>70</v>
      </c>
      <c r="Y473" t="str">
        <f>VLOOKUP(W473,Sheet4!$A$5:$B$71,2,0)</f>
        <v>MAX UG NEW EV</v>
      </c>
      <c r="Z473">
        <v>87082900</v>
      </c>
      <c r="AA473">
        <v>10</v>
      </c>
      <c r="AB473" t="s">
        <v>159</v>
      </c>
      <c r="AC473" s="24">
        <v>9566.51</v>
      </c>
      <c r="AD473" t="s">
        <v>160</v>
      </c>
      <c r="AE473" s="24">
        <v>95665.1</v>
      </c>
      <c r="AF473">
        <v>0</v>
      </c>
      <c r="AG473" s="24">
        <v>95665.1</v>
      </c>
      <c r="AH473">
        <v>0</v>
      </c>
      <c r="AI473">
        <v>0</v>
      </c>
      <c r="AJ473">
        <v>0</v>
      </c>
      <c r="AK473">
        <v>0</v>
      </c>
      <c r="AL473" s="24">
        <v>95665.1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 s="24">
        <v>95665.1</v>
      </c>
      <c r="AV473">
        <v>0</v>
      </c>
      <c r="AW473">
        <v>0</v>
      </c>
      <c r="AX473">
        <v>311000</v>
      </c>
      <c r="AY473" t="s">
        <v>161</v>
      </c>
      <c r="AZ473">
        <v>0</v>
      </c>
      <c r="BA473">
        <v>61</v>
      </c>
      <c r="BB473">
        <v>-61</v>
      </c>
      <c r="BC473" t="s">
        <v>193</v>
      </c>
      <c r="BD473">
        <v>1509</v>
      </c>
      <c r="BE473" t="s">
        <v>169</v>
      </c>
      <c r="BF473">
        <v>5094050852</v>
      </c>
      <c r="BG473" t="s">
        <v>336</v>
      </c>
    </row>
    <row r="474" spans="1:59">
      <c r="A474">
        <v>1115</v>
      </c>
      <c r="B474">
        <v>1115</v>
      </c>
      <c r="C474">
        <v>10</v>
      </c>
      <c r="D474">
        <v>2</v>
      </c>
      <c r="E474" t="s">
        <v>152</v>
      </c>
      <c r="F474" t="s">
        <v>153</v>
      </c>
      <c r="G474" t="s">
        <v>154</v>
      </c>
      <c r="H474">
        <v>1526005489</v>
      </c>
      <c r="I474">
        <v>1000005722</v>
      </c>
      <c r="L474" t="s">
        <v>336</v>
      </c>
      <c r="M474">
        <v>5100001928</v>
      </c>
      <c r="N474" t="s">
        <v>155</v>
      </c>
      <c r="O474" t="s">
        <v>156</v>
      </c>
      <c r="P474">
        <v>4110057393</v>
      </c>
      <c r="Q474" t="s">
        <v>192</v>
      </c>
      <c r="R474">
        <v>5000</v>
      </c>
      <c r="S474" t="s">
        <v>166</v>
      </c>
      <c r="V474" t="s">
        <v>167</v>
      </c>
      <c r="W474">
        <v>1502020122</v>
      </c>
      <c r="X474" t="s">
        <v>70</v>
      </c>
      <c r="Y474" t="str">
        <f>VLOOKUP(W474,Sheet4!$A$5:$B$71,2,0)</f>
        <v>MAX UG NEW EV</v>
      </c>
      <c r="Z474">
        <v>87082900</v>
      </c>
      <c r="AA474">
        <v>10</v>
      </c>
      <c r="AB474" t="s">
        <v>159</v>
      </c>
      <c r="AC474" s="24">
        <v>9566.51</v>
      </c>
      <c r="AD474" t="s">
        <v>160</v>
      </c>
      <c r="AE474" s="24">
        <v>95665.1</v>
      </c>
      <c r="AF474">
        <v>0</v>
      </c>
      <c r="AG474" s="24">
        <v>95665.1</v>
      </c>
      <c r="AH474">
        <v>0</v>
      </c>
      <c r="AI474">
        <v>0</v>
      </c>
      <c r="AJ474">
        <v>0</v>
      </c>
      <c r="AK474">
        <v>0</v>
      </c>
      <c r="AL474" s="24">
        <v>95665.1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 s="24">
        <v>95665.1</v>
      </c>
      <c r="AV474">
        <v>0</v>
      </c>
      <c r="AW474">
        <v>0</v>
      </c>
      <c r="AX474">
        <v>311000</v>
      </c>
      <c r="AY474" t="s">
        <v>161</v>
      </c>
      <c r="AZ474">
        <v>0</v>
      </c>
      <c r="BA474">
        <v>61</v>
      </c>
      <c r="BB474">
        <v>-61</v>
      </c>
      <c r="BC474" t="s">
        <v>193</v>
      </c>
      <c r="BD474">
        <v>1509</v>
      </c>
      <c r="BE474" t="s">
        <v>169</v>
      </c>
      <c r="BF474">
        <v>5094053824</v>
      </c>
      <c r="BG474" t="s">
        <v>336</v>
      </c>
    </row>
    <row r="475" spans="1:59">
      <c r="A475">
        <v>1115</v>
      </c>
      <c r="B475">
        <v>1115</v>
      </c>
      <c r="C475">
        <v>10</v>
      </c>
      <c r="D475">
        <v>2</v>
      </c>
      <c r="E475" t="s">
        <v>152</v>
      </c>
      <c r="F475" t="s">
        <v>153</v>
      </c>
      <c r="G475" t="s">
        <v>154</v>
      </c>
      <c r="H475">
        <v>1526005487</v>
      </c>
      <c r="I475">
        <v>1000005720</v>
      </c>
      <c r="L475" t="s">
        <v>336</v>
      </c>
      <c r="M475">
        <v>5100001925</v>
      </c>
      <c r="N475" t="s">
        <v>155</v>
      </c>
      <c r="O475" t="s">
        <v>156</v>
      </c>
      <c r="P475">
        <v>4110055667</v>
      </c>
      <c r="Q475" t="s">
        <v>185</v>
      </c>
      <c r="R475">
        <v>5000</v>
      </c>
      <c r="S475" t="s">
        <v>166</v>
      </c>
      <c r="V475" t="s">
        <v>167</v>
      </c>
      <c r="W475">
        <v>1502040318</v>
      </c>
      <c r="X475" t="s">
        <v>72</v>
      </c>
      <c r="Y475" t="str">
        <f>VLOOKUP(W475,Sheet4!$A$5:$B$71,2,0)</f>
        <v>Re Side Door</v>
      </c>
      <c r="Z475">
        <v>87082900</v>
      </c>
      <c r="AA475">
        <v>120</v>
      </c>
      <c r="AB475" t="s">
        <v>159</v>
      </c>
      <c r="AC475">
        <v>507.85</v>
      </c>
      <c r="AD475" t="s">
        <v>160</v>
      </c>
      <c r="AE475" s="24">
        <v>60942</v>
      </c>
      <c r="AF475">
        <v>0</v>
      </c>
      <c r="AG475" s="24">
        <v>60942</v>
      </c>
      <c r="AH475">
        <v>0</v>
      </c>
      <c r="AI475">
        <v>0</v>
      </c>
      <c r="AJ475">
        <v>0</v>
      </c>
      <c r="AK475">
        <v>0</v>
      </c>
      <c r="AL475" s="24">
        <v>60942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 s="24">
        <v>60942</v>
      </c>
      <c r="AV475">
        <v>0</v>
      </c>
      <c r="AW475">
        <v>0</v>
      </c>
      <c r="AX475">
        <v>311000</v>
      </c>
      <c r="AY475" t="s">
        <v>161</v>
      </c>
      <c r="AZ475">
        <v>2.27</v>
      </c>
      <c r="BA475">
        <v>2.27</v>
      </c>
      <c r="BB475">
        <v>0</v>
      </c>
      <c r="BC475" t="s">
        <v>187</v>
      </c>
      <c r="BD475">
        <v>1511</v>
      </c>
      <c r="BE475" t="s">
        <v>174</v>
      </c>
      <c r="BF475">
        <v>5094052541</v>
      </c>
      <c r="BG475" t="s">
        <v>336</v>
      </c>
    </row>
    <row r="476" spans="1:59">
      <c r="A476">
        <v>1115</v>
      </c>
      <c r="B476">
        <v>1115</v>
      </c>
      <c r="C476">
        <v>10</v>
      </c>
      <c r="D476">
        <v>2</v>
      </c>
      <c r="E476" t="s">
        <v>152</v>
      </c>
      <c r="F476" t="s">
        <v>153</v>
      </c>
      <c r="G476" t="s">
        <v>154</v>
      </c>
      <c r="H476">
        <v>1526005486</v>
      </c>
      <c r="I476">
        <v>1000005719</v>
      </c>
      <c r="L476" t="s">
        <v>336</v>
      </c>
      <c r="M476">
        <v>5100001925</v>
      </c>
      <c r="N476" t="s">
        <v>155</v>
      </c>
      <c r="O476" t="s">
        <v>156</v>
      </c>
      <c r="P476">
        <v>4110055667</v>
      </c>
      <c r="Q476" t="s">
        <v>185</v>
      </c>
      <c r="R476">
        <v>5000</v>
      </c>
      <c r="S476" t="s">
        <v>166</v>
      </c>
      <c r="V476" t="s">
        <v>167</v>
      </c>
      <c r="W476">
        <v>1502040317</v>
      </c>
      <c r="X476" t="s">
        <v>73</v>
      </c>
      <c r="Y476" t="str">
        <f>VLOOKUP(W476,Sheet4!$A$5:$B$71,2,0)</f>
        <v>Re Side Door</v>
      </c>
      <c r="Z476">
        <v>87082900</v>
      </c>
      <c r="AA476">
        <v>120</v>
      </c>
      <c r="AB476" t="s">
        <v>159</v>
      </c>
      <c r="AC476">
        <v>507.85</v>
      </c>
      <c r="AD476" t="s">
        <v>160</v>
      </c>
      <c r="AE476" s="24">
        <v>60942</v>
      </c>
      <c r="AF476">
        <v>0</v>
      </c>
      <c r="AG476" s="24">
        <v>60942</v>
      </c>
      <c r="AH476">
        <v>0</v>
      </c>
      <c r="AI476">
        <v>0</v>
      </c>
      <c r="AJ476">
        <v>0</v>
      </c>
      <c r="AK476">
        <v>0</v>
      </c>
      <c r="AL476" s="24">
        <v>60942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 s="24">
        <v>60942</v>
      </c>
      <c r="AV476">
        <v>0</v>
      </c>
      <c r="AW476">
        <v>0</v>
      </c>
      <c r="AX476">
        <v>311000</v>
      </c>
      <c r="AY476" t="s">
        <v>161</v>
      </c>
      <c r="AZ476">
        <v>2.27</v>
      </c>
      <c r="BA476">
        <v>2.27</v>
      </c>
      <c r="BB476">
        <v>0</v>
      </c>
      <c r="BC476" t="s">
        <v>186</v>
      </c>
      <c r="BD476">
        <v>1511</v>
      </c>
      <c r="BE476" t="s">
        <v>174</v>
      </c>
      <c r="BF476">
        <v>5094052542</v>
      </c>
      <c r="BG476" t="s">
        <v>336</v>
      </c>
    </row>
    <row r="477" spans="1:59">
      <c r="A477">
        <v>1115</v>
      </c>
      <c r="B477">
        <v>1115</v>
      </c>
      <c r="C477">
        <v>10</v>
      </c>
      <c r="D477">
        <v>2</v>
      </c>
      <c r="E477" t="s">
        <v>152</v>
      </c>
      <c r="F477" t="s">
        <v>153</v>
      </c>
      <c r="G477" t="s">
        <v>154</v>
      </c>
      <c r="H477">
        <v>1526005776</v>
      </c>
      <c r="I477">
        <v>1000006033</v>
      </c>
      <c r="L477" t="s">
        <v>337</v>
      </c>
      <c r="M477">
        <v>5100001636</v>
      </c>
      <c r="N477" t="s">
        <v>155</v>
      </c>
      <c r="O477" t="s">
        <v>156</v>
      </c>
      <c r="P477">
        <v>4110026445</v>
      </c>
      <c r="Q477" t="s">
        <v>170</v>
      </c>
      <c r="R477">
        <v>5000</v>
      </c>
      <c r="S477" t="s">
        <v>166</v>
      </c>
      <c r="V477" t="s">
        <v>167</v>
      </c>
      <c r="W477">
        <v>1502020104</v>
      </c>
      <c r="X477" t="s">
        <v>26</v>
      </c>
      <c r="Y477" t="str">
        <f>VLOOKUP(W477,Sheet4!$A$5:$B$71,2,0)</f>
        <v>RE STYLING</v>
      </c>
      <c r="Z477">
        <v>87082900</v>
      </c>
      <c r="AA477">
        <v>15</v>
      </c>
      <c r="AB477" t="s">
        <v>159</v>
      </c>
      <c r="AC477" s="24">
        <v>6585.55</v>
      </c>
      <c r="AD477" t="s">
        <v>160</v>
      </c>
      <c r="AE477" s="24">
        <v>98783.25</v>
      </c>
      <c r="AF477">
        <v>0</v>
      </c>
      <c r="AG477" s="24">
        <v>98783.25</v>
      </c>
      <c r="AH477">
        <v>0</v>
      </c>
      <c r="AI477">
        <v>0</v>
      </c>
      <c r="AJ477">
        <v>0</v>
      </c>
      <c r="AK477">
        <v>0</v>
      </c>
      <c r="AL477" s="24">
        <v>98783.25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 s="24">
        <v>98783.25</v>
      </c>
      <c r="AV477">
        <v>0</v>
      </c>
      <c r="AW477">
        <v>0</v>
      </c>
      <c r="AX477">
        <v>311000</v>
      </c>
      <c r="AY477" t="s">
        <v>161</v>
      </c>
      <c r="AZ477">
        <v>49.75</v>
      </c>
      <c r="BA477">
        <v>49.75</v>
      </c>
      <c r="BB477">
        <v>0</v>
      </c>
      <c r="BC477" t="s">
        <v>171</v>
      </c>
      <c r="BD477">
        <v>1509</v>
      </c>
      <c r="BE477" t="s">
        <v>169</v>
      </c>
      <c r="BF477">
        <v>5094085355</v>
      </c>
      <c r="BG477" t="s">
        <v>333</v>
      </c>
    </row>
    <row r="478" spans="1:59">
      <c r="A478">
        <v>1115</v>
      </c>
      <c r="B478">
        <v>1115</v>
      </c>
      <c r="C478">
        <v>10</v>
      </c>
      <c r="D478">
        <v>2</v>
      </c>
      <c r="E478" t="s">
        <v>152</v>
      </c>
      <c r="F478" t="s">
        <v>153</v>
      </c>
      <c r="G478" t="s">
        <v>154</v>
      </c>
      <c r="H478">
        <v>1526005775</v>
      </c>
      <c r="I478">
        <v>1000006032</v>
      </c>
      <c r="L478" t="s">
        <v>337</v>
      </c>
      <c r="M478">
        <v>5100001636</v>
      </c>
      <c r="N478" t="s">
        <v>155</v>
      </c>
      <c r="O478" t="s">
        <v>156</v>
      </c>
      <c r="P478">
        <v>4110026445</v>
      </c>
      <c r="Q478" t="s">
        <v>170</v>
      </c>
      <c r="R478">
        <v>5000</v>
      </c>
      <c r="S478" t="s">
        <v>166</v>
      </c>
      <c r="V478" t="s">
        <v>167</v>
      </c>
      <c r="W478">
        <v>1502020104</v>
      </c>
      <c r="X478" t="s">
        <v>26</v>
      </c>
      <c r="Y478" t="str">
        <f>VLOOKUP(W478,Sheet4!$A$5:$B$71,2,0)</f>
        <v>RE STYLING</v>
      </c>
      <c r="Z478">
        <v>87082900</v>
      </c>
      <c r="AA478">
        <v>15</v>
      </c>
      <c r="AB478" t="s">
        <v>159</v>
      </c>
      <c r="AC478" s="24">
        <v>6585.55</v>
      </c>
      <c r="AD478" t="s">
        <v>160</v>
      </c>
      <c r="AE478" s="24">
        <v>98783.25</v>
      </c>
      <c r="AF478">
        <v>0</v>
      </c>
      <c r="AG478" s="24">
        <v>98783.25</v>
      </c>
      <c r="AH478">
        <v>0</v>
      </c>
      <c r="AI478">
        <v>0</v>
      </c>
      <c r="AJ478">
        <v>0</v>
      </c>
      <c r="AK478">
        <v>0</v>
      </c>
      <c r="AL478" s="24">
        <v>98783.25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 s="24">
        <v>98783.25</v>
      </c>
      <c r="AV478">
        <v>0</v>
      </c>
      <c r="AW478">
        <v>0</v>
      </c>
      <c r="AX478">
        <v>311000</v>
      </c>
      <c r="AY478" t="s">
        <v>161</v>
      </c>
      <c r="AZ478">
        <v>49.75</v>
      </c>
      <c r="BA478">
        <v>49.75</v>
      </c>
      <c r="BB478">
        <v>0</v>
      </c>
      <c r="BC478" t="s">
        <v>171</v>
      </c>
      <c r="BD478">
        <v>1509</v>
      </c>
      <c r="BE478" t="s">
        <v>169</v>
      </c>
      <c r="BF478">
        <v>5094097480</v>
      </c>
      <c r="BG478" t="s">
        <v>333</v>
      </c>
    </row>
    <row r="479" spans="1:59">
      <c r="A479">
        <v>1115</v>
      </c>
      <c r="B479">
        <v>1115</v>
      </c>
      <c r="C479">
        <v>10</v>
      </c>
      <c r="D479">
        <v>2</v>
      </c>
      <c r="E479" t="s">
        <v>152</v>
      </c>
      <c r="F479" t="s">
        <v>153</v>
      </c>
      <c r="G479" t="s">
        <v>154</v>
      </c>
      <c r="H479">
        <v>1526005773</v>
      </c>
      <c r="I479">
        <v>1000006028</v>
      </c>
      <c r="L479" t="s">
        <v>337</v>
      </c>
      <c r="M479">
        <v>5100001227</v>
      </c>
      <c r="N479" t="s">
        <v>155</v>
      </c>
      <c r="O479" t="s">
        <v>156</v>
      </c>
      <c r="P479">
        <v>4110011319</v>
      </c>
      <c r="Q479" t="s">
        <v>175</v>
      </c>
      <c r="R479">
        <v>5000</v>
      </c>
      <c r="S479" t="s">
        <v>166</v>
      </c>
      <c r="V479" t="s">
        <v>167</v>
      </c>
      <c r="W479">
        <v>1502020074</v>
      </c>
      <c r="X479" t="s">
        <v>28</v>
      </c>
      <c r="Y479" t="str">
        <f>VLOOKUP(W479,Sheet4!$A$5:$B$71,2,0)</f>
        <v>MAX UG NEW</v>
      </c>
      <c r="Z479">
        <v>87082900</v>
      </c>
      <c r="AA479">
        <v>10</v>
      </c>
      <c r="AB479" t="s">
        <v>159</v>
      </c>
      <c r="AC479" s="24">
        <v>9397.5</v>
      </c>
      <c r="AD479" t="s">
        <v>160</v>
      </c>
      <c r="AE479" s="24">
        <v>93975</v>
      </c>
      <c r="AF479">
        <v>0</v>
      </c>
      <c r="AG479" s="24">
        <v>93975</v>
      </c>
      <c r="AH479">
        <v>0</v>
      </c>
      <c r="AI479">
        <v>0</v>
      </c>
      <c r="AJ479">
        <v>0</v>
      </c>
      <c r="AK479">
        <v>0</v>
      </c>
      <c r="AL479" s="24">
        <v>93975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 s="24">
        <v>93975</v>
      </c>
      <c r="AV479">
        <v>0</v>
      </c>
      <c r="AW479">
        <v>0</v>
      </c>
      <c r="AX479">
        <v>311000</v>
      </c>
      <c r="AY479" t="s">
        <v>161</v>
      </c>
      <c r="AZ479">
        <v>69.5</v>
      </c>
      <c r="BA479">
        <v>69.5</v>
      </c>
      <c r="BB479">
        <v>0</v>
      </c>
      <c r="BC479" t="s">
        <v>176</v>
      </c>
      <c r="BD479">
        <v>1509</v>
      </c>
      <c r="BE479" t="s">
        <v>169</v>
      </c>
      <c r="BF479">
        <v>5094082659</v>
      </c>
      <c r="BG479" t="s">
        <v>337</v>
      </c>
    </row>
    <row r="480" spans="1:59">
      <c r="A480">
        <v>1115</v>
      </c>
      <c r="B480">
        <v>1115</v>
      </c>
      <c r="C480">
        <v>10</v>
      </c>
      <c r="D480">
        <v>2</v>
      </c>
      <c r="E480" t="s">
        <v>152</v>
      </c>
      <c r="F480" t="s">
        <v>153</v>
      </c>
      <c r="G480" t="s">
        <v>154</v>
      </c>
      <c r="H480">
        <v>1526005772</v>
      </c>
      <c r="I480">
        <v>1000006027</v>
      </c>
      <c r="L480" t="s">
        <v>337</v>
      </c>
      <c r="M480">
        <v>5100001928</v>
      </c>
      <c r="N480" t="s">
        <v>155</v>
      </c>
      <c r="O480" t="s">
        <v>156</v>
      </c>
      <c r="P480">
        <v>4110057393</v>
      </c>
      <c r="Q480" t="s">
        <v>192</v>
      </c>
      <c r="R480">
        <v>5000</v>
      </c>
      <c r="S480" t="s">
        <v>166</v>
      </c>
      <c r="V480" t="s">
        <v>167</v>
      </c>
      <c r="W480">
        <v>1502020122</v>
      </c>
      <c r="X480" t="s">
        <v>70</v>
      </c>
      <c r="Y480" t="str">
        <f>VLOOKUP(W480,Sheet4!$A$5:$B$71,2,0)</f>
        <v>MAX UG NEW EV</v>
      </c>
      <c r="Z480">
        <v>87082900</v>
      </c>
      <c r="AA480">
        <v>2</v>
      </c>
      <c r="AB480" t="s">
        <v>159</v>
      </c>
      <c r="AC480" s="24">
        <v>9566.51</v>
      </c>
      <c r="AD480" t="s">
        <v>160</v>
      </c>
      <c r="AE480" s="24">
        <v>19133.02</v>
      </c>
      <c r="AF480">
        <v>0</v>
      </c>
      <c r="AG480" s="24">
        <v>19133.02</v>
      </c>
      <c r="AH480">
        <v>0</v>
      </c>
      <c r="AI480">
        <v>0</v>
      </c>
      <c r="AJ480">
        <v>0</v>
      </c>
      <c r="AK480">
        <v>0</v>
      </c>
      <c r="AL480" s="24">
        <v>19133.02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 s="24">
        <v>19133.02</v>
      </c>
      <c r="AV480">
        <v>0</v>
      </c>
      <c r="AW480">
        <v>0</v>
      </c>
      <c r="AX480">
        <v>311000</v>
      </c>
      <c r="AY480" t="s">
        <v>161</v>
      </c>
      <c r="AZ480">
        <v>0</v>
      </c>
      <c r="BA480">
        <v>61</v>
      </c>
      <c r="BB480">
        <v>-61</v>
      </c>
      <c r="BC480" t="s">
        <v>193</v>
      </c>
      <c r="BD480">
        <v>1509</v>
      </c>
      <c r="BE480" t="s">
        <v>169</v>
      </c>
      <c r="BF480">
        <v>5094094205</v>
      </c>
      <c r="BG480" t="s">
        <v>333</v>
      </c>
    </row>
    <row r="481" spans="1:59">
      <c r="A481">
        <v>1115</v>
      </c>
      <c r="B481">
        <v>1115</v>
      </c>
      <c r="C481">
        <v>10</v>
      </c>
      <c r="D481">
        <v>2</v>
      </c>
      <c r="E481" t="s">
        <v>152</v>
      </c>
      <c r="F481" t="s">
        <v>153</v>
      </c>
      <c r="G481" t="s">
        <v>154</v>
      </c>
      <c r="H481">
        <v>1526005771</v>
      </c>
      <c r="I481">
        <v>1000006023</v>
      </c>
      <c r="L481" t="s">
        <v>337</v>
      </c>
      <c r="M481">
        <v>5100001928</v>
      </c>
      <c r="N481" t="s">
        <v>155</v>
      </c>
      <c r="O481" t="s">
        <v>156</v>
      </c>
      <c r="P481">
        <v>4110057393</v>
      </c>
      <c r="Q481" t="s">
        <v>192</v>
      </c>
      <c r="R481">
        <v>5000</v>
      </c>
      <c r="S481" t="s">
        <v>166</v>
      </c>
      <c r="V481" t="s">
        <v>167</v>
      </c>
      <c r="W481">
        <v>1502020122</v>
      </c>
      <c r="X481" t="s">
        <v>70</v>
      </c>
      <c r="Y481" t="str">
        <f>VLOOKUP(W481,Sheet4!$A$5:$B$71,2,0)</f>
        <v>MAX UG NEW EV</v>
      </c>
      <c r="Z481">
        <v>87082900</v>
      </c>
      <c r="AA481">
        <v>8</v>
      </c>
      <c r="AB481" t="s">
        <v>159</v>
      </c>
      <c r="AC481" s="24">
        <v>9566.51</v>
      </c>
      <c r="AD481" t="s">
        <v>160</v>
      </c>
      <c r="AE481" s="24">
        <v>76532.08</v>
      </c>
      <c r="AF481">
        <v>0</v>
      </c>
      <c r="AG481" s="24">
        <v>76532.08</v>
      </c>
      <c r="AH481">
        <v>0</v>
      </c>
      <c r="AI481">
        <v>0</v>
      </c>
      <c r="AJ481">
        <v>0</v>
      </c>
      <c r="AK481">
        <v>0</v>
      </c>
      <c r="AL481" s="24">
        <v>76532.08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s="24">
        <v>76532.08</v>
      </c>
      <c r="AV481">
        <v>0</v>
      </c>
      <c r="AW481">
        <v>0</v>
      </c>
      <c r="AX481">
        <v>311000</v>
      </c>
      <c r="AY481" t="s">
        <v>161</v>
      </c>
      <c r="AZ481">
        <v>0</v>
      </c>
      <c r="BA481">
        <v>61</v>
      </c>
      <c r="BB481">
        <v>-61</v>
      </c>
      <c r="BC481" t="s">
        <v>193</v>
      </c>
      <c r="BD481">
        <v>1509</v>
      </c>
      <c r="BE481" t="s">
        <v>169</v>
      </c>
      <c r="BF481">
        <v>5094082623</v>
      </c>
      <c r="BG481" t="s">
        <v>337</v>
      </c>
    </row>
    <row r="482" spans="1:59">
      <c r="A482">
        <v>1115</v>
      </c>
      <c r="B482">
        <v>1115</v>
      </c>
      <c r="C482">
        <v>10</v>
      </c>
      <c r="D482">
        <v>2</v>
      </c>
      <c r="E482" t="s">
        <v>152</v>
      </c>
      <c r="F482" t="s">
        <v>153</v>
      </c>
      <c r="G482" t="s">
        <v>154</v>
      </c>
      <c r="H482">
        <v>1526005770</v>
      </c>
      <c r="I482">
        <v>1000006022</v>
      </c>
      <c r="L482" t="s">
        <v>337</v>
      </c>
      <c r="M482">
        <v>5100001928</v>
      </c>
      <c r="N482" t="s">
        <v>155</v>
      </c>
      <c r="O482" t="s">
        <v>156</v>
      </c>
      <c r="P482">
        <v>4110057393</v>
      </c>
      <c r="Q482" t="s">
        <v>192</v>
      </c>
      <c r="R482">
        <v>5000</v>
      </c>
      <c r="S482" t="s">
        <v>166</v>
      </c>
      <c r="V482" t="s">
        <v>167</v>
      </c>
      <c r="W482">
        <v>1502020122</v>
      </c>
      <c r="X482" t="s">
        <v>70</v>
      </c>
      <c r="Y482" t="str">
        <f>VLOOKUP(W482,Sheet4!$A$5:$B$71,2,0)</f>
        <v>MAX UG NEW EV</v>
      </c>
      <c r="Z482">
        <v>87082900</v>
      </c>
      <c r="AA482">
        <v>8</v>
      </c>
      <c r="AB482" t="s">
        <v>159</v>
      </c>
      <c r="AC482" s="24">
        <v>9566.51</v>
      </c>
      <c r="AD482" t="s">
        <v>160</v>
      </c>
      <c r="AE482" s="24">
        <v>76532.08</v>
      </c>
      <c r="AF482">
        <v>0</v>
      </c>
      <c r="AG482" s="24">
        <v>76532.08</v>
      </c>
      <c r="AH482">
        <v>0</v>
      </c>
      <c r="AI482">
        <v>0</v>
      </c>
      <c r="AJ482">
        <v>0</v>
      </c>
      <c r="AK482">
        <v>0</v>
      </c>
      <c r="AL482" s="24">
        <v>76532.08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s="24">
        <v>76532.08</v>
      </c>
      <c r="AV482">
        <v>0</v>
      </c>
      <c r="AW482">
        <v>0</v>
      </c>
      <c r="AX482">
        <v>311000</v>
      </c>
      <c r="AY482" t="s">
        <v>161</v>
      </c>
      <c r="AZ482">
        <v>0</v>
      </c>
      <c r="BA482">
        <v>61</v>
      </c>
      <c r="BB482">
        <v>-61</v>
      </c>
      <c r="BC482" t="s">
        <v>193</v>
      </c>
      <c r="BD482">
        <v>1509</v>
      </c>
      <c r="BE482" t="s">
        <v>169</v>
      </c>
      <c r="BF482">
        <v>5094084716</v>
      </c>
      <c r="BG482" t="s">
        <v>337</v>
      </c>
    </row>
    <row r="483" spans="1:59">
      <c r="A483">
        <v>1115</v>
      </c>
      <c r="B483">
        <v>1115</v>
      </c>
      <c r="C483">
        <v>10</v>
      </c>
      <c r="D483">
        <v>2</v>
      </c>
      <c r="E483" t="s">
        <v>152</v>
      </c>
      <c r="F483" t="s">
        <v>153</v>
      </c>
      <c r="G483" t="s">
        <v>154</v>
      </c>
      <c r="H483">
        <v>1526005769</v>
      </c>
      <c r="I483">
        <v>1000006021</v>
      </c>
      <c r="L483" t="s">
        <v>337</v>
      </c>
      <c r="M483">
        <v>5100001407</v>
      </c>
      <c r="N483" t="s">
        <v>155</v>
      </c>
      <c r="O483" t="s">
        <v>156</v>
      </c>
      <c r="P483">
        <v>4110019623</v>
      </c>
      <c r="Q483" t="s">
        <v>188</v>
      </c>
      <c r="R483">
        <v>5000</v>
      </c>
      <c r="S483" t="s">
        <v>166</v>
      </c>
      <c r="V483" t="s">
        <v>167</v>
      </c>
      <c r="W483">
        <v>1502040216</v>
      </c>
      <c r="X483" t="s">
        <v>64</v>
      </c>
      <c r="Y483" t="str">
        <f>VLOOKUP(W483,Sheet4!$A$5:$B$71,2,0)</f>
        <v>FRONT MUDGAURD</v>
      </c>
      <c r="Z483">
        <v>87082900</v>
      </c>
      <c r="AA483" s="24">
        <v>1280</v>
      </c>
      <c r="AB483" t="s">
        <v>159</v>
      </c>
      <c r="AC483">
        <v>174.11</v>
      </c>
      <c r="AD483" t="s">
        <v>160</v>
      </c>
      <c r="AE483" s="24">
        <v>222860.79999999999</v>
      </c>
      <c r="AF483">
        <v>0</v>
      </c>
      <c r="AG483" s="24">
        <v>222860.79999999999</v>
      </c>
      <c r="AH483">
        <v>0</v>
      </c>
      <c r="AI483">
        <v>0</v>
      </c>
      <c r="AJ483">
        <v>0</v>
      </c>
      <c r="AK483">
        <v>0</v>
      </c>
      <c r="AL483" s="24">
        <v>222860.79999999999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s="24">
        <v>222860.79999999999</v>
      </c>
      <c r="AV483">
        <v>0</v>
      </c>
      <c r="AW483">
        <v>0</v>
      </c>
      <c r="AX483">
        <v>311000</v>
      </c>
      <c r="AY483" t="s">
        <v>161</v>
      </c>
      <c r="AZ483">
        <v>2.573</v>
      </c>
      <c r="BA483">
        <v>1.4910000000000001</v>
      </c>
      <c r="BB483">
        <v>1.0820000000000001</v>
      </c>
      <c r="BC483" t="s">
        <v>189</v>
      </c>
      <c r="BD483">
        <v>1511</v>
      </c>
      <c r="BE483" t="s">
        <v>174</v>
      </c>
      <c r="BF483">
        <v>5094085354</v>
      </c>
      <c r="BG483" t="s">
        <v>333</v>
      </c>
    </row>
    <row r="484" spans="1:59">
      <c r="A484">
        <v>1115</v>
      </c>
      <c r="B484">
        <v>1115</v>
      </c>
      <c r="C484">
        <v>10</v>
      </c>
      <c r="D484">
        <v>2</v>
      </c>
      <c r="E484" t="s">
        <v>152</v>
      </c>
      <c r="F484" t="s">
        <v>153</v>
      </c>
      <c r="G484" t="s">
        <v>154</v>
      </c>
      <c r="H484">
        <v>1526005766</v>
      </c>
      <c r="I484">
        <v>1000006020</v>
      </c>
      <c r="L484" t="s">
        <v>337</v>
      </c>
      <c r="M484">
        <v>5100001636</v>
      </c>
      <c r="N484" t="s">
        <v>155</v>
      </c>
      <c r="O484" t="s">
        <v>156</v>
      </c>
      <c r="P484">
        <v>4110026445</v>
      </c>
      <c r="Q484" t="s">
        <v>170</v>
      </c>
      <c r="R484">
        <v>5000</v>
      </c>
      <c r="S484" t="s">
        <v>166</v>
      </c>
      <c r="V484" t="s">
        <v>167</v>
      </c>
      <c r="W484">
        <v>1502020104</v>
      </c>
      <c r="X484" t="s">
        <v>26</v>
      </c>
      <c r="Y484" t="str">
        <f>VLOOKUP(W484,Sheet4!$A$5:$B$71,2,0)</f>
        <v>RE STYLING</v>
      </c>
      <c r="Z484">
        <v>87082900</v>
      </c>
      <c r="AA484">
        <v>15</v>
      </c>
      <c r="AB484" t="s">
        <v>159</v>
      </c>
      <c r="AC484" s="24">
        <v>6585.55</v>
      </c>
      <c r="AD484" t="s">
        <v>160</v>
      </c>
      <c r="AE484" s="24">
        <v>98783.25</v>
      </c>
      <c r="AF484">
        <v>0</v>
      </c>
      <c r="AG484" s="24">
        <v>98783.25</v>
      </c>
      <c r="AH484">
        <v>0</v>
      </c>
      <c r="AI484">
        <v>0</v>
      </c>
      <c r="AJ484">
        <v>0</v>
      </c>
      <c r="AK484">
        <v>0</v>
      </c>
      <c r="AL484" s="24">
        <v>98783.25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 s="24">
        <v>98783.25</v>
      </c>
      <c r="AV484">
        <v>0</v>
      </c>
      <c r="AW484">
        <v>0</v>
      </c>
      <c r="AX484">
        <v>311000</v>
      </c>
      <c r="AY484" t="s">
        <v>161</v>
      </c>
      <c r="AZ484">
        <v>49.75</v>
      </c>
      <c r="BA484">
        <v>49.75</v>
      </c>
      <c r="BB484">
        <v>0</v>
      </c>
      <c r="BC484" t="s">
        <v>171</v>
      </c>
      <c r="BD484">
        <v>1509</v>
      </c>
      <c r="BE484" t="s">
        <v>169</v>
      </c>
      <c r="BF484">
        <v>5094097433</v>
      </c>
      <c r="BG484" t="s">
        <v>333</v>
      </c>
    </row>
    <row r="485" spans="1:59">
      <c r="A485">
        <v>1115</v>
      </c>
      <c r="B485">
        <v>1115</v>
      </c>
      <c r="C485">
        <v>10</v>
      </c>
      <c r="D485">
        <v>2</v>
      </c>
      <c r="E485" t="s">
        <v>152</v>
      </c>
      <c r="F485" t="s">
        <v>153</v>
      </c>
      <c r="G485" t="s">
        <v>154</v>
      </c>
      <c r="H485">
        <v>1526005764</v>
      </c>
      <c r="I485">
        <v>1000006018</v>
      </c>
      <c r="L485" t="s">
        <v>337</v>
      </c>
      <c r="M485">
        <v>5100001636</v>
      </c>
      <c r="N485" t="s">
        <v>155</v>
      </c>
      <c r="O485" t="s">
        <v>156</v>
      </c>
      <c r="P485">
        <v>4110026445</v>
      </c>
      <c r="Q485" t="s">
        <v>170</v>
      </c>
      <c r="R485">
        <v>5000</v>
      </c>
      <c r="S485" t="s">
        <v>166</v>
      </c>
      <c r="V485" t="s">
        <v>167</v>
      </c>
      <c r="W485">
        <v>1502020104</v>
      </c>
      <c r="X485" t="s">
        <v>26</v>
      </c>
      <c r="Y485" t="str">
        <f>VLOOKUP(W485,Sheet4!$A$5:$B$71,2,0)</f>
        <v>RE STYLING</v>
      </c>
      <c r="Z485">
        <v>87082900</v>
      </c>
      <c r="AA485">
        <v>15</v>
      </c>
      <c r="AB485" t="s">
        <v>159</v>
      </c>
      <c r="AC485" s="24">
        <v>6585.55</v>
      </c>
      <c r="AD485" t="s">
        <v>160</v>
      </c>
      <c r="AE485" s="24">
        <v>98783.25</v>
      </c>
      <c r="AF485">
        <v>0</v>
      </c>
      <c r="AG485" s="24">
        <v>98783.25</v>
      </c>
      <c r="AH485">
        <v>0</v>
      </c>
      <c r="AI485">
        <v>0</v>
      </c>
      <c r="AJ485">
        <v>0</v>
      </c>
      <c r="AK485">
        <v>0</v>
      </c>
      <c r="AL485" s="24">
        <v>98783.25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 s="24">
        <v>98783.25</v>
      </c>
      <c r="AV485">
        <v>0</v>
      </c>
      <c r="AW485">
        <v>0</v>
      </c>
      <c r="AX485">
        <v>311000</v>
      </c>
      <c r="AY485" t="s">
        <v>161</v>
      </c>
      <c r="AZ485">
        <v>49.75</v>
      </c>
      <c r="BA485">
        <v>49.75</v>
      </c>
      <c r="BB485">
        <v>0</v>
      </c>
      <c r="BC485" t="s">
        <v>171</v>
      </c>
      <c r="BD485">
        <v>1509</v>
      </c>
      <c r="BE485" t="s">
        <v>169</v>
      </c>
      <c r="BF485">
        <v>5094085536</v>
      </c>
      <c r="BG485" t="s">
        <v>333</v>
      </c>
    </row>
    <row r="486" spans="1:59">
      <c r="A486">
        <v>1115</v>
      </c>
      <c r="B486">
        <v>1115</v>
      </c>
      <c r="C486">
        <v>10</v>
      </c>
      <c r="D486">
        <v>2</v>
      </c>
      <c r="E486" t="s">
        <v>152</v>
      </c>
      <c r="F486" t="s">
        <v>153</v>
      </c>
      <c r="G486" t="s">
        <v>154</v>
      </c>
      <c r="H486">
        <v>1526005763</v>
      </c>
      <c r="I486">
        <v>1000006017</v>
      </c>
      <c r="L486" t="s">
        <v>337</v>
      </c>
      <c r="M486">
        <v>5100001636</v>
      </c>
      <c r="N486" t="s">
        <v>155</v>
      </c>
      <c r="O486" t="s">
        <v>156</v>
      </c>
      <c r="P486">
        <v>4110026445</v>
      </c>
      <c r="Q486" t="s">
        <v>170</v>
      </c>
      <c r="R486">
        <v>5000</v>
      </c>
      <c r="S486" t="s">
        <v>166</v>
      </c>
      <c r="V486" t="s">
        <v>167</v>
      </c>
      <c r="W486">
        <v>1502020104</v>
      </c>
      <c r="X486" t="s">
        <v>26</v>
      </c>
      <c r="Y486" t="str">
        <f>VLOOKUP(W486,Sheet4!$A$5:$B$71,2,0)</f>
        <v>RE STYLING</v>
      </c>
      <c r="Z486">
        <v>87082900</v>
      </c>
      <c r="AA486">
        <v>15</v>
      </c>
      <c r="AB486" t="s">
        <v>159</v>
      </c>
      <c r="AC486" s="24">
        <v>6585.55</v>
      </c>
      <c r="AD486" t="s">
        <v>160</v>
      </c>
      <c r="AE486" s="24">
        <v>98783.25</v>
      </c>
      <c r="AF486">
        <v>0</v>
      </c>
      <c r="AG486" s="24">
        <v>98783.25</v>
      </c>
      <c r="AH486">
        <v>0</v>
      </c>
      <c r="AI486">
        <v>0</v>
      </c>
      <c r="AJ486">
        <v>0</v>
      </c>
      <c r="AK486">
        <v>0</v>
      </c>
      <c r="AL486" s="24">
        <v>98783.25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 s="24">
        <v>98783.25</v>
      </c>
      <c r="AV486">
        <v>0</v>
      </c>
      <c r="AW486">
        <v>0</v>
      </c>
      <c r="AX486">
        <v>311000</v>
      </c>
      <c r="AY486" t="s">
        <v>161</v>
      </c>
      <c r="AZ486">
        <v>49.75</v>
      </c>
      <c r="BA486">
        <v>49.75</v>
      </c>
      <c r="BB486">
        <v>0</v>
      </c>
      <c r="BC486" t="s">
        <v>171</v>
      </c>
      <c r="BD486">
        <v>1509</v>
      </c>
      <c r="BE486" t="s">
        <v>169</v>
      </c>
      <c r="BF486">
        <v>5094085348</v>
      </c>
      <c r="BG486" t="s">
        <v>333</v>
      </c>
    </row>
    <row r="487" spans="1:59">
      <c r="A487">
        <v>1115</v>
      </c>
      <c r="B487">
        <v>1115</v>
      </c>
      <c r="C487">
        <v>10</v>
      </c>
      <c r="D487">
        <v>2</v>
      </c>
      <c r="E487" t="s">
        <v>152</v>
      </c>
      <c r="F487" t="s">
        <v>153</v>
      </c>
      <c r="G487" t="s">
        <v>154</v>
      </c>
      <c r="H487">
        <v>1526005761</v>
      </c>
      <c r="I487">
        <v>1000006015</v>
      </c>
      <c r="L487" t="s">
        <v>337</v>
      </c>
      <c r="M487">
        <v>5100001636</v>
      </c>
      <c r="N487" t="s">
        <v>155</v>
      </c>
      <c r="O487" t="s">
        <v>156</v>
      </c>
      <c r="P487">
        <v>4110026445</v>
      </c>
      <c r="Q487" t="s">
        <v>170</v>
      </c>
      <c r="R487">
        <v>5000</v>
      </c>
      <c r="S487" t="s">
        <v>166</v>
      </c>
      <c r="V487" t="s">
        <v>167</v>
      </c>
      <c r="W487">
        <v>1502020104</v>
      </c>
      <c r="X487" t="s">
        <v>26</v>
      </c>
      <c r="Y487" t="str">
        <f>VLOOKUP(W487,Sheet4!$A$5:$B$71,2,0)</f>
        <v>RE STYLING</v>
      </c>
      <c r="Z487">
        <v>87082900</v>
      </c>
      <c r="AA487">
        <v>15</v>
      </c>
      <c r="AB487" t="s">
        <v>159</v>
      </c>
      <c r="AC487" s="24">
        <v>6585.55</v>
      </c>
      <c r="AD487" t="s">
        <v>160</v>
      </c>
      <c r="AE487" s="24">
        <v>98783.25</v>
      </c>
      <c r="AF487">
        <v>0</v>
      </c>
      <c r="AG487" s="24">
        <v>98783.25</v>
      </c>
      <c r="AH487">
        <v>0</v>
      </c>
      <c r="AI487">
        <v>0</v>
      </c>
      <c r="AJ487">
        <v>0</v>
      </c>
      <c r="AK487">
        <v>0</v>
      </c>
      <c r="AL487" s="24">
        <v>98783.25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s="24">
        <v>98783.25</v>
      </c>
      <c r="AV487">
        <v>0</v>
      </c>
      <c r="AW487">
        <v>0</v>
      </c>
      <c r="AX487">
        <v>311000</v>
      </c>
      <c r="AY487" t="s">
        <v>161</v>
      </c>
      <c r="AZ487">
        <v>49.75</v>
      </c>
      <c r="BA487">
        <v>49.75</v>
      </c>
      <c r="BB487">
        <v>0</v>
      </c>
      <c r="BC487" t="s">
        <v>171</v>
      </c>
      <c r="BD487">
        <v>1509</v>
      </c>
      <c r="BE487" t="s">
        <v>169</v>
      </c>
      <c r="BF487">
        <v>5094095905</v>
      </c>
      <c r="BG487" t="s">
        <v>333</v>
      </c>
    </row>
    <row r="488" spans="1:59">
      <c r="A488">
        <v>1115</v>
      </c>
      <c r="B488">
        <v>1115</v>
      </c>
      <c r="C488">
        <v>10</v>
      </c>
      <c r="D488">
        <v>2</v>
      </c>
      <c r="E488" t="s">
        <v>152</v>
      </c>
      <c r="F488" t="s">
        <v>153</v>
      </c>
      <c r="G488" t="s">
        <v>154</v>
      </c>
      <c r="H488">
        <v>1526005760</v>
      </c>
      <c r="I488">
        <v>1000006014</v>
      </c>
      <c r="L488" t="s">
        <v>337</v>
      </c>
      <c r="M488">
        <v>5100001955</v>
      </c>
      <c r="N488" t="s">
        <v>155</v>
      </c>
      <c r="O488" t="s">
        <v>156</v>
      </c>
      <c r="P488">
        <v>5500001432</v>
      </c>
      <c r="Q488" t="s">
        <v>320</v>
      </c>
      <c r="R488">
        <v>5356</v>
      </c>
      <c r="S488" t="s">
        <v>158</v>
      </c>
      <c r="W488">
        <v>1104040829</v>
      </c>
      <c r="X488" t="s">
        <v>321</v>
      </c>
      <c r="Y488" t="s">
        <v>339</v>
      </c>
      <c r="Z488">
        <v>87141090</v>
      </c>
      <c r="AA488">
        <v>331</v>
      </c>
      <c r="AB488" t="s">
        <v>159</v>
      </c>
      <c r="AC488">
        <v>136.6</v>
      </c>
      <c r="AD488" t="s">
        <v>160</v>
      </c>
      <c r="AE488" s="24">
        <v>45214.6</v>
      </c>
      <c r="AF488">
        <v>0</v>
      </c>
      <c r="AG488" s="24">
        <v>45214.6</v>
      </c>
      <c r="AH488">
        <v>0</v>
      </c>
      <c r="AI488">
        <v>0</v>
      </c>
      <c r="AJ488">
        <v>0</v>
      </c>
      <c r="AK488">
        <v>0</v>
      </c>
      <c r="AL488" s="24">
        <v>45214.6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 s="24">
        <v>45214.6</v>
      </c>
      <c r="AV488">
        <v>0</v>
      </c>
      <c r="AW488">
        <v>0</v>
      </c>
      <c r="AX488">
        <v>311003</v>
      </c>
      <c r="AY488" t="s">
        <v>322</v>
      </c>
      <c r="AZ488">
        <v>2.62</v>
      </c>
      <c r="BA488">
        <v>2.62</v>
      </c>
      <c r="BB488">
        <v>0</v>
      </c>
      <c r="BC488">
        <v>2000000894</v>
      </c>
      <c r="BD488">
        <v>1123</v>
      </c>
      <c r="BE488" t="s">
        <v>323</v>
      </c>
      <c r="BF488" t="s">
        <v>163</v>
      </c>
      <c r="BG488" t="s">
        <v>164</v>
      </c>
    </row>
    <row r="489" spans="1:59">
      <c r="A489">
        <v>1115</v>
      </c>
      <c r="B489">
        <v>1115</v>
      </c>
      <c r="C489">
        <v>10</v>
      </c>
      <c r="D489">
        <v>2</v>
      </c>
      <c r="E489" t="s">
        <v>152</v>
      </c>
      <c r="F489" t="s">
        <v>153</v>
      </c>
      <c r="G489" t="s">
        <v>154</v>
      </c>
      <c r="H489">
        <v>1526005755</v>
      </c>
      <c r="I489">
        <v>1000006010</v>
      </c>
      <c r="L489" t="s">
        <v>337</v>
      </c>
      <c r="M489">
        <v>5100001928</v>
      </c>
      <c r="N489" t="s">
        <v>155</v>
      </c>
      <c r="O489" t="s">
        <v>156</v>
      </c>
      <c r="P489">
        <v>4110057393</v>
      </c>
      <c r="Q489" t="s">
        <v>192</v>
      </c>
      <c r="R489">
        <v>5000</v>
      </c>
      <c r="S489" t="s">
        <v>166</v>
      </c>
      <c r="V489" t="s">
        <v>167</v>
      </c>
      <c r="W489">
        <v>1502020122</v>
      </c>
      <c r="X489" t="s">
        <v>70</v>
      </c>
      <c r="Y489" t="str">
        <f>VLOOKUP(W489,Sheet4!$A$5:$B$71,2,0)</f>
        <v>MAX UG NEW EV</v>
      </c>
      <c r="Z489">
        <v>87082900</v>
      </c>
      <c r="AA489">
        <v>8</v>
      </c>
      <c r="AB489" t="s">
        <v>159</v>
      </c>
      <c r="AC489" s="24">
        <v>9566.51</v>
      </c>
      <c r="AD489" t="s">
        <v>160</v>
      </c>
      <c r="AE489" s="24">
        <v>76532.08</v>
      </c>
      <c r="AF489">
        <v>0</v>
      </c>
      <c r="AG489" s="24">
        <v>76532.08</v>
      </c>
      <c r="AH489">
        <v>0</v>
      </c>
      <c r="AI489">
        <v>0</v>
      </c>
      <c r="AJ489">
        <v>0</v>
      </c>
      <c r="AK489">
        <v>0</v>
      </c>
      <c r="AL489" s="24">
        <v>76532.08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s="24">
        <v>76532.08</v>
      </c>
      <c r="AV489">
        <v>0</v>
      </c>
      <c r="AW489">
        <v>0</v>
      </c>
      <c r="AX489">
        <v>311000</v>
      </c>
      <c r="AY489" t="s">
        <v>161</v>
      </c>
      <c r="AZ489">
        <v>0</v>
      </c>
      <c r="BA489">
        <v>61</v>
      </c>
      <c r="BB489">
        <v>-61</v>
      </c>
      <c r="BC489" t="s">
        <v>193</v>
      </c>
      <c r="BD489">
        <v>1509</v>
      </c>
      <c r="BE489" t="s">
        <v>169</v>
      </c>
      <c r="BF489">
        <v>5094082641</v>
      </c>
      <c r="BG489" t="s">
        <v>337</v>
      </c>
    </row>
    <row r="490" spans="1:59">
      <c r="A490">
        <v>1115</v>
      </c>
      <c r="B490">
        <v>1115</v>
      </c>
      <c r="C490">
        <v>10</v>
      </c>
      <c r="D490">
        <v>2</v>
      </c>
      <c r="E490" t="s">
        <v>152</v>
      </c>
      <c r="F490" t="s">
        <v>153</v>
      </c>
      <c r="G490" t="s">
        <v>154</v>
      </c>
      <c r="H490">
        <v>1526005754</v>
      </c>
      <c r="I490">
        <v>1000006009</v>
      </c>
      <c r="L490" t="s">
        <v>337</v>
      </c>
      <c r="M490">
        <v>5100001101</v>
      </c>
      <c r="N490" t="s">
        <v>155</v>
      </c>
      <c r="O490" t="s">
        <v>156</v>
      </c>
      <c r="P490">
        <v>4110004653</v>
      </c>
      <c r="Q490" t="s">
        <v>177</v>
      </c>
      <c r="R490">
        <v>5000</v>
      </c>
      <c r="S490" t="s">
        <v>166</v>
      </c>
      <c r="V490" t="s">
        <v>167</v>
      </c>
      <c r="W490">
        <v>1502040194</v>
      </c>
      <c r="X490" t="s">
        <v>44</v>
      </c>
      <c r="Y490" t="str">
        <f>VLOOKUP(W490,Sheet4!$A$5:$B$71,2,0)</f>
        <v>CRADEL</v>
      </c>
      <c r="Z490">
        <v>87082900</v>
      </c>
      <c r="AA490">
        <v>48</v>
      </c>
      <c r="AB490" t="s">
        <v>159</v>
      </c>
      <c r="AC490">
        <v>956.92</v>
      </c>
      <c r="AD490" t="s">
        <v>160</v>
      </c>
      <c r="AE490" s="24">
        <v>45932.160000000003</v>
      </c>
      <c r="AF490">
        <v>0</v>
      </c>
      <c r="AG490" s="24">
        <v>45932.160000000003</v>
      </c>
      <c r="AH490">
        <v>0</v>
      </c>
      <c r="AI490">
        <v>0</v>
      </c>
      <c r="AJ490">
        <v>0</v>
      </c>
      <c r="AK490">
        <v>0</v>
      </c>
      <c r="AL490" s="24">
        <v>45932.160000000003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 s="24">
        <v>45932.160000000003</v>
      </c>
      <c r="AV490">
        <v>0</v>
      </c>
      <c r="AW490">
        <v>0</v>
      </c>
      <c r="AX490">
        <v>311000</v>
      </c>
      <c r="AY490" t="s">
        <v>161</v>
      </c>
      <c r="AZ490">
        <v>6.3769999999999998</v>
      </c>
      <c r="BA490">
        <v>6.3769999999999998</v>
      </c>
      <c r="BB490">
        <v>0</v>
      </c>
      <c r="BC490" t="s">
        <v>184</v>
      </c>
      <c r="BD490">
        <v>1511</v>
      </c>
      <c r="BE490" t="s">
        <v>174</v>
      </c>
      <c r="BF490">
        <v>5094080565</v>
      </c>
      <c r="BG490" t="s">
        <v>337</v>
      </c>
    </row>
    <row r="491" spans="1:59">
      <c r="A491">
        <v>1115</v>
      </c>
      <c r="B491">
        <v>1115</v>
      </c>
      <c r="C491">
        <v>10</v>
      </c>
      <c r="D491">
        <v>2</v>
      </c>
      <c r="E491" t="s">
        <v>152</v>
      </c>
      <c r="F491" t="s">
        <v>153</v>
      </c>
      <c r="G491" t="s">
        <v>154</v>
      </c>
      <c r="H491">
        <v>1526005753</v>
      </c>
      <c r="I491">
        <v>1000006008</v>
      </c>
      <c r="L491" t="s">
        <v>337</v>
      </c>
      <c r="M491">
        <v>5100001101</v>
      </c>
      <c r="N491" t="s">
        <v>155</v>
      </c>
      <c r="O491" t="s">
        <v>156</v>
      </c>
      <c r="P491">
        <v>4110004653</v>
      </c>
      <c r="Q491" t="s">
        <v>177</v>
      </c>
      <c r="R491">
        <v>5000</v>
      </c>
      <c r="S491" t="s">
        <v>166</v>
      </c>
      <c r="V491" t="s">
        <v>167</v>
      </c>
      <c r="W491">
        <v>1502040194</v>
      </c>
      <c r="X491" t="s">
        <v>44</v>
      </c>
      <c r="Y491" t="str">
        <f>VLOOKUP(W491,Sheet4!$A$5:$B$71,2,0)</f>
        <v>CRADEL</v>
      </c>
      <c r="Z491">
        <v>87082900</v>
      </c>
      <c r="AA491">
        <v>48</v>
      </c>
      <c r="AB491" t="s">
        <v>159</v>
      </c>
      <c r="AC491">
        <v>956.92</v>
      </c>
      <c r="AD491" t="s">
        <v>160</v>
      </c>
      <c r="AE491" s="24">
        <v>45932.160000000003</v>
      </c>
      <c r="AF491">
        <v>0</v>
      </c>
      <c r="AG491" s="24">
        <v>45932.160000000003</v>
      </c>
      <c r="AH491">
        <v>0</v>
      </c>
      <c r="AI491">
        <v>0</v>
      </c>
      <c r="AJ491">
        <v>0</v>
      </c>
      <c r="AK491">
        <v>0</v>
      </c>
      <c r="AL491" s="24">
        <v>45932.160000000003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 s="24">
        <v>45932.160000000003</v>
      </c>
      <c r="AV491">
        <v>0</v>
      </c>
      <c r="AW491">
        <v>0</v>
      </c>
      <c r="AX491">
        <v>311000</v>
      </c>
      <c r="AY491" t="s">
        <v>161</v>
      </c>
      <c r="AZ491">
        <v>6.3769999999999998</v>
      </c>
      <c r="BA491">
        <v>6.3769999999999998</v>
      </c>
      <c r="BB491">
        <v>0</v>
      </c>
      <c r="BC491" t="s">
        <v>184</v>
      </c>
      <c r="BD491">
        <v>1511</v>
      </c>
      <c r="BE491" t="s">
        <v>174</v>
      </c>
      <c r="BF491">
        <v>5094079490</v>
      </c>
      <c r="BG491" t="s">
        <v>337</v>
      </c>
    </row>
    <row r="492" spans="1:59">
      <c r="A492">
        <v>1115</v>
      </c>
      <c r="B492">
        <v>1115</v>
      </c>
      <c r="C492">
        <v>10</v>
      </c>
      <c r="D492">
        <v>2</v>
      </c>
      <c r="E492" t="s">
        <v>152</v>
      </c>
      <c r="F492" t="s">
        <v>153</v>
      </c>
      <c r="G492" t="s">
        <v>154</v>
      </c>
      <c r="H492">
        <v>1526005751</v>
      </c>
      <c r="I492">
        <v>1000006007</v>
      </c>
      <c r="L492" t="s">
        <v>337</v>
      </c>
      <c r="M492">
        <v>5100001101</v>
      </c>
      <c r="N492" t="s">
        <v>155</v>
      </c>
      <c r="O492" t="s">
        <v>156</v>
      </c>
      <c r="P492">
        <v>4110004653</v>
      </c>
      <c r="Q492" t="s">
        <v>177</v>
      </c>
      <c r="R492">
        <v>5000</v>
      </c>
      <c r="S492" t="s">
        <v>166</v>
      </c>
      <c r="V492" t="s">
        <v>167</v>
      </c>
      <c r="W492">
        <v>1502040194</v>
      </c>
      <c r="X492" t="s">
        <v>44</v>
      </c>
      <c r="Y492" t="str">
        <f>VLOOKUP(W492,Sheet4!$A$5:$B$71,2,0)</f>
        <v>CRADEL</v>
      </c>
      <c r="Z492">
        <v>87082900</v>
      </c>
      <c r="AA492">
        <v>48</v>
      </c>
      <c r="AB492" t="s">
        <v>159</v>
      </c>
      <c r="AC492">
        <v>956.92</v>
      </c>
      <c r="AD492" t="s">
        <v>160</v>
      </c>
      <c r="AE492" s="24">
        <v>45932.160000000003</v>
      </c>
      <c r="AF492">
        <v>0</v>
      </c>
      <c r="AG492" s="24">
        <v>45932.160000000003</v>
      </c>
      <c r="AH492">
        <v>0</v>
      </c>
      <c r="AI492">
        <v>0</v>
      </c>
      <c r="AJ492">
        <v>0</v>
      </c>
      <c r="AK492">
        <v>0</v>
      </c>
      <c r="AL492" s="24">
        <v>45932.160000000003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 s="24">
        <v>45932.160000000003</v>
      </c>
      <c r="AV492">
        <v>0</v>
      </c>
      <c r="AW492">
        <v>0</v>
      </c>
      <c r="AX492">
        <v>311000</v>
      </c>
      <c r="AY492" t="s">
        <v>161</v>
      </c>
      <c r="AZ492">
        <v>6.3769999999999998</v>
      </c>
      <c r="BA492">
        <v>6.3769999999999998</v>
      </c>
      <c r="BB492">
        <v>0</v>
      </c>
      <c r="BC492" t="s">
        <v>184</v>
      </c>
      <c r="BD492">
        <v>1511</v>
      </c>
      <c r="BE492" t="s">
        <v>174</v>
      </c>
      <c r="BF492">
        <v>5094079489</v>
      </c>
      <c r="BG492" t="s">
        <v>337</v>
      </c>
    </row>
    <row r="493" spans="1:59">
      <c r="A493">
        <v>1115</v>
      </c>
      <c r="B493">
        <v>1115</v>
      </c>
      <c r="C493">
        <v>10</v>
      </c>
      <c r="D493">
        <v>2</v>
      </c>
      <c r="E493" t="s">
        <v>152</v>
      </c>
      <c r="F493" t="s">
        <v>153</v>
      </c>
      <c r="G493" t="s">
        <v>154</v>
      </c>
      <c r="H493">
        <v>1526005750</v>
      </c>
      <c r="I493">
        <v>1000006006</v>
      </c>
      <c r="L493" t="s">
        <v>337</v>
      </c>
      <c r="M493">
        <v>5100001949</v>
      </c>
      <c r="N493" t="s">
        <v>155</v>
      </c>
      <c r="O493" t="s">
        <v>156</v>
      </c>
      <c r="P493">
        <v>4110063766</v>
      </c>
      <c r="Q493" t="s">
        <v>252</v>
      </c>
      <c r="R493">
        <v>5000</v>
      </c>
      <c r="S493" t="s">
        <v>166</v>
      </c>
      <c r="V493" t="s">
        <v>167</v>
      </c>
      <c r="W493">
        <v>1502040322</v>
      </c>
      <c r="X493" t="s">
        <v>250</v>
      </c>
      <c r="Y493" t="str">
        <f>VLOOKUP(W493,Sheet4!$A$5:$B$71,2,0)</f>
        <v>DASH BOARD</v>
      </c>
      <c r="Z493">
        <v>87082900</v>
      </c>
      <c r="AA493">
        <v>120</v>
      </c>
      <c r="AB493" t="s">
        <v>159</v>
      </c>
      <c r="AC493">
        <v>291.27999999999997</v>
      </c>
      <c r="AD493" t="s">
        <v>160</v>
      </c>
      <c r="AE493" s="24">
        <v>34953.599999999999</v>
      </c>
      <c r="AF493">
        <v>0</v>
      </c>
      <c r="AG493" s="24">
        <v>34953.599999999999</v>
      </c>
      <c r="AH493">
        <v>0</v>
      </c>
      <c r="AI493">
        <v>0</v>
      </c>
      <c r="AJ493">
        <v>0</v>
      </c>
      <c r="AK493">
        <v>0</v>
      </c>
      <c r="AL493" s="24">
        <v>34953.599999999999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 s="24">
        <v>34953.599999999999</v>
      </c>
      <c r="AV493">
        <v>0</v>
      </c>
      <c r="AW493">
        <v>0</v>
      </c>
      <c r="AX493">
        <v>311000</v>
      </c>
      <c r="AY493" t="s">
        <v>161</v>
      </c>
      <c r="AZ493">
        <v>2.37</v>
      </c>
      <c r="BA493">
        <v>2.37</v>
      </c>
      <c r="BB493">
        <v>0</v>
      </c>
      <c r="BC493" t="s">
        <v>251</v>
      </c>
      <c r="BD493">
        <v>1511</v>
      </c>
      <c r="BE493" t="s">
        <v>174</v>
      </c>
      <c r="BF493">
        <v>5094083380</v>
      </c>
      <c r="BG493" t="s">
        <v>337</v>
      </c>
    </row>
    <row r="494" spans="1:59">
      <c r="A494">
        <v>1115</v>
      </c>
      <c r="B494">
        <v>1115</v>
      </c>
      <c r="C494">
        <v>10</v>
      </c>
      <c r="D494">
        <v>2</v>
      </c>
      <c r="E494" t="s">
        <v>152</v>
      </c>
      <c r="F494" t="s">
        <v>153</v>
      </c>
      <c r="G494" t="s">
        <v>154</v>
      </c>
      <c r="H494">
        <v>1526005749</v>
      </c>
      <c r="I494">
        <v>1000006005</v>
      </c>
      <c r="L494" t="s">
        <v>337</v>
      </c>
      <c r="M494">
        <v>5100001899</v>
      </c>
      <c r="N494" t="s">
        <v>155</v>
      </c>
      <c r="O494" t="s">
        <v>156</v>
      </c>
      <c r="P494">
        <v>4110041854</v>
      </c>
      <c r="Q494" t="s">
        <v>172</v>
      </c>
      <c r="R494">
        <v>5000</v>
      </c>
      <c r="S494" t="s">
        <v>166</v>
      </c>
      <c r="V494" t="s">
        <v>167</v>
      </c>
      <c r="W494">
        <v>1502040267</v>
      </c>
      <c r="X494" t="s">
        <v>63</v>
      </c>
      <c r="Y494" t="str">
        <f>VLOOKUP(W494,Sheet4!$A$5:$B$71,2,0)</f>
        <v>DASH BOARD</v>
      </c>
      <c r="Z494">
        <v>87082900</v>
      </c>
      <c r="AA494">
        <v>288</v>
      </c>
      <c r="AB494" t="s">
        <v>159</v>
      </c>
      <c r="AC494">
        <v>290.89999999999998</v>
      </c>
      <c r="AD494" t="s">
        <v>160</v>
      </c>
      <c r="AE494" s="24">
        <v>83779.199999999997</v>
      </c>
      <c r="AF494">
        <v>0</v>
      </c>
      <c r="AG494" s="24">
        <v>83779.199999999997</v>
      </c>
      <c r="AH494">
        <v>0</v>
      </c>
      <c r="AI494">
        <v>0</v>
      </c>
      <c r="AJ494">
        <v>0</v>
      </c>
      <c r="AK494">
        <v>0</v>
      </c>
      <c r="AL494" s="24">
        <v>83779.199999999997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 s="24">
        <v>83779.199999999997</v>
      </c>
      <c r="AV494">
        <v>0</v>
      </c>
      <c r="AW494">
        <v>0</v>
      </c>
      <c r="AX494">
        <v>311000</v>
      </c>
      <c r="AY494" t="s">
        <v>161</v>
      </c>
      <c r="AZ494">
        <v>4.5</v>
      </c>
      <c r="BA494">
        <v>4.5</v>
      </c>
      <c r="BB494">
        <v>0</v>
      </c>
      <c r="BC494" t="s">
        <v>173</v>
      </c>
      <c r="BD494">
        <v>1511</v>
      </c>
      <c r="BE494" t="s">
        <v>174</v>
      </c>
      <c r="BF494">
        <v>5094083381</v>
      </c>
      <c r="BG494" t="s">
        <v>337</v>
      </c>
    </row>
    <row r="495" spans="1:59">
      <c r="A495">
        <v>1115</v>
      </c>
      <c r="B495">
        <v>1115</v>
      </c>
      <c r="C495">
        <v>10</v>
      </c>
      <c r="D495">
        <v>2</v>
      </c>
      <c r="E495" t="s">
        <v>152</v>
      </c>
      <c r="F495" t="s">
        <v>153</v>
      </c>
      <c r="G495" t="s">
        <v>154</v>
      </c>
      <c r="H495">
        <v>1526005748</v>
      </c>
      <c r="I495">
        <v>1000006004</v>
      </c>
      <c r="L495" t="s">
        <v>337</v>
      </c>
      <c r="M495">
        <v>5100001568</v>
      </c>
      <c r="N495" t="s">
        <v>155</v>
      </c>
      <c r="O495" t="s">
        <v>156</v>
      </c>
      <c r="P495">
        <v>4110023868</v>
      </c>
      <c r="Q495" t="s">
        <v>182</v>
      </c>
      <c r="R495">
        <v>5000</v>
      </c>
      <c r="S495" t="s">
        <v>166</v>
      </c>
      <c r="V495" t="s">
        <v>167</v>
      </c>
      <c r="W495">
        <v>1502040236</v>
      </c>
      <c r="X495" t="s">
        <v>50</v>
      </c>
      <c r="Y495" t="str">
        <f>VLOOKUP(W495,Sheet4!$A$5:$B$71,2,0)</f>
        <v>SUPPORT TOP</v>
      </c>
      <c r="Z495">
        <v>87082900</v>
      </c>
      <c r="AA495">
        <v>720</v>
      </c>
      <c r="AB495" t="s">
        <v>159</v>
      </c>
      <c r="AC495">
        <v>134.19999999999999</v>
      </c>
      <c r="AD495" t="s">
        <v>160</v>
      </c>
      <c r="AE495" s="24">
        <v>96624</v>
      </c>
      <c r="AF495">
        <v>0</v>
      </c>
      <c r="AG495" s="24">
        <v>96624</v>
      </c>
      <c r="AH495">
        <v>0</v>
      </c>
      <c r="AI495">
        <v>0</v>
      </c>
      <c r="AJ495">
        <v>0</v>
      </c>
      <c r="AK495">
        <v>0</v>
      </c>
      <c r="AL495" s="24">
        <v>96624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 s="24">
        <v>96624</v>
      </c>
      <c r="AV495">
        <v>0</v>
      </c>
      <c r="AW495">
        <v>0</v>
      </c>
      <c r="AX495">
        <v>311000</v>
      </c>
      <c r="AY495" t="s">
        <v>161</v>
      </c>
      <c r="AZ495">
        <v>1.19</v>
      </c>
      <c r="BA495">
        <v>1.19</v>
      </c>
      <c r="BB495">
        <v>0</v>
      </c>
      <c r="BC495" t="s">
        <v>183</v>
      </c>
      <c r="BD495">
        <v>1511</v>
      </c>
      <c r="BE495" t="s">
        <v>174</v>
      </c>
      <c r="BF495">
        <v>5094079980</v>
      </c>
      <c r="BG495" t="s">
        <v>337</v>
      </c>
    </row>
    <row r="496" spans="1:59">
      <c r="A496">
        <v>1115</v>
      </c>
      <c r="B496">
        <v>1115</v>
      </c>
      <c r="C496">
        <v>10</v>
      </c>
      <c r="D496">
        <v>2</v>
      </c>
      <c r="E496" t="s">
        <v>152</v>
      </c>
      <c r="F496" t="s">
        <v>153</v>
      </c>
      <c r="G496" t="s">
        <v>154</v>
      </c>
      <c r="H496">
        <v>1526005747</v>
      </c>
      <c r="I496">
        <v>1000006003</v>
      </c>
      <c r="L496" t="s">
        <v>337</v>
      </c>
      <c r="M496">
        <v>5100001919</v>
      </c>
      <c r="N496" t="s">
        <v>155</v>
      </c>
      <c r="O496" t="s">
        <v>156</v>
      </c>
      <c r="P496">
        <v>5500000930</v>
      </c>
      <c r="Q496" t="s">
        <v>157</v>
      </c>
      <c r="R496">
        <v>5356</v>
      </c>
      <c r="S496" t="s">
        <v>158</v>
      </c>
      <c r="W496">
        <v>1502010011</v>
      </c>
      <c r="X496" t="s">
        <v>35</v>
      </c>
      <c r="Y496" t="str">
        <f>VLOOKUP(W496,Sheet4!$A$5:$B$71,2,0)</f>
        <v>REAR MUDGAURD</v>
      </c>
      <c r="Z496">
        <v>87082900</v>
      </c>
      <c r="AA496">
        <v>432</v>
      </c>
      <c r="AB496" t="s">
        <v>159</v>
      </c>
      <c r="AC496">
        <v>89.25</v>
      </c>
      <c r="AD496" t="s">
        <v>160</v>
      </c>
      <c r="AE496" s="24">
        <v>38556</v>
      </c>
      <c r="AF496">
        <v>0</v>
      </c>
      <c r="AG496" s="24">
        <v>38556</v>
      </c>
      <c r="AH496">
        <v>0</v>
      </c>
      <c r="AI496">
        <v>0</v>
      </c>
      <c r="AJ496">
        <v>0</v>
      </c>
      <c r="AK496">
        <v>0</v>
      </c>
      <c r="AL496" s="24">
        <v>38556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 s="24">
        <v>38556</v>
      </c>
      <c r="AV496">
        <v>0</v>
      </c>
      <c r="AW496">
        <v>0</v>
      </c>
      <c r="AX496">
        <v>311000</v>
      </c>
      <c r="AY496" t="s">
        <v>161</v>
      </c>
      <c r="AZ496">
        <v>1.32</v>
      </c>
      <c r="BA496">
        <v>0.72399999999999998</v>
      </c>
      <c r="BB496">
        <v>0.59599999999999997</v>
      </c>
      <c r="BC496">
        <v>2000001017</v>
      </c>
      <c r="BD496">
        <v>1508</v>
      </c>
      <c r="BE496" t="s">
        <v>162</v>
      </c>
      <c r="BF496" t="s">
        <v>163</v>
      </c>
      <c r="BG496" t="s">
        <v>164</v>
      </c>
    </row>
    <row r="497" spans="1:59">
      <c r="A497">
        <v>1115</v>
      </c>
      <c r="B497">
        <v>1115</v>
      </c>
      <c r="C497">
        <v>10</v>
      </c>
      <c r="D497">
        <v>2</v>
      </c>
      <c r="E497" t="s">
        <v>152</v>
      </c>
      <c r="F497" t="s">
        <v>153</v>
      </c>
      <c r="G497" t="s">
        <v>154</v>
      </c>
      <c r="H497">
        <v>1526005746</v>
      </c>
      <c r="I497">
        <v>1000006002</v>
      </c>
      <c r="L497" t="s">
        <v>337</v>
      </c>
      <c r="M497">
        <v>5100001919</v>
      </c>
      <c r="N497" t="s">
        <v>155</v>
      </c>
      <c r="O497" t="s">
        <v>156</v>
      </c>
      <c r="P497">
        <v>5500000930</v>
      </c>
      <c r="Q497" t="s">
        <v>157</v>
      </c>
      <c r="R497">
        <v>5356</v>
      </c>
      <c r="S497" t="s">
        <v>158</v>
      </c>
      <c r="W497">
        <v>1502010011</v>
      </c>
      <c r="X497" t="s">
        <v>35</v>
      </c>
      <c r="Y497" t="str">
        <f>VLOOKUP(W497,Sheet4!$A$5:$B$71,2,0)</f>
        <v>REAR MUDGAURD</v>
      </c>
      <c r="Z497">
        <v>87082900</v>
      </c>
      <c r="AA497">
        <v>432</v>
      </c>
      <c r="AB497" t="s">
        <v>159</v>
      </c>
      <c r="AC497">
        <v>89.25</v>
      </c>
      <c r="AD497" t="s">
        <v>160</v>
      </c>
      <c r="AE497" s="24">
        <v>38556</v>
      </c>
      <c r="AF497">
        <v>0</v>
      </c>
      <c r="AG497" s="24">
        <v>38556</v>
      </c>
      <c r="AH497">
        <v>0</v>
      </c>
      <c r="AI497">
        <v>0</v>
      </c>
      <c r="AJ497">
        <v>0</v>
      </c>
      <c r="AK497">
        <v>0</v>
      </c>
      <c r="AL497" s="24">
        <v>38556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 s="24">
        <v>38556</v>
      </c>
      <c r="AV497">
        <v>0</v>
      </c>
      <c r="AW497">
        <v>0</v>
      </c>
      <c r="AX497">
        <v>311000</v>
      </c>
      <c r="AY497" t="s">
        <v>161</v>
      </c>
      <c r="AZ497">
        <v>1.32</v>
      </c>
      <c r="BA497">
        <v>0.72399999999999998</v>
      </c>
      <c r="BB497">
        <v>0.59599999999999997</v>
      </c>
      <c r="BC497">
        <v>2000001017</v>
      </c>
      <c r="BD497">
        <v>1508</v>
      </c>
      <c r="BE497" t="s">
        <v>162</v>
      </c>
      <c r="BF497" t="s">
        <v>163</v>
      </c>
      <c r="BG497" t="s">
        <v>164</v>
      </c>
    </row>
    <row r="498" spans="1:59">
      <c r="A498">
        <v>1115</v>
      </c>
      <c r="B498">
        <v>1115</v>
      </c>
      <c r="C498">
        <v>10</v>
      </c>
      <c r="D498">
        <v>2</v>
      </c>
      <c r="E498" t="s">
        <v>152</v>
      </c>
      <c r="F498" t="s">
        <v>153</v>
      </c>
      <c r="G498" t="s">
        <v>154</v>
      </c>
      <c r="H498">
        <v>1526005745</v>
      </c>
      <c r="I498">
        <v>1000006001</v>
      </c>
      <c r="L498" t="s">
        <v>337</v>
      </c>
      <c r="M498">
        <v>5100001919</v>
      </c>
      <c r="N498" t="s">
        <v>155</v>
      </c>
      <c r="O498" t="s">
        <v>156</v>
      </c>
      <c r="P498">
        <v>5500000930</v>
      </c>
      <c r="Q498" t="s">
        <v>157</v>
      </c>
      <c r="R498">
        <v>5356</v>
      </c>
      <c r="S498" t="s">
        <v>158</v>
      </c>
      <c r="W498">
        <v>1502010011</v>
      </c>
      <c r="X498" t="s">
        <v>35</v>
      </c>
      <c r="Y498" t="str">
        <f>VLOOKUP(W498,Sheet4!$A$5:$B$71,2,0)</f>
        <v>REAR MUDGAURD</v>
      </c>
      <c r="Z498">
        <v>87082900</v>
      </c>
      <c r="AA498">
        <v>432</v>
      </c>
      <c r="AB498" t="s">
        <v>159</v>
      </c>
      <c r="AC498">
        <v>89.25</v>
      </c>
      <c r="AD498" t="s">
        <v>160</v>
      </c>
      <c r="AE498" s="24">
        <v>38556</v>
      </c>
      <c r="AF498">
        <v>0</v>
      </c>
      <c r="AG498" s="24">
        <v>38556</v>
      </c>
      <c r="AH498">
        <v>0</v>
      </c>
      <c r="AI498">
        <v>0</v>
      </c>
      <c r="AJ498">
        <v>0</v>
      </c>
      <c r="AK498">
        <v>0</v>
      </c>
      <c r="AL498" s="24">
        <v>38556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 s="24">
        <v>38556</v>
      </c>
      <c r="AV498">
        <v>0</v>
      </c>
      <c r="AW498">
        <v>0</v>
      </c>
      <c r="AX498">
        <v>311000</v>
      </c>
      <c r="AY498" t="s">
        <v>161</v>
      </c>
      <c r="AZ498">
        <v>1.32</v>
      </c>
      <c r="BA498">
        <v>0.72399999999999998</v>
      </c>
      <c r="BB498">
        <v>0.59599999999999997</v>
      </c>
      <c r="BC498">
        <v>2000001017</v>
      </c>
      <c r="BD498">
        <v>1508</v>
      </c>
      <c r="BE498" t="s">
        <v>162</v>
      </c>
      <c r="BF498" t="s">
        <v>163</v>
      </c>
      <c r="BG498" t="s">
        <v>164</v>
      </c>
    </row>
    <row r="499" spans="1:59">
      <c r="A499">
        <v>1115</v>
      </c>
      <c r="B499">
        <v>1115</v>
      </c>
      <c r="C499">
        <v>10</v>
      </c>
      <c r="D499">
        <v>2</v>
      </c>
      <c r="E499" t="s">
        <v>152</v>
      </c>
      <c r="F499" t="s">
        <v>153</v>
      </c>
      <c r="G499" t="s">
        <v>154</v>
      </c>
      <c r="H499">
        <v>1526005744</v>
      </c>
      <c r="I499">
        <v>1000006000</v>
      </c>
      <c r="L499" t="s">
        <v>337</v>
      </c>
      <c r="M499">
        <v>5100001919</v>
      </c>
      <c r="N499" t="s">
        <v>155</v>
      </c>
      <c r="O499" t="s">
        <v>156</v>
      </c>
      <c r="P499">
        <v>5500000930</v>
      </c>
      <c r="Q499" t="s">
        <v>157</v>
      </c>
      <c r="R499">
        <v>5356</v>
      </c>
      <c r="S499" t="s">
        <v>158</v>
      </c>
      <c r="W499">
        <v>1502010011</v>
      </c>
      <c r="X499" t="s">
        <v>35</v>
      </c>
      <c r="Y499" t="str">
        <f>VLOOKUP(W499,Sheet4!$A$5:$B$71,2,0)</f>
        <v>REAR MUDGAURD</v>
      </c>
      <c r="Z499">
        <v>87082900</v>
      </c>
      <c r="AA499">
        <v>432</v>
      </c>
      <c r="AB499" t="s">
        <v>159</v>
      </c>
      <c r="AC499">
        <v>89.25</v>
      </c>
      <c r="AD499" t="s">
        <v>160</v>
      </c>
      <c r="AE499" s="24">
        <v>38556</v>
      </c>
      <c r="AF499">
        <v>0</v>
      </c>
      <c r="AG499" s="24">
        <v>38556</v>
      </c>
      <c r="AH499">
        <v>0</v>
      </c>
      <c r="AI499">
        <v>0</v>
      </c>
      <c r="AJ499">
        <v>0</v>
      </c>
      <c r="AK499">
        <v>0</v>
      </c>
      <c r="AL499" s="24">
        <v>38556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 s="24">
        <v>38556</v>
      </c>
      <c r="AV499">
        <v>0</v>
      </c>
      <c r="AW499">
        <v>0</v>
      </c>
      <c r="AX499">
        <v>311000</v>
      </c>
      <c r="AY499" t="s">
        <v>161</v>
      </c>
      <c r="AZ499">
        <v>1.32</v>
      </c>
      <c r="BA499">
        <v>0.72399999999999998</v>
      </c>
      <c r="BB499">
        <v>0.59599999999999997</v>
      </c>
      <c r="BC499">
        <v>2000001017</v>
      </c>
      <c r="BD499">
        <v>1508</v>
      </c>
      <c r="BE499" t="s">
        <v>162</v>
      </c>
      <c r="BF499" t="s">
        <v>163</v>
      </c>
      <c r="BG499" t="s">
        <v>164</v>
      </c>
    </row>
    <row r="500" spans="1:59">
      <c r="A500">
        <v>1115</v>
      </c>
      <c r="B500">
        <v>1115</v>
      </c>
      <c r="C500">
        <v>10</v>
      </c>
      <c r="D500">
        <v>2</v>
      </c>
      <c r="E500" t="s">
        <v>152</v>
      </c>
      <c r="F500" t="s">
        <v>153</v>
      </c>
      <c r="G500" t="s">
        <v>154</v>
      </c>
      <c r="H500">
        <v>1526005743</v>
      </c>
      <c r="I500">
        <v>1000005999</v>
      </c>
      <c r="L500" t="s">
        <v>337</v>
      </c>
      <c r="M500">
        <v>5100001919</v>
      </c>
      <c r="N500" t="s">
        <v>155</v>
      </c>
      <c r="O500" t="s">
        <v>156</v>
      </c>
      <c r="P500">
        <v>5500000930</v>
      </c>
      <c r="Q500" t="s">
        <v>157</v>
      </c>
      <c r="R500">
        <v>5356</v>
      </c>
      <c r="S500" t="s">
        <v>158</v>
      </c>
      <c r="W500">
        <v>1502010011</v>
      </c>
      <c r="X500" t="s">
        <v>35</v>
      </c>
      <c r="Y500" t="str">
        <f>VLOOKUP(W500,Sheet4!$A$5:$B$71,2,0)</f>
        <v>REAR MUDGAURD</v>
      </c>
      <c r="Z500">
        <v>87082900</v>
      </c>
      <c r="AA500">
        <v>432</v>
      </c>
      <c r="AB500" t="s">
        <v>159</v>
      </c>
      <c r="AC500">
        <v>89.25</v>
      </c>
      <c r="AD500" t="s">
        <v>160</v>
      </c>
      <c r="AE500" s="24">
        <v>38556</v>
      </c>
      <c r="AF500">
        <v>0</v>
      </c>
      <c r="AG500" s="24">
        <v>38556</v>
      </c>
      <c r="AH500">
        <v>0</v>
      </c>
      <c r="AI500">
        <v>0</v>
      </c>
      <c r="AJ500">
        <v>0</v>
      </c>
      <c r="AK500">
        <v>0</v>
      </c>
      <c r="AL500" s="24">
        <v>38556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 s="24">
        <v>38556</v>
      </c>
      <c r="AV500">
        <v>0</v>
      </c>
      <c r="AW500">
        <v>0</v>
      </c>
      <c r="AX500">
        <v>311000</v>
      </c>
      <c r="AY500" t="s">
        <v>161</v>
      </c>
      <c r="AZ500">
        <v>1.32</v>
      </c>
      <c r="BA500">
        <v>0.72399999999999998</v>
      </c>
      <c r="BB500">
        <v>0.59599999999999997</v>
      </c>
      <c r="BC500">
        <v>2000001017</v>
      </c>
      <c r="BD500">
        <v>1508</v>
      </c>
      <c r="BE500" t="s">
        <v>162</v>
      </c>
      <c r="BF500" t="s">
        <v>163</v>
      </c>
      <c r="BG500" t="s">
        <v>164</v>
      </c>
    </row>
    <row r="501" spans="1:59">
      <c r="A501">
        <v>1115</v>
      </c>
      <c r="B501">
        <v>1115</v>
      </c>
      <c r="C501">
        <v>10</v>
      </c>
      <c r="D501">
        <v>2</v>
      </c>
      <c r="E501" t="s">
        <v>152</v>
      </c>
      <c r="F501" t="s">
        <v>153</v>
      </c>
      <c r="G501" t="s">
        <v>154</v>
      </c>
      <c r="H501">
        <v>1526005742</v>
      </c>
      <c r="I501">
        <v>1000005998</v>
      </c>
      <c r="L501" t="s">
        <v>337</v>
      </c>
      <c r="M501">
        <v>5100001919</v>
      </c>
      <c r="N501" t="s">
        <v>155</v>
      </c>
      <c r="O501" t="s">
        <v>156</v>
      </c>
      <c r="P501">
        <v>5500000930</v>
      </c>
      <c r="Q501" t="s">
        <v>157</v>
      </c>
      <c r="R501">
        <v>5356</v>
      </c>
      <c r="S501" t="s">
        <v>158</v>
      </c>
      <c r="W501">
        <v>1502010011</v>
      </c>
      <c r="X501" t="s">
        <v>35</v>
      </c>
      <c r="Y501" t="str">
        <f>VLOOKUP(W501,Sheet4!$A$5:$B$71,2,0)</f>
        <v>REAR MUDGAURD</v>
      </c>
      <c r="Z501">
        <v>87082900</v>
      </c>
      <c r="AA501">
        <v>432</v>
      </c>
      <c r="AB501" t="s">
        <v>159</v>
      </c>
      <c r="AC501">
        <v>89.25</v>
      </c>
      <c r="AD501" t="s">
        <v>160</v>
      </c>
      <c r="AE501" s="24">
        <v>38556</v>
      </c>
      <c r="AF501">
        <v>0</v>
      </c>
      <c r="AG501" s="24">
        <v>38556</v>
      </c>
      <c r="AH501">
        <v>0</v>
      </c>
      <c r="AI501">
        <v>0</v>
      </c>
      <c r="AJ501">
        <v>0</v>
      </c>
      <c r="AK501">
        <v>0</v>
      </c>
      <c r="AL501" s="24">
        <v>38556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 s="24">
        <v>38556</v>
      </c>
      <c r="AV501">
        <v>0</v>
      </c>
      <c r="AW501">
        <v>0</v>
      </c>
      <c r="AX501">
        <v>311000</v>
      </c>
      <c r="AY501" t="s">
        <v>161</v>
      </c>
      <c r="AZ501">
        <v>1.32</v>
      </c>
      <c r="BA501">
        <v>0.72399999999999998</v>
      </c>
      <c r="BB501">
        <v>0.59599999999999997</v>
      </c>
      <c r="BC501">
        <v>2000001017</v>
      </c>
      <c r="BD501">
        <v>1508</v>
      </c>
      <c r="BE501" t="s">
        <v>162</v>
      </c>
      <c r="BF501" t="s">
        <v>163</v>
      </c>
      <c r="BG501" t="s">
        <v>164</v>
      </c>
    </row>
    <row r="502" spans="1:59">
      <c r="A502">
        <v>1115</v>
      </c>
      <c r="B502">
        <v>1115</v>
      </c>
      <c r="C502">
        <v>10</v>
      </c>
      <c r="D502">
        <v>2</v>
      </c>
      <c r="E502" t="s">
        <v>152</v>
      </c>
      <c r="F502" t="s">
        <v>153</v>
      </c>
      <c r="G502" t="s">
        <v>154</v>
      </c>
      <c r="H502">
        <v>1526005741</v>
      </c>
      <c r="I502">
        <v>1000005997</v>
      </c>
      <c r="L502" t="s">
        <v>337</v>
      </c>
      <c r="M502">
        <v>5100001919</v>
      </c>
      <c r="N502" t="s">
        <v>155</v>
      </c>
      <c r="O502" t="s">
        <v>156</v>
      </c>
      <c r="P502">
        <v>5500000930</v>
      </c>
      <c r="Q502" t="s">
        <v>157</v>
      </c>
      <c r="R502">
        <v>5356</v>
      </c>
      <c r="S502" t="s">
        <v>158</v>
      </c>
      <c r="W502">
        <v>1502010011</v>
      </c>
      <c r="X502" t="s">
        <v>35</v>
      </c>
      <c r="Y502" t="str">
        <f>VLOOKUP(W502,Sheet4!$A$5:$B$71,2,0)</f>
        <v>REAR MUDGAURD</v>
      </c>
      <c r="Z502">
        <v>87082900</v>
      </c>
      <c r="AA502">
        <v>432</v>
      </c>
      <c r="AB502" t="s">
        <v>159</v>
      </c>
      <c r="AC502">
        <v>89.25</v>
      </c>
      <c r="AD502" t="s">
        <v>160</v>
      </c>
      <c r="AE502" s="24">
        <v>38556</v>
      </c>
      <c r="AF502">
        <v>0</v>
      </c>
      <c r="AG502" s="24">
        <v>38556</v>
      </c>
      <c r="AH502">
        <v>0</v>
      </c>
      <c r="AI502">
        <v>0</v>
      </c>
      <c r="AJ502">
        <v>0</v>
      </c>
      <c r="AK502">
        <v>0</v>
      </c>
      <c r="AL502" s="24">
        <v>38556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 s="24">
        <v>38556</v>
      </c>
      <c r="AV502">
        <v>0</v>
      </c>
      <c r="AW502">
        <v>0</v>
      </c>
      <c r="AX502">
        <v>311000</v>
      </c>
      <c r="AY502" t="s">
        <v>161</v>
      </c>
      <c r="AZ502">
        <v>1.32</v>
      </c>
      <c r="BA502">
        <v>0.72399999999999998</v>
      </c>
      <c r="BB502">
        <v>0.59599999999999997</v>
      </c>
      <c r="BC502">
        <v>2000001017</v>
      </c>
      <c r="BD502">
        <v>1508</v>
      </c>
      <c r="BE502" t="s">
        <v>162</v>
      </c>
      <c r="BF502" t="s">
        <v>163</v>
      </c>
      <c r="BG502" t="s">
        <v>164</v>
      </c>
    </row>
    <row r="503" spans="1:59">
      <c r="A503">
        <v>1115</v>
      </c>
      <c r="B503">
        <v>1115</v>
      </c>
      <c r="C503">
        <v>10</v>
      </c>
      <c r="D503">
        <v>2</v>
      </c>
      <c r="E503" t="s">
        <v>152</v>
      </c>
      <c r="F503" t="s">
        <v>153</v>
      </c>
      <c r="G503" t="s">
        <v>154</v>
      </c>
      <c r="H503">
        <v>1526005740</v>
      </c>
      <c r="I503">
        <v>1000005995</v>
      </c>
      <c r="L503" t="s">
        <v>337</v>
      </c>
      <c r="M503">
        <v>5100001919</v>
      </c>
      <c r="N503" t="s">
        <v>155</v>
      </c>
      <c r="O503" t="s">
        <v>156</v>
      </c>
      <c r="P503">
        <v>5500000930</v>
      </c>
      <c r="Q503" t="s">
        <v>157</v>
      </c>
      <c r="R503">
        <v>5356</v>
      </c>
      <c r="S503" t="s">
        <v>158</v>
      </c>
      <c r="W503">
        <v>1502010011</v>
      </c>
      <c r="X503" t="s">
        <v>35</v>
      </c>
      <c r="Y503" t="str">
        <f>VLOOKUP(W503,Sheet4!$A$5:$B$71,2,0)</f>
        <v>REAR MUDGAURD</v>
      </c>
      <c r="Z503">
        <v>87082900</v>
      </c>
      <c r="AA503">
        <v>432</v>
      </c>
      <c r="AB503" t="s">
        <v>159</v>
      </c>
      <c r="AC503">
        <v>89.25</v>
      </c>
      <c r="AD503" t="s">
        <v>160</v>
      </c>
      <c r="AE503" s="24">
        <v>38556</v>
      </c>
      <c r="AF503">
        <v>0</v>
      </c>
      <c r="AG503" s="24">
        <v>38556</v>
      </c>
      <c r="AH503">
        <v>0</v>
      </c>
      <c r="AI503">
        <v>0</v>
      </c>
      <c r="AJ503">
        <v>0</v>
      </c>
      <c r="AK503">
        <v>0</v>
      </c>
      <c r="AL503" s="24">
        <v>38556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 s="24">
        <v>38556</v>
      </c>
      <c r="AV503">
        <v>0</v>
      </c>
      <c r="AW503">
        <v>0</v>
      </c>
      <c r="AX503">
        <v>311000</v>
      </c>
      <c r="AY503" t="s">
        <v>161</v>
      </c>
      <c r="AZ503">
        <v>1.32</v>
      </c>
      <c r="BA503">
        <v>0.72399999999999998</v>
      </c>
      <c r="BB503">
        <v>0.59599999999999997</v>
      </c>
      <c r="BC503">
        <v>2000001017</v>
      </c>
      <c r="BD503">
        <v>1508</v>
      </c>
      <c r="BE503" t="s">
        <v>162</v>
      </c>
      <c r="BF503" t="s">
        <v>163</v>
      </c>
      <c r="BG503" t="s">
        <v>164</v>
      </c>
    </row>
    <row r="504" spans="1:59">
      <c r="A504">
        <v>1115</v>
      </c>
      <c r="B504">
        <v>1115</v>
      </c>
      <c r="C504">
        <v>10</v>
      </c>
      <c r="D504">
        <v>2</v>
      </c>
      <c r="E504" t="s">
        <v>152</v>
      </c>
      <c r="F504" t="s">
        <v>153</v>
      </c>
      <c r="G504" t="s">
        <v>154</v>
      </c>
      <c r="H504">
        <v>1526005739</v>
      </c>
      <c r="I504">
        <v>1000005994</v>
      </c>
      <c r="L504" t="s">
        <v>337</v>
      </c>
      <c r="M504">
        <v>5100001919</v>
      </c>
      <c r="N504" t="s">
        <v>155</v>
      </c>
      <c r="O504" t="s">
        <v>156</v>
      </c>
      <c r="P504">
        <v>5500000930</v>
      </c>
      <c r="Q504" t="s">
        <v>157</v>
      </c>
      <c r="R504">
        <v>5356</v>
      </c>
      <c r="S504" t="s">
        <v>158</v>
      </c>
      <c r="W504">
        <v>1502010011</v>
      </c>
      <c r="X504" t="s">
        <v>35</v>
      </c>
      <c r="Y504" t="str">
        <f>VLOOKUP(W504,Sheet4!$A$5:$B$71,2,0)</f>
        <v>REAR MUDGAURD</v>
      </c>
      <c r="Z504">
        <v>87082900</v>
      </c>
      <c r="AA504">
        <v>432</v>
      </c>
      <c r="AB504" t="s">
        <v>159</v>
      </c>
      <c r="AC504">
        <v>89.25</v>
      </c>
      <c r="AD504" t="s">
        <v>160</v>
      </c>
      <c r="AE504" s="24">
        <v>38556</v>
      </c>
      <c r="AF504">
        <v>0</v>
      </c>
      <c r="AG504" s="24">
        <v>38556</v>
      </c>
      <c r="AH504">
        <v>0</v>
      </c>
      <c r="AI504">
        <v>0</v>
      </c>
      <c r="AJ504">
        <v>0</v>
      </c>
      <c r="AK504">
        <v>0</v>
      </c>
      <c r="AL504" s="24">
        <v>38556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 s="24">
        <v>38556</v>
      </c>
      <c r="AV504">
        <v>0</v>
      </c>
      <c r="AW504">
        <v>0</v>
      </c>
      <c r="AX504">
        <v>311000</v>
      </c>
      <c r="AY504" t="s">
        <v>161</v>
      </c>
      <c r="AZ504">
        <v>1.32</v>
      </c>
      <c r="BA504">
        <v>0.72399999999999998</v>
      </c>
      <c r="BB504">
        <v>0.59599999999999997</v>
      </c>
      <c r="BC504">
        <v>2000001017</v>
      </c>
      <c r="BD504">
        <v>1508</v>
      </c>
      <c r="BE504" t="s">
        <v>162</v>
      </c>
      <c r="BF504" t="s">
        <v>163</v>
      </c>
      <c r="BG504" t="s">
        <v>164</v>
      </c>
    </row>
    <row r="505" spans="1:59">
      <c r="A505">
        <v>1115</v>
      </c>
      <c r="B505">
        <v>1115</v>
      </c>
      <c r="C505">
        <v>10</v>
      </c>
      <c r="D505">
        <v>2</v>
      </c>
      <c r="E505" t="s">
        <v>152</v>
      </c>
      <c r="F505" t="s">
        <v>153</v>
      </c>
      <c r="G505" t="s">
        <v>154</v>
      </c>
      <c r="H505">
        <v>1526005738</v>
      </c>
      <c r="I505">
        <v>1000005993</v>
      </c>
      <c r="L505" t="s">
        <v>337</v>
      </c>
      <c r="M505">
        <v>5100001227</v>
      </c>
      <c r="N505" t="s">
        <v>155</v>
      </c>
      <c r="O505" t="s">
        <v>156</v>
      </c>
      <c r="P505">
        <v>4110011319</v>
      </c>
      <c r="Q505" t="s">
        <v>175</v>
      </c>
      <c r="R505">
        <v>5000</v>
      </c>
      <c r="S505" t="s">
        <v>166</v>
      </c>
      <c r="V505" t="s">
        <v>167</v>
      </c>
      <c r="W505">
        <v>1502020074</v>
      </c>
      <c r="X505" t="s">
        <v>28</v>
      </c>
      <c r="Y505" t="str">
        <f>VLOOKUP(W505,Sheet4!$A$5:$B$71,2,0)</f>
        <v>MAX UG NEW</v>
      </c>
      <c r="Z505">
        <v>87082900</v>
      </c>
      <c r="AA505">
        <v>10</v>
      </c>
      <c r="AB505" t="s">
        <v>159</v>
      </c>
      <c r="AC505" s="24">
        <v>9397.5</v>
      </c>
      <c r="AD505" t="s">
        <v>160</v>
      </c>
      <c r="AE505" s="24">
        <v>93975</v>
      </c>
      <c r="AF505">
        <v>0</v>
      </c>
      <c r="AG505" s="24">
        <v>93975</v>
      </c>
      <c r="AH505">
        <v>0</v>
      </c>
      <c r="AI505">
        <v>0</v>
      </c>
      <c r="AJ505">
        <v>0</v>
      </c>
      <c r="AK505">
        <v>0</v>
      </c>
      <c r="AL505" s="24">
        <v>93975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 s="24">
        <v>93975</v>
      </c>
      <c r="AV505">
        <v>0</v>
      </c>
      <c r="AW505">
        <v>0</v>
      </c>
      <c r="AX505">
        <v>311000</v>
      </c>
      <c r="AY505" t="s">
        <v>161</v>
      </c>
      <c r="AZ505">
        <v>69.5</v>
      </c>
      <c r="BA505">
        <v>69.5</v>
      </c>
      <c r="BB505">
        <v>0</v>
      </c>
      <c r="BC505" t="s">
        <v>176</v>
      </c>
      <c r="BD505">
        <v>1509</v>
      </c>
      <c r="BE505" t="s">
        <v>169</v>
      </c>
      <c r="BF505">
        <v>5094084276</v>
      </c>
      <c r="BG505" t="s">
        <v>337</v>
      </c>
    </row>
    <row r="506" spans="1:59">
      <c r="A506">
        <v>1115</v>
      </c>
      <c r="B506">
        <v>1115</v>
      </c>
      <c r="C506">
        <v>10</v>
      </c>
      <c r="D506">
        <v>2</v>
      </c>
      <c r="E506" t="s">
        <v>152</v>
      </c>
      <c r="F506" t="s">
        <v>153</v>
      </c>
      <c r="G506" t="s">
        <v>154</v>
      </c>
      <c r="H506">
        <v>1526005737</v>
      </c>
      <c r="I506">
        <v>1000005992</v>
      </c>
      <c r="L506" t="s">
        <v>337</v>
      </c>
      <c r="M506">
        <v>5100001919</v>
      </c>
      <c r="N506" t="s">
        <v>155</v>
      </c>
      <c r="O506" t="s">
        <v>156</v>
      </c>
      <c r="P506">
        <v>5500000930</v>
      </c>
      <c r="Q506" t="s">
        <v>157</v>
      </c>
      <c r="R506">
        <v>5356</v>
      </c>
      <c r="S506" t="s">
        <v>158</v>
      </c>
      <c r="W506">
        <v>1502010011</v>
      </c>
      <c r="X506" t="s">
        <v>35</v>
      </c>
      <c r="Y506" t="str">
        <f>VLOOKUP(W506,Sheet4!$A$5:$B$71,2,0)</f>
        <v>REAR MUDGAURD</v>
      </c>
      <c r="Z506">
        <v>87082900</v>
      </c>
      <c r="AA506">
        <v>432</v>
      </c>
      <c r="AB506" t="s">
        <v>159</v>
      </c>
      <c r="AC506">
        <v>89.25</v>
      </c>
      <c r="AD506" t="s">
        <v>160</v>
      </c>
      <c r="AE506" s="24">
        <v>38556</v>
      </c>
      <c r="AF506">
        <v>0</v>
      </c>
      <c r="AG506" s="24">
        <v>38556</v>
      </c>
      <c r="AH506">
        <v>0</v>
      </c>
      <c r="AI506">
        <v>0</v>
      </c>
      <c r="AJ506">
        <v>0</v>
      </c>
      <c r="AK506">
        <v>0</v>
      </c>
      <c r="AL506" s="24">
        <v>38556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 s="24">
        <v>38556</v>
      </c>
      <c r="AV506">
        <v>0</v>
      </c>
      <c r="AW506">
        <v>0</v>
      </c>
      <c r="AX506">
        <v>311000</v>
      </c>
      <c r="AY506" t="s">
        <v>161</v>
      </c>
      <c r="AZ506">
        <v>1.32</v>
      </c>
      <c r="BA506">
        <v>0.72399999999999998</v>
      </c>
      <c r="BB506">
        <v>0.59599999999999997</v>
      </c>
      <c r="BC506">
        <v>2000001017</v>
      </c>
      <c r="BD506">
        <v>1508</v>
      </c>
      <c r="BE506" t="s">
        <v>162</v>
      </c>
      <c r="BF506" t="s">
        <v>163</v>
      </c>
      <c r="BG506" t="s">
        <v>164</v>
      </c>
    </row>
    <row r="507" spans="1:59">
      <c r="A507">
        <v>1115</v>
      </c>
      <c r="B507">
        <v>1115</v>
      </c>
      <c r="C507">
        <v>10</v>
      </c>
      <c r="D507">
        <v>2</v>
      </c>
      <c r="E507" t="s">
        <v>152</v>
      </c>
      <c r="F507" t="s">
        <v>153</v>
      </c>
      <c r="G507" t="s">
        <v>154</v>
      </c>
      <c r="H507">
        <v>1526005736</v>
      </c>
      <c r="I507">
        <v>1000005991</v>
      </c>
      <c r="L507" t="s">
        <v>337</v>
      </c>
      <c r="M507">
        <v>5100001227</v>
      </c>
      <c r="N507" t="s">
        <v>155</v>
      </c>
      <c r="O507" t="s">
        <v>156</v>
      </c>
      <c r="P507">
        <v>4110011319</v>
      </c>
      <c r="Q507" t="s">
        <v>175</v>
      </c>
      <c r="R507">
        <v>5000</v>
      </c>
      <c r="S507" t="s">
        <v>166</v>
      </c>
      <c r="V507" t="s">
        <v>167</v>
      </c>
      <c r="W507">
        <v>1502020074</v>
      </c>
      <c r="X507" t="s">
        <v>28</v>
      </c>
      <c r="Y507" t="str">
        <f>VLOOKUP(W507,Sheet4!$A$5:$B$71,2,0)</f>
        <v>MAX UG NEW</v>
      </c>
      <c r="Z507">
        <v>87082900</v>
      </c>
      <c r="AA507">
        <v>10</v>
      </c>
      <c r="AB507" t="s">
        <v>159</v>
      </c>
      <c r="AC507" s="24">
        <v>9397.5</v>
      </c>
      <c r="AD507" t="s">
        <v>160</v>
      </c>
      <c r="AE507" s="24">
        <v>93975</v>
      </c>
      <c r="AF507">
        <v>0</v>
      </c>
      <c r="AG507" s="24">
        <v>93975</v>
      </c>
      <c r="AH507">
        <v>0</v>
      </c>
      <c r="AI507">
        <v>0</v>
      </c>
      <c r="AJ507">
        <v>0</v>
      </c>
      <c r="AK507">
        <v>0</v>
      </c>
      <c r="AL507" s="24">
        <v>93975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 s="24">
        <v>93975</v>
      </c>
      <c r="AV507">
        <v>0</v>
      </c>
      <c r="AW507">
        <v>0</v>
      </c>
      <c r="AX507">
        <v>311000</v>
      </c>
      <c r="AY507" t="s">
        <v>161</v>
      </c>
      <c r="AZ507">
        <v>69.5</v>
      </c>
      <c r="BA507">
        <v>69.5</v>
      </c>
      <c r="BB507">
        <v>0</v>
      </c>
      <c r="BC507" t="s">
        <v>176</v>
      </c>
      <c r="BD507">
        <v>1509</v>
      </c>
      <c r="BE507" t="s">
        <v>169</v>
      </c>
      <c r="BF507">
        <v>5094082547</v>
      </c>
      <c r="BG507" t="s">
        <v>337</v>
      </c>
    </row>
    <row r="508" spans="1:59">
      <c r="A508">
        <v>1115</v>
      </c>
      <c r="B508">
        <v>1115</v>
      </c>
      <c r="C508">
        <v>10</v>
      </c>
      <c r="D508">
        <v>2</v>
      </c>
      <c r="E508" t="s">
        <v>152</v>
      </c>
      <c r="F508" t="s">
        <v>153</v>
      </c>
      <c r="G508" t="s">
        <v>154</v>
      </c>
      <c r="H508">
        <v>1526005735</v>
      </c>
      <c r="I508">
        <v>1000005990</v>
      </c>
      <c r="L508" t="s">
        <v>337</v>
      </c>
      <c r="M508">
        <v>5100001227</v>
      </c>
      <c r="N508" t="s">
        <v>155</v>
      </c>
      <c r="O508" t="s">
        <v>156</v>
      </c>
      <c r="P508">
        <v>4110011319</v>
      </c>
      <c r="Q508" t="s">
        <v>175</v>
      </c>
      <c r="R508">
        <v>5000</v>
      </c>
      <c r="S508" t="s">
        <v>166</v>
      </c>
      <c r="V508" t="s">
        <v>167</v>
      </c>
      <c r="W508">
        <v>1502020074</v>
      </c>
      <c r="X508" t="s">
        <v>28</v>
      </c>
      <c r="Y508" t="str">
        <f>VLOOKUP(W508,Sheet4!$A$5:$B$71,2,0)</f>
        <v>MAX UG NEW</v>
      </c>
      <c r="Z508">
        <v>87082900</v>
      </c>
      <c r="AA508">
        <v>10</v>
      </c>
      <c r="AB508" t="s">
        <v>159</v>
      </c>
      <c r="AC508" s="24">
        <v>9397.5</v>
      </c>
      <c r="AD508" t="s">
        <v>160</v>
      </c>
      <c r="AE508" s="24">
        <v>93975</v>
      </c>
      <c r="AF508">
        <v>0</v>
      </c>
      <c r="AG508" s="24">
        <v>93975</v>
      </c>
      <c r="AH508">
        <v>0</v>
      </c>
      <c r="AI508">
        <v>0</v>
      </c>
      <c r="AJ508">
        <v>0</v>
      </c>
      <c r="AK508">
        <v>0</v>
      </c>
      <c r="AL508" s="24">
        <v>93975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 s="24">
        <v>93975</v>
      </c>
      <c r="AV508">
        <v>0</v>
      </c>
      <c r="AW508">
        <v>0</v>
      </c>
      <c r="AX508">
        <v>311000</v>
      </c>
      <c r="AY508" t="s">
        <v>161</v>
      </c>
      <c r="AZ508">
        <v>69.5</v>
      </c>
      <c r="BA508">
        <v>69.5</v>
      </c>
      <c r="BB508">
        <v>0</v>
      </c>
      <c r="BC508" t="s">
        <v>176</v>
      </c>
      <c r="BD508">
        <v>1509</v>
      </c>
      <c r="BE508" t="s">
        <v>169</v>
      </c>
      <c r="BF508">
        <v>5094084272</v>
      </c>
      <c r="BG508" t="s">
        <v>337</v>
      </c>
    </row>
    <row r="509" spans="1:59">
      <c r="A509">
        <v>1115</v>
      </c>
      <c r="B509">
        <v>1115</v>
      </c>
      <c r="C509">
        <v>10</v>
      </c>
      <c r="D509">
        <v>2</v>
      </c>
      <c r="E509" t="s">
        <v>152</v>
      </c>
      <c r="F509" t="s">
        <v>153</v>
      </c>
      <c r="G509" t="s">
        <v>154</v>
      </c>
      <c r="H509">
        <v>1526005734</v>
      </c>
      <c r="I509">
        <v>1000005989</v>
      </c>
      <c r="L509" t="s">
        <v>337</v>
      </c>
      <c r="M509">
        <v>5100001919</v>
      </c>
      <c r="N509" t="s">
        <v>155</v>
      </c>
      <c r="O509" t="s">
        <v>156</v>
      </c>
      <c r="P509">
        <v>5500000930</v>
      </c>
      <c r="Q509" t="s">
        <v>157</v>
      </c>
      <c r="R509">
        <v>5356</v>
      </c>
      <c r="S509" t="s">
        <v>158</v>
      </c>
      <c r="W509">
        <v>1502010011</v>
      </c>
      <c r="X509" t="s">
        <v>35</v>
      </c>
      <c r="Y509" t="str">
        <f>VLOOKUP(W509,Sheet4!$A$5:$B$71,2,0)</f>
        <v>REAR MUDGAURD</v>
      </c>
      <c r="Z509">
        <v>87082900</v>
      </c>
      <c r="AA509">
        <v>432</v>
      </c>
      <c r="AB509" t="s">
        <v>159</v>
      </c>
      <c r="AC509">
        <v>89.25</v>
      </c>
      <c r="AD509" t="s">
        <v>160</v>
      </c>
      <c r="AE509" s="24">
        <v>38556</v>
      </c>
      <c r="AF509">
        <v>0</v>
      </c>
      <c r="AG509" s="24">
        <v>38556</v>
      </c>
      <c r="AH509">
        <v>0</v>
      </c>
      <c r="AI509">
        <v>0</v>
      </c>
      <c r="AJ509">
        <v>0</v>
      </c>
      <c r="AK509">
        <v>0</v>
      </c>
      <c r="AL509" s="24">
        <v>38556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 s="24">
        <v>38556</v>
      </c>
      <c r="AV509">
        <v>0</v>
      </c>
      <c r="AW509">
        <v>0</v>
      </c>
      <c r="AX509">
        <v>311000</v>
      </c>
      <c r="AY509" t="s">
        <v>161</v>
      </c>
      <c r="AZ509">
        <v>1.32</v>
      </c>
      <c r="BA509">
        <v>0.72399999999999998</v>
      </c>
      <c r="BB509">
        <v>0.59599999999999997</v>
      </c>
      <c r="BC509">
        <v>2000001017</v>
      </c>
      <c r="BD509">
        <v>1508</v>
      </c>
      <c r="BE509" t="s">
        <v>162</v>
      </c>
      <c r="BF509" t="s">
        <v>163</v>
      </c>
      <c r="BG509" t="s">
        <v>164</v>
      </c>
    </row>
    <row r="510" spans="1:59">
      <c r="A510">
        <v>1115</v>
      </c>
      <c r="B510">
        <v>1115</v>
      </c>
      <c r="C510">
        <v>10</v>
      </c>
      <c r="D510">
        <v>2</v>
      </c>
      <c r="E510" t="s">
        <v>152</v>
      </c>
      <c r="F510" t="s">
        <v>153</v>
      </c>
      <c r="G510" t="s">
        <v>154</v>
      </c>
      <c r="H510">
        <v>1526005733</v>
      </c>
      <c r="I510">
        <v>1000005988</v>
      </c>
      <c r="L510" t="s">
        <v>337</v>
      </c>
      <c r="M510">
        <v>5100001227</v>
      </c>
      <c r="N510" t="s">
        <v>155</v>
      </c>
      <c r="O510" t="s">
        <v>156</v>
      </c>
      <c r="P510">
        <v>4110011319</v>
      </c>
      <c r="Q510" t="s">
        <v>175</v>
      </c>
      <c r="R510">
        <v>5000</v>
      </c>
      <c r="S510" t="s">
        <v>166</v>
      </c>
      <c r="V510" t="s">
        <v>167</v>
      </c>
      <c r="W510">
        <v>1502020074</v>
      </c>
      <c r="X510" t="s">
        <v>28</v>
      </c>
      <c r="Y510" t="str">
        <f>VLOOKUP(W510,Sheet4!$A$5:$B$71,2,0)</f>
        <v>MAX UG NEW</v>
      </c>
      <c r="Z510">
        <v>87082900</v>
      </c>
      <c r="AA510">
        <v>10</v>
      </c>
      <c r="AB510" t="s">
        <v>159</v>
      </c>
      <c r="AC510" s="24">
        <v>9397.5</v>
      </c>
      <c r="AD510" t="s">
        <v>160</v>
      </c>
      <c r="AE510" s="24">
        <v>93975</v>
      </c>
      <c r="AF510">
        <v>0</v>
      </c>
      <c r="AG510" s="24">
        <v>93975</v>
      </c>
      <c r="AH510">
        <v>0</v>
      </c>
      <c r="AI510">
        <v>0</v>
      </c>
      <c r="AJ510">
        <v>0</v>
      </c>
      <c r="AK510">
        <v>0</v>
      </c>
      <c r="AL510" s="24">
        <v>93975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 s="24">
        <v>93975</v>
      </c>
      <c r="AV510">
        <v>0</v>
      </c>
      <c r="AW510">
        <v>0</v>
      </c>
      <c r="AX510">
        <v>311000</v>
      </c>
      <c r="AY510" t="s">
        <v>161</v>
      </c>
      <c r="AZ510">
        <v>69.5</v>
      </c>
      <c r="BA510">
        <v>69.5</v>
      </c>
      <c r="BB510">
        <v>0</v>
      </c>
      <c r="BC510" t="s">
        <v>176</v>
      </c>
      <c r="BD510">
        <v>1509</v>
      </c>
      <c r="BE510" t="s">
        <v>169</v>
      </c>
      <c r="BF510">
        <v>5094084271</v>
      </c>
      <c r="BG510" t="s">
        <v>337</v>
      </c>
    </row>
    <row r="511" spans="1:59">
      <c r="A511">
        <v>1115</v>
      </c>
      <c r="B511">
        <v>1115</v>
      </c>
      <c r="C511">
        <v>10</v>
      </c>
      <c r="D511">
        <v>2</v>
      </c>
      <c r="E511" t="s">
        <v>152</v>
      </c>
      <c r="F511" t="s">
        <v>153</v>
      </c>
      <c r="G511" t="s">
        <v>154</v>
      </c>
      <c r="H511">
        <v>1526005732</v>
      </c>
      <c r="I511">
        <v>1000005987</v>
      </c>
      <c r="L511" t="s">
        <v>337</v>
      </c>
      <c r="M511">
        <v>5100001919</v>
      </c>
      <c r="N511" t="s">
        <v>155</v>
      </c>
      <c r="O511" t="s">
        <v>156</v>
      </c>
      <c r="P511">
        <v>5500000930</v>
      </c>
      <c r="Q511" t="s">
        <v>157</v>
      </c>
      <c r="R511">
        <v>5356</v>
      </c>
      <c r="S511" t="s">
        <v>158</v>
      </c>
      <c r="W511">
        <v>1502010011</v>
      </c>
      <c r="X511" t="s">
        <v>35</v>
      </c>
      <c r="Y511" t="str">
        <f>VLOOKUP(W511,Sheet4!$A$5:$B$71,2,0)</f>
        <v>REAR MUDGAURD</v>
      </c>
      <c r="Z511">
        <v>87082900</v>
      </c>
      <c r="AA511">
        <v>432</v>
      </c>
      <c r="AB511" t="s">
        <v>159</v>
      </c>
      <c r="AC511">
        <v>89.25</v>
      </c>
      <c r="AD511" t="s">
        <v>160</v>
      </c>
      <c r="AE511" s="24">
        <v>38556</v>
      </c>
      <c r="AF511">
        <v>0</v>
      </c>
      <c r="AG511" s="24">
        <v>38556</v>
      </c>
      <c r="AH511">
        <v>0</v>
      </c>
      <c r="AI511">
        <v>0</v>
      </c>
      <c r="AJ511">
        <v>0</v>
      </c>
      <c r="AK511">
        <v>0</v>
      </c>
      <c r="AL511" s="24">
        <v>38556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 s="24">
        <v>38556</v>
      </c>
      <c r="AV511">
        <v>0</v>
      </c>
      <c r="AW511">
        <v>0</v>
      </c>
      <c r="AX511">
        <v>311000</v>
      </c>
      <c r="AY511" t="s">
        <v>161</v>
      </c>
      <c r="AZ511">
        <v>1.32</v>
      </c>
      <c r="BA511">
        <v>0.72399999999999998</v>
      </c>
      <c r="BB511">
        <v>0.59599999999999997</v>
      </c>
      <c r="BC511">
        <v>2000001017</v>
      </c>
      <c r="BD511">
        <v>1508</v>
      </c>
      <c r="BE511" t="s">
        <v>162</v>
      </c>
      <c r="BF511" t="s">
        <v>163</v>
      </c>
      <c r="BG511" t="s">
        <v>164</v>
      </c>
    </row>
    <row r="512" spans="1:59">
      <c r="A512">
        <v>1115</v>
      </c>
      <c r="B512">
        <v>1115</v>
      </c>
      <c r="C512">
        <v>10</v>
      </c>
      <c r="D512">
        <v>2</v>
      </c>
      <c r="E512" t="s">
        <v>152</v>
      </c>
      <c r="F512" t="s">
        <v>153</v>
      </c>
      <c r="G512" t="s">
        <v>154</v>
      </c>
      <c r="H512">
        <v>1526005731</v>
      </c>
      <c r="I512">
        <v>1000005986</v>
      </c>
      <c r="L512" t="s">
        <v>337</v>
      </c>
      <c r="M512">
        <v>5100001227</v>
      </c>
      <c r="N512" t="s">
        <v>155</v>
      </c>
      <c r="O512" t="s">
        <v>156</v>
      </c>
      <c r="P512">
        <v>4110011319</v>
      </c>
      <c r="Q512" t="s">
        <v>175</v>
      </c>
      <c r="R512">
        <v>5000</v>
      </c>
      <c r="S512" t="s">
        <v>166</v>
      </c>
      <c r="V512" t="s">
        <v>167</v>
      </c>
      <c r="W512">
        <v>1502020074</v>
      </c>
      <c r="X512" t="s">
        <v>28</v>
      </c>
      <c r="Y512" t="str">
        <f>VLOOKUP(W512,Sheet4!$A$5:$B$71,2,0)</f>
        <v>MAX UG NEW</v>
      </c>
      <c r="Z512">
        <v>87082900</v>
      </c>
      <c r="AA512">
        <v>10</v>
      </c>
      <c r="AB512" t="s">
        <v>159</v>
      </c>
      <c r="AC512" s="24">
        <v>9397.5</v>
      </c>
      <c r="AD512" t="s">
        <v>160</v>
      </c>
      <c r="AE512" s="24">
        <v>93975</v>
      </c>
      <c r="AF512">
        <v>0</v>
      </c>
      <c r="AG512" s="24">
        <v>93975</v>
      </c>
      <c r="AH512">
        <v>0</v>
      </c>
      <c r="AI512">
        <v>0</v>
      </c>
      <c r="AJ512">
        <v>0</v>
      </c>
      <c r="AK512">
        <v>0</v>
      </c>
      <c r="AL512" s="24">
        <v>93975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 s="24">
        <v>93975</v>
      </c>
      <c r="AV512">
        <v>0</v>
      </c>
      <c r="AW512">
        <v>0</v>
      </c>
      <c r="AX512">
        <v>311000</v>
      </c>
      <c r="AY512" t="s">
        <v>161</v>
      </c>
      <c r="AZ512">
        <v>69.5</v>
      </c>
      <c r="BA512">
        <v>69.5</v>
      </c>
      <c r="BB512">
        <v>0</v>
      </c>
      <c r="BC512" t="s">
        <v>176</v>
      </c>
      <c r="BD512">
        <v>1509</v>
      </c>
      <c r="BE512" t="s">
        <v>169</v>
      </c>
      <c r="BF512">
        <v>5094084269</v>
      </c>
      <c r="BG512" t="s">
        <v>337</v>
      </c>
    </row>
    <row r="513" spans="1:59">
      <c r="A513">
        <v>1115</v>
      </c>
      <c r="B513">
        <v>1115</v>
      </c>
      <c r="C513">
        <v>10</v>
      </c>
      <c r="D513">
        <v>2</v>
      </c>
      <c r="E513" t="s">
        <v>152</v>
      </c>
      <c r="F513" t="s">
        <v>153</v>
      </c>
      <c r="G513" t="s">
        <v>154</v>
      </c>
      <c r="H513">
        <v>1526005729</v>
      </c>
      <c r="I513">
        <v>1000005985</v>
      </c>
      <c r="L513" t="s">
        <v>337</v>
      </c>
      <c r="M513">
        <v>5100001636</v>
      </c>
      <c r="N513" t="s">
        <v>155</v>
      </c>
      <c r="O513" t="s">
        <v>156</v>
      </c>
      <c r="P513">
        <v>4110026445</v>
      </c>
      <c r="Q513" t="s">
        <v>170</v>
      </c>
      <c r="R513">
        <v>5000</v>
      </c>
      <c r="S513" t="s">
        <v>166</v>
      </c>
      <c r="V513" t="s">
        <v>167</v>
      </c>
      <c r="W513">
        <v>1502020104</v>
      </c>
      <c r="X513" t="s">
        <v>26</v>
      </c>
      <c r="Y513" t="str">
        <f>VLOOKUP(W513,Sheet4!$A$5:$B$71,2,0)</f>
        <v>RE STYLING</v>
      </c>
      <c r="Z513">
        <v>87082900</v>
      </c>
      <c r="AA513">
        <v>15</v>
      </c>
      <c r="AB513" t="s">
        <v>159</v>
      </c>
      <c r="AC513" s="24">
        <v>6585.55</v>
      </c>
      <c r="AD513" t="s">
        <v>160</v>
      </c>
      <c r="AE513" s="24">
        <v>98783.25</v>
      </c>
      <c r="AF513">
        <v>0</v>
      </c>
      <c r="AG513" s="24">
        <v>98783.25</v>
      </c>
      <c r="AH513">
        <v>0</v>
      </c>
      <c r="AI513">
        <v>0</v>
      </c>
      <c r="AJ513">
        <v>0</v>
      </c>
      <c r="AK513">
        <v>0</v>
      </c>
      <c r="AL513" s="24">
        <v>98783.25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 s="24">
        <v>98783.25</v>
      </c>
      <c r="AV513">
        <v>0</v>
      </c>
      <c r="AW513">
        <v>0</v>
      </c>
      <c r="AX513">
        <v>311000</v>
      </c>
      <c r="AY513" t="s">
        <v>161</v>
      </c>
      <c r="AZ513">
        <v>49.75</v>
      </c>
      <c r="BA513">
        <v>49.75</v>
      </c>
      <c r="BB513">
        <v>0</v>
      </c>
      <c r="BC513" t="s">
        <v>171</v>
      </c>
      <c r="BD513">
        <v>1509</v>
      </c>
      <c r="BE513" t="s">
        <v>169</v>
      </c>
      <c r="BF513">
        <v>5094085399</v>
      </c>
      <c r="BG513" t="s">
        <v>333</v>
      </c>
    </row>
    <row r="514" spans="1:59">
      <c r="A514">
        <v>1115</v>
      </c>
      <c r="B514">
        <v>1115</v>
      </c>
      <c r="C514">
        <v>10</v>
      </c>
      <c r="D514">
        <v>2</v>
      </c>
      <c r="E514" t="s">
        <v>152</v>
      </c>
      <c r="F514" t="s">
        <v>153</v>
      </c>
      <c r="G514" t="s">
        <v>154</v>
      </c>
      <c r="H514">
        <v>1526005728</v>
      </c>
      <c r="I514">
        <v>1000005984</v>
      </c>
      <c r="L514" t="s">
        <v>337</v>
      </c>
      <c r="M514">
        <v>5100001636</v>
      </c>
      <c r="N514" t="s">
        <v>155</v>
      </c>
      <c r="O514" t="s">
        <v>156</v>
      </c>
      <c r="P514">
        <v>4110026445</v>
      </c>
      <c r="Q514" t="s">
        <v>170</v>
      </c>
      <c r="R514">
        <v>5000</v>
      </c>
      <c r="S514" t="s">
        <v>166</v>
      </c>
      <c r="V514" t="s">
        <v>167</v>
      </c>
      <c r="W514">
        <v>1502020104</v>
      </c>
      <c r="X514" t="s">
        <v>26</v>
      </c>
      <c r="Y514" t="str">
        <f>VLOOKUP(W514,Sheet4!$A$5:$B$71,2,0)</f>
        <v>RE STYLING</v>
      </c>
      <c r="Z514">
        <v>87082900</v>
      </c>
      <c r="AA514">
        <v>15</v>
      </c>
      <c r="AB514" t="s">
        <v>159</v>
      </c>
      <c r="AC514" s="24">
        <v>6585.55</v>
      </c>
      <c r="AD514" t="s">
        <v>160</v>
      </c>
      <c r="AE514" s="24">
        <v>98783.25</v>
      </c>
      <c r="AF514">
        <v>0</v>
      </c>
      <c r="AG514" s="24">
        <v>98783.25</v>
      </c>
      <c r="AH514">
        <v>0</v>
      </c>
      <c r="AI514">
        <v>0</v>
      </c>
      <c r="AJ514">
        <v>0</v>
      </c>
      <c r="AK514">
        <v>0</v>
      </c>
      <c r="AL514" s="24">
        <v>98783.25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 s="24">
        <v>98783.25</v>
      </c>
      <c r="AV514">
        <v>0</v>
      </c>
      <c r="AW514">
        <v>0</v>
      </c>
      <c r="AX514">
        <v>311000</v>
      </c>
      <c r="AY514" t="s">
        <v>161</v>
      </c>
      <c r="AZ514">
        <v>49.75</v>
      </c>
      <c r="BA514">
        <v>49.75</v>
      </c>
      <c r="BB514">
        <v>0</v>
      </c>
      <c r="BC514" t="s">
        <v>171</v>
      </c>
      <c r="BD514">
        <v>1509</v>
      </c>
      <c r="BE514" t="s">
        <v>169</v>
      </c>
      <c r="BF514">
        <v>5094085404</v>
      </c>
      <c r="BG514" t="s">
        <v>333</v>
      </c>
    </row>
    <row r="515" spans="1:59">
      <c r="A515">
        <v>1115</v>
      </c>
      <c r="B515">
        <v>1115</v>
      </c>
      <c r="C515">
        <v>10</v>
      </c>
      <c r="D515">
        <v>2</v>
      </c>
      <c r="E515" t="s">
        <v>152</v>
      </c>
      <c r="F515" t="s">
        <v>153</v>
      </c>
      <c r="G515" t="s">
        <v>154</v>
      </c>
      <c r="H515">
        <v>1526005723</v>
      </c>
      <c r="I515">
        <v>1000005980</v>
      </c>
      <c r="L515" t="s">
        <v>337</v>
      </c>
      <c r="M515">
        <v>5100001928</v>
      </c>
      <c r="N515" t="s">
        <v>155</v>
      </c>
      <c r="O515" t="s">
        <v>156</v>
      </c>
      <c r="P515">
        <v>4110057393</v>
      </c>
      <c r="Q515" t="s">
        <v>192</v>
      </c>
      <c r="R515">
        <v>5000</v>
      </c>
      <c r="S515" t="s">
        <v>166</v>
      </c>
      <c r="V515" t="s">
        <v>167</v>
      </c>
      <c r="W515">
        <v>1502020122</v>
      </c>
      <c r="X515" t="s">
        <v>70</v>
      </c>
      <c r="Y515" t="str">
        <f>VLOOKUP(W515,Sheet4!$A$5:$B$71,2,0)</f>
        <v>MAX UG NEW EV</v>
      </c>
      <c r="Z515">
        <v>87082900</v>
      </c>
      <c r="AA515">
        <v>10</v>
      </c>
      <c r="AB515" t="s">
        <v>159</v>
      </c>
      <c r="AC515" s="24">
        <v>9566.51</v>
      </c>
      <c r="AD515" t="s">
        <v>160</v>
      </c>
      <c r="AE515" s="24">
        <v>95665.1</v>
      </c>
      <c r="AF515">
        <v>0</v>
      </c>
      <c r="AG515" s="24">
        <v>95665.1</v>
      </c>
      <c r="AH515">
        <v>0</v>
      </c>
      <c r="AI515">
        <v>0</v>
      </c>
      <c r="AJ515">
        <v>0</v>
      </c>
      <c r="AK515">
        <v>0</v>
      </c>
      <c r="AL515" s="24">
        <v>95665.1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 s="24">
        <v>95665.1</v>
      </c>
      <c r="AV515">
        <v>0</v>
      </c>
      <c r="AW515">
        <v>0</v>
      </c>
      <c r="AX515">
        <v>311000</v>
      </c>
      <c r="AY515" t="s">
        <v>161</v>
      </c>
      <c r="AZ515">
        <v>0</v>
      </c>
      <c r="BA515">
        <v>61</v>
      </c>
      <c r="BB515">
        <v>-61</v>
      </c>
      <c r="BC515" t="s">
        <v>193</v>
      </c>
      <c r="BD515">
        <v>1509</v>
      </c>
      <c r="BE515" t="s">
        <v>169</v>
      </c>
      <c r="BF515">
        <v>5094079840</v>
      </c>
      <c r="BG515" t="s">
        <v>337</v>
      </c>
    </row>
    <row r="516" spans="1:59">
      <c r="A516">
        <v>1115</v>
      </c>
      <c r="B516">
        <v>1115</v>
      </c>
      <c r="C516">
        <v>10</v>
      </c>
      <c r="D516">
        <v>2</v>
      </c>
      <c r="E516" t="s">
        <v>152</v>
      </c>
      <c r="F516" t="s">
        <v>153</v>
      </c>
      <c r="G516" t="s">
        <v>154</v>
      </c>
      <c r="H516">
        <v>1526005777</v>
      </c>
      <c r="I516">
        <v>1000006034</v>
      </c>
      <c r="L516" t="s">
        <v>337</v>
      </c>
      <c r="M516">
        <v>5100001636</v>
      </c>
      <c r="N516" t="s">
        <v>155</v>
      </c>
      <c r="O516" t="s">
        <v>156</v>
      </c>
      <c r="P516">
        <v>4110026445</v>
      </c>
      <c r="Q516" t="s">
        <v>170</v>
      </c>
      <c r="R516">
        <v>5000</v>
      </c>
      <c r="S516" t="s">
        <v>166</v>
      </c>
      <c r="V516" t="s">
        <v>167</v>
      </c>
      <c r="W516">
        <v>1502020104</v>
      </c>
      <c r="X516" t="s">
        <v>26</v>
      </c>
      <c r="Y516" t="str">
        <f>VLOOKUP(W516,Sheet4!$A$5:$B$71,2,0)</f>
        <v>RE STYLING</v>
      </c>
      <c r="Z516">
        <v>87082900</v>
      </c>
      <c r="AA516">
        <v>15</v>
      </c>
      <c r="AB516" t="s">
        <v>159</v>
      </c>
      <c r="AC516" s="24">
        <v>6585.55</v>
      </c>
      <c r="AD516" t="s">
        <v>160</v>
      </c>
      <c r="AE516" s="24">
        <v>98783.25</v>
      </c>
      <c r="AF516">
        <v>0</v>
      </c>
      <c r="AG516" s="24">
        <v>98783.25</v>
      </c>
      <c r="AH516">
        <v>0</v>
      </c>
      <c r="AI516">
        <v>0</v>
      </c>
      <c r="AJ516">
        <v>0</v>
      </c>
      <c r="AK516">
        <v>0</v>
      </c>
      <c r="AL516" s="24">
        <v>98783.25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 s="24">
        <v>98783.25</v>
      </c>
      <c r="AV516">
        <v>0</v>
      </c>
      <c r="AW516">
        <v>0</v>
      </c>
      <c r="AX516">
        <v>311000</v>
      </c>
      <c r="AY516" t="s">
        <v>161</v>
      </c>
      <c r="AZ516">
        <v>49.75</v>
      </c>
      <c r="BA516">
        <v>49.75</v>
      </c>
      <c r="BB516">
        <v>0</v>
      </c>
      <c r="BC516" t="s">
        <v>171</v>
      </c>
      <c r="BD516">
        <v>1509</v>
      </c>
      <c r="BE516" t="s">
        <v>169</v>
      </c>
      <c r="BF516">
        <v>5094095977</v>
      </c>
      <c r="BG516" t="s">
        <v>333</v>
      </c>
    </row>
    <row r="517" spans="1:59">
      <c r="A517">
        <v>1115</v>
      </c>
      <c r="B517">
        <v>1115</v>
      </c>
      <c r="C517">
        <v>10</v>
      </c>
      <c r="D517">
        <v>2</v>
      </c>
      <c r="E517" t="s">
        <v>152</v>
      </c>
      <c r="F517" t="s">
        <v>153</v>
      </c>
      <c r="G517" t="s">
        <v>154</v>
      </c>
      <c r="H517">
        <v>1526005816</v>
      </c>
      <c r="I517">
        <v>1000006073</v>
      </c>
      <c r="L517" t="s">
        <v>333</v>
      </c>
      <c r="M517">
        <v>5100001925</v>
      </c>
      <c r="N517" t="s">
        <v>155</v>
      </c>
      <c r="O517" t="s">
        <v>156</v>
      </c>
      <c r="P517">
        <v>4110055667</v>
      </c>
      <c r="Q517" t="s">
        <v>185</v>
      </c>
      <c r="R517">
        <v>5000</v>
      </c>
      <c r="S517" t="s">
        <v>166</v>
      </c>
      <c r="V517" t="s">
        <v>167</v>
      </c>
      <c r="W517">
        <v>1502040318</v>
      </c>
      <c r="X517" t="s">
        <v>72</v>
      </c>
      <c r="Y517" t="str">
        <f>VLOOKUP(W517,Sheet4!$A$5:$B$71,2,0)</f>
        <v>Re Side Door</v>
      </c>
      <c r="Z517">
        <v>87082900</v>
      </c>
      <c r="AA517">
        <v>120</v>
      </c>
      <c r="AB517" t="s">
        <v>159</v>
      </c>
      <c r="AC517">
        <v>506.59</v>
      </c>
      <c r="AD517" t="s">
        <v>160</v>
      </c>
      <c r="AE517" s="24">
        <v>60790.8</v>
      </c>
      <c r="AF517">
        <v>0</v>
      </c>
      <c r="AG517" s="24">
        <v>60790.8</v>
      </c>
      <c r="AH517">
        <v>0</v>
      </c>
      <c r="AI517">
        <v>0</v>
      </c>
      <c r="AJ517">
        <v>0</v>
      </c>
      <c r="AK517">
        <v>0</v>
      </c>
      <c r="AL517" s="24">
        <v>60790.8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s="24">
        <v>60790.8</v>
      </c>
      <c r="AV517">
        <v>0</v>
      </c>
      <c r="AW517">
        <v>0</v>
      </c>
      <c r="AX517">
        <v>311000</v>
      </c>
      <c r="AY517" t="s">
        <v>161</v>
      </c>
      <c r="AZ517">
        <v>2.27</v>
      </c>
      <c r="BA517">
        <v>2.27</v>
      </c>
      <c r="BB517">
        <v>0</v>
      </c>
      <c r="BC517" t="s">
        <v>187</v>
      </c>
      <c r="BD517">
        <v>1511</v>
      </c>
      <c r="BE517" t="s">
        <v>174</v>
      </c>
      <c r="BF517">
        <v>5094100863</v>
      </c>
      <c r="BG517" t="s">
        <v>333</v>
      </c>
    </row>
    <row r="518" spans="1:59">
      <c r="A518">
        <v>1115</v>
      </c>
      <c r="B518">
        <v>1115</v>
      </c>
      <c r="C518">
        <v>10</v>
      </c>
      <c r="D518">
        <v>2</v>
      </c>
      <c r="E518" t="s">
        <v>152</v>
      </c>
      <c r="F518" t="s">
        <v>153</v>
      </c>
      <c r="G518" t="s">
        <v>154</v>
      </c>
      <c r="H518">
        <v>1526005815</v>
      </c>
      <c r="I518">
        <v>1000006072</v>
      </c>
      <c r="L518" t="s">
        <v>333</v>
      </c>
      <c r="M518">
        <v>5100001925</v>
      </c>
      <c r="N518" t="s">
        <v>155</v>
      </c>
      <c r="O518" t="s">
        <v>156</v>
      </c>
      <c r="P518">
        <v>4110055667</v>
      </c>
      <c r="Q518" t="s">
        <v>185</v>
      </c>
      <c r="R518">
        <v>5000</v>
      </c>
      <c r="S518" t="s">
        <v>166</v>
      </c>
      <c r="V518" t="s">
        <v>167</v>
      </c>
      <c r="W518">
        <v>1502040317</v>
      </c>
      <c r="X518" t="s">
        <v>73</v>
      </c>
      <c r="Y518" t="str">
        <f>VLOOKUP(W518,Sheet4!$A$5:$B$71,2,0)</f>
        <v>Re Side Door</v>
      </c>
      <c r="Z518">
        <v>87082900</v>
      </c>
      <c r="AA518">
        <v>120</v>
      </c>
      <c r="AB518" t="s">
        <v>159</v>
      </c>
      <c r="AC518">
        <v>506.59</v>
      </c>
      <c r="AD518" t="s">
        <v>160</v>
      </c>
      <c r="AE518" s="24">
        <v>60790.8</v>
      </c>
      <c r="AF518">
        <v>0</v>
      </c>
      <c r="AG518" s="24">
        <v>60790.8</v>
      </c>
      <c r="AH518">
        <v>0</v>
      </c>
      <c r="AI518">
        <v>0</v>
      </c>
      <c r="AJ518">
        <v>0</v>
      </c>
      <c r="AK518">
        <v>0</v>
      </c>
      <c r="AL518" s="24">
        <v>60790.8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s="24">
        <v>60790.8</v>
      </c>
      <c r="AV518">
        <v>0</v>
      </c>
      <c r="AW518">
        <v>0</v>
      </c>
      <c r="AX518">
        <v>311000</v>
      </c>
      <c r="AY518" t="s">
        <v>161</v>
      </c>
      <c r="AZ518">
        <v>2.27</v>
      </c>
      <c r="BA518">
        <v>2.27</v>
      </c>
      <c r="BB518">
        <v>0</v>
      </c>
      <c r="BC518" t="s">
        <v>186</v>
      </c>
      <c r="BD518">
        <v>1511</v>
      </c>
      <c r="BE518" t="s">
        <v>174</v>
      </c>
      <c r="BF518">
        <v>5094100862</v>
      </c>
      <c r="BG518" t="s">
        <v>333</v>
      </c>
    </row>
    <row r="519" spans="1:59">
      <c r="A519">
        <v>1115</v>
      </c>
      <c r="B519">
        <v>1115</v>
      </c>
      <c r="C519">
        <v>10</v>
      </c>
      <c r="D519">
        <v>2</v>
      </c>
      <c r="E519" t="s">
        <v>152</v>
      </c>
      <c r="F519" t="s">
        <v>153</v>
      </c>
      <c r="G519" t="s">
        <v>154</v>
      </c>
      <c r="H519">
        <v>1526005814</v>
      </c>
      <c r="I519">
        <v>1000006071</v>
      </c>
      <c r="L519" t="s">
        <v>333</v>
      </c>
      <c r="M519">
        <v>5100001928</v>
      </c>
      <c r="N519" t="s">
        <v>155</v>
      </c>
      <c r="O519" t="s">
        <v>156</v>
      </c>
      <c r="P519">
        <v>4110057393</v>
      </c>
      <c r="Q519" t="s">
        <v>192</v>
      </c>
      <c r="R519">
        <v>5000</v>
      </c>
      <c r="S519" t="s">
        <v>166</v>
      </c>
      <c r="V519" t="s">
        <v>167</v>
      </c>
      <c r="W519">
        <v>1502020122</v>
      </c>
      <c r="X519" t="s">
        <v>70</v>
      </c>
      <c r="Y519" t="str">
        <f>VLOOKUP(W519,Sheet4!$A$5:$B$71,2,0)</f>
        <v>MAX UG NEW EV</v>
      </c>
      <c r="Z519">
        <v>87082900</v>
      </c>
      <c r="AA519">
        <v>8</v>
      </c>
      <c r="AB519" t="s">
        <v>159</v>
      </c>
      <c r="AC519" s="24">
        <v>9566.51</v>
      </c>
      <c r="AD519" t="s">
        <v>160</v>
      </c>
      <c r="AE519" s="24">
        <v>76532.08</v>
      </c>
      <c r="AF519">
        <v>0</v>
      </c>
      <c r="AG519" s="24">
        <v>76532.08</v>
      </c>
      <c r="AH519">
        <v>0</v>
      </c>
      <c r="AI519">
        <v>0</v>
      </c>
      <c r="AJ519">
        <v>0</v>
      </c>
      <c r="AK519">
        <v>0</v>
      </c>
      <c r="AL519" s="24">
        <v>76532.08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 s="24">
        <v>76532.08</v>
      </c>
      <c r="AV519">
        <v>0</v>
      </c>
      <c r="AW519">
        <v>0</v>
      </c>
      <c r="AX519">
        <v>311000</v>
      </c>
      <c r="AY519" t="s">
        <v>161</v>
      </c>
      <c r="AZ519">
        <v>0</v>
      </c>
      <c r="BA519">
        <v>61</v>
      </c>
      <c r="BB519">
        <v>-61</v>
      </c>
      <c r="BC519" t="s">
        <v>193</v>
      </c>
      <c r="BD519">
        <v>1509</v>
      </c>
      <c r="BE519" t="s">
        <v>169</v>
      </c>
      <c r="BF519">
        <v>5094094282</v>
      </c>
      <c r="BG519" t="s">
        <v>333</v>
      </c>
    </row>
    <row r="520" spans="1:59">
      <c r="A520">
        <v>1115</v>
      </c>
      <c r="B520">
        <v>1115</v>
      </c>
      <c r="C520">
        <v>10</v>
      </c>
      <c r="D520">
        <v>2</v>
      </c>
      <c r="E520" t="s">
        <v>152</v>
      </c>
      <c r="F520" t="s">
        <v>153</v>
      </c>
      <c r="G520" t="s">
        <v>154</v>
      </c>
      <c r="H520">
        <v>1526005813</v>
      </c>
      <c r="I520">
        <v>1000006070</v>
      </c>
      <c r="L520" t="s">
        <v>333</v>
      </c>
      <c r="M520">
        <v>5100001101</v>
      </c>
      <c r="N520" t="s">
        <v>155</v>
      </c>
      <c r="O520" t="s">
        <v>156</v>
      </c>
      <c r="P520">
        <v>4110004653</v>
      </c>
      <c r="Q520" t="s">
        <v>177</v>
      </c>
      <c r="R520">
        <v>5000</v>
      </c>
      <c r="S520" t="s">
        <v>166</v>
      </c>
      <c r="V520" t="s">
        <v>167</v>
      </c>
      <c r="W520">
        <v>1502040194</v>
      </c>
      <c r="X520" t="s">
        <v>44</v>
      </c>
      <c r="Y520" t="str">
        <f>VLOOKUP(W520,Sheet4!$A$5:$B$71,2,0)</f>
        <v>CRADEL</v>
      </c>
      <c r="Z520">
        <v>87082900</v>
      </c>
      <c r="AA520">
        <v>48</v>
      </c>
      <c r="AB520" t="s">
        <v>159</v>
      </c>
      <c r="AC520">
        <v>956.92</v>
      </c>
      <c r="AD520" t="s">
        <v>160</v>
      </c>
      <c r="AE520" s="24">
        <v>45932.160000000003</v>
      </c>
      <c r="AF520">
        <v>0</v>
      </c>
      <c r="AG520" s="24">
        <v>45932.160000000003</v>
      </c>
      <c r="AH520">
        <v>0</v>
      </c>
      <c r="AI520">
        <v>0</v>
      </c>
      <c r="AJ520">
        <v>0</v>
      </c>
      <c r="AK520">
        <v>0</v>
      </c>
      <c r="AL520" s="24">
        <v>45932.160000000003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 s="24">
        <v>45932.160000000003</v>
      </c>
      <c r="AV520">
        <v>0</v>
      </c>
      <c r="AW520">
        <v>0</v>
      </c>
      <c r="AX520">
        <v>311000</v>
      </c>
      <c r="AY520" t="s">
        <v>161</v>
      </c>
      <c r="AZ520">
        <v>6.3769999999999998</v>
      </c>
      <c r="BA520">
        <v>6.3769999999999998</v>
      </c>
      <c r="BB520">
        <v>0</v>
      </c>
      <c r="BC520" t="s">
        <v>184</v>
      </c>
      <c r="BD520">
        <v>1511</v>
      </c>
      <c r="BE520" t="s">
        <v>174</v>
      </c>
      <c r="BF520">
        <v>5094094928</v>
      </c>
      <c r="BG520" t="s">
        <v>333</v>
      </c>
    </row>
    <row r="521" spans="1:59">
      <c r="A521">
        <v>1115</v>
      </c>
      <c r="B521">
        <v>1115</v>
      </c>
      <c r="C521">
        <v>10</v>
      </c>
      <c r="D521">
        <v>2</v>
      </c>
      <c r="E521" t="s">
        <v>152</v>
      </c>
      <c r="F521" t="s">
        <v>153</v>
      </c>
      <c r="G521" t="s">
        <v>154</v>
      </c>
      <c r="H521">
        <v>1526005812</v>
      </c>
      <c r="I521">
        <v>1000006069</v>
      </c>
      <c r="L521" t="s">
        <v>333</v>
      </c>
      <c r="M521">
        <v>5100001101</v>
      </c>
      <c r="N521" t="s">
        <v>155</v>
      </c>
      <c r="O521" t="s">
        <v>156</v>
      </c>
      <c r="P521">
        <v>4110004653</v>
      </c>
      <c r="Q521" t="s">
        <v>177</v>
      </c>
      <c r="R521">
        <v>5000</v>
      </c>
      <c r="S521" t="s">
        <v>166</v>
      </c>
      <c r="V521" t="s">
        <v>167</v>
      </c>
      <c r="W521">
        <v>1502040194</v>
      </c>
      <c r="X521" t="s">
        <v>44</v>
      </c>
      <c r="Y521" t="str">
        <f>VLOOKUP(W521,Sheet4!$A$5:$B$71,2,0)</f>
        <v>CRADEL</v>
      </c>
      <c r="Z521">
        <v>87082900</v>
      </c>
      <c r="AA521">
        <v>48</v>
      </c>
      <c r="AB521" t="s">
        <v>159</v>
      </c>
      <c r="AC521">
        <v>956.92</v>
      </c>
      <c r="AD521" t="s">
        <v>160</v>
      </c>
      <c r="AE521" s="24">
        <v>45932.160000000003</v>
      </c>
      <c r="AF521">
        <v>0</v>
      </c>
      <c r="AG521" s="24">
        <v>45932.160000000003</v>
      </c>
      <c r="AH521">
        <v>0</v>
      </c>
      <c r="AI521">
        <v>0</v>
      </c>
      <c r="AJ521">
        <v>0</v>
      </c>
      <c r="AK521">
        <v>0</v>
      </c>
      <c r="AL521" s="24">
        <v>45932.160000000003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s="24">
        <v>45932.160000000003</v>
      </c>
      <c r="AV521">
        <v>0</v>
      </c>
      <c r="AW521">
        <v>0</v>
      </c>
      <c r="AX521">
        <v>311000</v>
      </c>
      <c r="AY521" t="s">
        <v>161</v>
      </c>
      <c r="AZ521">
        <v>6.3769999999999998</v>
      </c>
      <c r="BA521">
        <v>6.3769999999999998</v>
      </c>
      <c r="BB521">
        <v>0</v>
      </c>
      <c r="BC521" t="s">
        <v>184</v>
      </c>
      <c r="BD521">
        <v>1511</v>
      </c>
      <c r="BE521" t="s">
        <v>174</v>
      </c>
      <c r="BF521">
        <v>5094094961</v>
      </c>
      <c r="BG521" t="s">
        <v>333</v>
      </c>
    </row>
    <row r="522" spans="1:59">
      <c r="A522">
        <v>1115</v>
      </c>
      <c r="B522">
        <v>1115</v>
      </c>
      <c r="C522">
        <v>10</v>
      </c>
      <c r="D522">
        <v>2</v>
      </c>
      <c r="E522" t="s">
        <v>152</v>
      </c>
      <c r="F522" t="s">
        <v>153</v>
      </c>
      <c r="G522" t="s">
        <v>154</v>
      </c>
      <c r="H522">
        <v>1526005811</v>
      </c>
      <c r="I522">
        <v>1000006068</v>
      </c>
      <c r="L522" t="s">
        <v>333</v>
      </c>
      <c r="M522">
        <v>5100001100</v>
      </c>
      <c r="N522" t="s">
        <v>155</v>
      </c>
      <c r="O522" t="s">
        <v>156</v>
      </c>
      <c r="P522">
        <v>4110004652</v>
      </c>
      <c r="Q522" t="s">
        <v>177</v>
      </c>
      <c r="R522">
        <v>5000</v>
      </c>
      <c r="S522" t="s">
        <v>166</v>
      </c>
      <c r="V522" t="s">
        <v>167</v>
      </c>
      <c r="W522">
        <v>1502040126</v>
      </c>
      <c r="X522" t="s">
        <v>53</v>
      </c>
      <c r="Y522" t="str">
        <f>VLOOKUP(W522,Sheet4!$A$5:$B$71,2,0)</f>
        <v>REAR COVER</v>
      </c>
      <c r="Z522">
        <v>87082900</v>
      </c>
      <c r="AA522">
        <v>55</v>
      </c>
      <c r="AB522" t="s">
        <v>159</v>
      </c>
      <c r="AC522">
        <v>155.58000000000001</v>
      </c>
      <c r="AD522" t="s">
        <v>160</v>
      </c>
      <c r="AE522" s="24">
        <v>8556.9</v>
      </c>
      <c r="AF522">
        <v>0</v>
      </c>
      <c r="AG522" s="24">
        <v>8556.9</v>
      </c>
      <c r="AH522">
        <v>0</v>
      </c>
      <c r="AI522">
        <v>0</v>
      </c>
      <c r="AJ522">
        <v>0</v>
      </c>
      <c r="AK522">
        <v>0</v>
      </c>
      <c r="AL522" s="24">
        <v>8556.9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s="24">
        <v>8556.9</v>
      </c>
      <c r="AV522">
        <v>0</v>
      </c>
      <c r="AW522">
        <v>0</v>
      </c>
      <c r="AX522">
        <v>311000</v>
      </c>
      <c r="AY522" t="s">
        <v>161</v>
      </c>
      <c r="AZ522">
        <v>1.1850000000000001</v>
      </c>
      <c r="BA522">
        <v>1.1850000000000001</v>
      </c>
      <c r="BB522">
        <v>0</v>
      </c>
      <c r="BC522" t="s">
        <v>232</v>
      </c>
      <c r="BD522">
        <v>1511</v>
      </c>
      <c r="BE522" t="s">
        <v>174</v>
      </c>
      <c r="BF522">
        <v>5094115327</v>
      </c>
      <c r="BG522" t="s">
        <v>334</v>
      </c>
    </row>
    <row r="523" spans="1:59">
      <c r="A523">
        <v>1115</v>
      </c>
      <c r="B523">
        <v>1115</v>
      </c>
      <c r="C523">
        <v>10</v>
      </c>
      <c r="D523">
        <v>2</v>
      </c>
      <c r="E523" t="s">
        <v>152</v>
      </c>
      <c r="F523" t="s">
        <v>153</v>
      </c>
      <c r="G523" t="s">
        <v>154</v>
      </c>
      <c r="H523">
        <v>1526005810</v>
      </c>
      <c r="I523">
        <v>1000006067</v>
      </c>
      <c r="L523" t="s">
        <v>333</v>
      </c>
      <c r="M523">
        <v>5100001100</v>
      </c>
      <c r="N523" t="s">
        <v>155</v>
      </c>
      <c r="O523" t="s">
        <v>156</v>
      </c>
      <c r="P523">
        <v>4110004652</v>
      </c>
      <c r="Q523" t="s">
        <v>177</v>
      </c>
      <c r="R523">
        <v>5000</v>
      </c>
      <c r="S523" t="s">
        <v>166</v>
      </c>
      <c r="V523" t="s">
        <v>167</v>
      </c>
      <c r="W523">
        <v>1502040125</v>
      </c>
      <c r="X523" t="s">
        <v>52</v>
      </c>
      <c r="Y523" t="str">
        <f>VLOOKUP(W523,Sheet4!$A$5:$B$71,2,0)</f>
        <v>REAR COVER</v>
      </c>
      <c r="Z523">
        <v>87082900</v>
      </c>
      <c r="AA523">
        <v>55</v>
      </c>
      <c r="AB523" t="s">
        <v>159</v>
      </c>
      <c r="AC523">
        <v>160.44999999999999</v>
      </c>
      <c r="AD523" t="s">
        <v>160</v>
      </c>
      <c r="AE523" s="24">
        <v>8824.75</v>
      </c>
      <c r="AF523">
        <v>0</v>
      </c>
      <c r="AG523" s="24">
        <v>8824.75</v>
      </c>
      <c r="AH523">
        <v>0</v>
      </c>
      <c r="AI523">
        <v>0</v>
      </c>
      <c r="AJ523">
        <v>0</v>
      </c>
      <c r="AK523">
        <v>0</v>
      </c>
      <c r="AL523" s="24">
        <v>8824.75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s="24">
        <v>8824.75</v>
      </c>
      <c r="AV523">
        <v>0</v>
      </c>
      <c r="AW523">
        <v>0</v>
      </c>
      <c r="AX523">
        <v>311000</v>
      </c>
      <c r="AY523" t="s">
        <v>161</v>
      </c>
      <c r="AZ523">
        <v>1.1850000000000001</v>
      </c>
      <c r="BA523">
        <v>1.1850000000000001</v>
      </c>
      <c r="BB523">
        <v>0</v>
      </c>
      <c r="BC523" t="s">
        <v>233</v>
      </c>
      <c r="BD523">
        <v>1511</v>
      </c>
      <c r="BE523" t="s">
        <v>174</v>
      </c>
      <c r="BF523">
        <v>5094115396</v>
      </c>
      <c r="BG523" t="s">
        <v>334</v>
      </c>
    </row>
    <row r="524" spans="1:59">
      <c r="A524">
        <v>1115</v>
      </c>
      <c r="B524">
        <v>1115</v>
      </c>
      <c r="C524">
        <v>10</v>
      </c>
      <c r="D524">
        <v>2</v>
      </c>
      <c r="E524" t="s">
        <v>152</v>
      </c>
      <c r="F524" t="s">
        <v>153</v>
      </c>
      <c r="G524" t="s">
        <v>154</v>
      </c>
      <c r="H524">
        <v>1526005809</v>
      </c>
      <c r="I524">
        <v>1000006066</v>
      </c>
      <c r="L524" t="s">
        <v>333</v>
      </c>
      <c r="M524">
        <v>5100001099</v>
      </c>
      <c r="N524" t="s">
        <v>155</v>
      </c>
      <c r="O524" t="s">
        <v>156</v>
      </c>
      <c r="P524">
        <v>4110004650</v>
      </c>
      <c r="Q524" t="s">
        <v>177</v>
      </c>
      <c r="R524">
        <v>5000</v>
      </c>
      <c r="S524" t="s">
        <v>166</v>
      </c>
      <c r="V524" t="s">
        <v>167</v>
      </c>
      <c r="W524">
        <v>1502040133</v>
      </c>
      <c r="X524" t="s">
        <v>228</v>
      </c>
      <c r="Y524" t="str">
        <f>VLOOKUP(W524,Sheet4!$A$5:$B$71,2,0)</f>
        <v>REAR COVER</v>
      </c>
      <c r="Z524">
        <v>87082900</v>
      </c>
      <c r="AA524">
        <v>55</v>
      </c>
      <c r="AB524" t="s">
        <v>159</v>
      </c>
      <c r="AC524">
        <v>164.49</v>
      </c>
      <c r="AD524" t="s">
        <v>160</v>
      </c>
      <c r="AE524" s="24">
        <v>9046.9500000000007</v>
      </c>
      <c r="AF524">
        <v>0</v>
      </c>
      <c r="AG524" s="24">
        <v>9046.9500000000007</v>
      </c>
      <c r="AH524">
        <v>0</v>
      </c>
      <c r="AI524">
        <v>0</v>
      </c>
      <c r="AJ524">
        <v>0</v>
      </c>
      <c r="AK524">
        <v>0</v>
      </c>
      <c r="AL524" s="24">
        <v>9046.9500000000007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 s="24">
        <v>9046.9500000000007</v>
      </c>
      <c r="AV524">
        <v>0</v>
      </c>
      <c r="AW524">
        <v>0</v>
      </c>
      <c r="AX524">
        <v>311000</v>
      </c>
      <c r="AY524" t="s">
        <v>161</v>
      </c>
      <c r="AZ524">
        <v>1.248</v>
      </c>
      <c r="BA524">
        <v>1.248</v>
      </c>
      <c r="BB524">
        <v>0</v>
      </c>
      <c r="BC524" t="s">
        <v>229</v>
      </c>
      <c r="BD524">
        <v>1511</v>
      </c>
      <c r="BE524" t="s">
        <v>174</v>
      </c>
      <c r="BF524">
        <v>5094087799</v>
      </c>
      <c r="BG524" t="s">
        <v>333</v>
      </c>
    </row>
    <row r="525" spans="1:59">
      <c r="A525">
        <v>1115</v>
      </c>
      <c r="B525">
        <v>1115</v>
      </c>
      <c r="C525">
        <v>10</v>
      </c>
      <c r="D525">
        <v>2</v>
      </c>
      <c r="E525" t="s">
        <v>152</v>
      </c>
      <c r="F525" t="s">
        <v>153</v>
      </c>
      <c r="G525" t="s">
        <v>154</v>
      </c>
      <c r="H525">
        <v>1526005808</v>
      </c>
      <c r="I525">
        <v>1000006065</v>
      </c>
      <c r="L525" t="s">
        <v>333</v>
      </c>
      <c r="M525">
        <v>5100001099</v>
      </c>
      <c r="N525" t="s">
        <v>155</v>
      </c>
      <c r="O525" t="s">
        <v>156</v>
      </c>
      <c r="P525">
        <v>4110004650</v>
      </c>
      <c r="Q525" t="s">
        <v>177</v>
      </c>
      <c r="R525">
        <v>5000</v>
      </c>
      <c r="S525" t="s">
        <v>166</v>
      </c>
      <c r="V525" t="s">
        <v>167</v>
      </c>
      <c r="W525">
        <v>1502040132</v>
      </c>
      <c r="X525" t="s">
        <v>230</v>
      </c>
      <c r="Y525" t="str">
        <f>VLOOKUP(W525,Sheet4!$A$5:$B$71,2,0)</f>
        <v>REAR COVER</v>
      </c>
      <c r="Z525">
        <v>87082900</v>
      </c>
      <c r="AA525">
        <v>55</v>
      </c>
      <c r="AB525" t="s">
        <v>159</v>
      </c>
      <c r="AC525">
        <v>159.41</v>
      </c>
      <c r="AD525" t="s">
        <v>160</v>
      </c>
      <c r="AE525" s="24">
        <v>8767.5499999999993</v>
      </c>
      <c r="AF525">
        <v>0</v>
      </c>
      <c r="AG525" s="24">
        <v>8767.5499999999993</v>
      </c>
      <c r="AH525">
        <v>0</v>
      </c>
      <c r="AI525">
        <v>0</v>
      </c>
      <c r="AJ525">
        <v>0</v>
      </c>
      <c r="AK525">
        <v>0</v>
      </c>
      <c r="AL525" s="24">
        <v>8767.5499999999993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 s="24">
        <v>8767.5499999999993</v>
      </c>
      <c r="AV525">
        <v>0</v>
      </c>
      <c r="AW525">
        <v>0</v>
      </c>
      <c r="AX525">
        <v>311000</v>
      </c>
      <c r="AY525" t="s">
        <v>161</v>
      </c>
      <c r="AZ525">
        <v>1.1659999999999999</v>
      </c>
      <c r="BA525">
        <v>1.1659999999999999</v>
      </c>
      <c r="BB525">
        <v>0</v>
      </c>
      <c r="BC525" t="s">
        <v>231</v>
      </c>
      <c r="BD525">
        <v>1511</v>
      </c>
      <c r="BE525" t="s">
        <v>174</v>
      </c>
      <c r="BF525">
        <v>5094087694</v>
      </c>
      <c r="BG525" t="s">
        <v>333</v>
      </c>
    </row>
    <row r="526" spans="1:59">
      <c r="A526">
        <v>1115</v>
      </c>
      <c r="B526">
        <v>1115</v>
      </c>
      <c r="C526">
        <v>10</v>
      </c>
      <c r="D526">
        <v>2</v>
      </c>
      <c r="E526" t="s">
        <v>152</v>
      </c>
      <c r="F526" t="s">
        <v>153</v>
      </c>
      <c r="G526" t="s">
        <v>154</v>
      </c>
      <c r="H526">
        <v>1526005807</v>
      </c>
      <c r="I526">
        <v>1000006064</v>
      </c>
      <c r="L526" t="s">
        <v>333</v>
      </c>
      <c r="M526">
        <v>5100001227</v>
      </c>
      <c r="N526" t="s">
        <v>155</v>
      </c>
      <c r="O526" t="s">
        <v>156</v>
      </c>
      <c r="P526">
        <v>4110011319</v>
      </c>
      <c r="Q526" t="s">
        <v>175</v>
      </c>
      <c r="R526">
        <v>5000</v>
      </c>
      <c r="S526" t="s">
        <v>166</v>
      </c>
      <c r="V526" t="s">
        <v>167</v>
      </c>
      <c r="W526">
        <v>1502020074</v>
      </c>
      <c r="X526" t="s">
        <v>28</v>
      </c>
      <c r="Y526" t="str">
        <f>VLOOKUP(W526,Sheet4!$A$5:$B$71,2,0)</f>
        <v>MAX UG NEW</v>
      </c>
      <c r="Z526">
        <v>87082900</v>
      </c>
      <c r="AA526">
        <v>10</v>
      </c>
      <c r="AB526" t="s">
        <v>159</v>
      </c>
      <c r="AC526" s="24">
        <v>9397.5</v>
      </c>
      <c r="AD526" t="s">
        <v>160</v>
      </c>
      <c r="AE526" s="24">
        <v>93975</v>
      </c>
      <c r="AF526">
        <v>0</v>
      </c>
      <c r="AG526" s="24">
        <v>93975</v>
      </c>
      <c r="AH526">
        <v>0</v>
      </c>
      <c r="AI526">
        <v>0</v>
      </c>
      <c r="AJ526">
        <v>0</v>
      </c>
      <c r="AK526">
        <v>0</v>
      </c>
      <c r="AL526" s="24">
        <v>93975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 s="24">
        <v>93975</v>
      </c>
      <c r="AV526">
        <v>0</v>
      </c>
      <c r="AW526">
        <v>0</v>
      </c>
      <c r="AX526">
        <v>311000</v>
      </c>
      <c r="AY526" t="s">
        <v>161</v>
      </c>
      <c r="AZ526">
        <v>69.5</v>
      </c>
      <c r="BA526">
        <v>69.5</v>
      </c>
      <c r="BB526">
        <v>0</v>
      </c>
      <c r="BC526" t="s">
        <v>176</v>
      </c>
      <c r="BD526">
        <v>1509</v>
      </c>
      <c r="BE526" t="s">
        <v>169</v>
      </c>
      <c r="BF526">
        <v>5094085585</v>
      </c>
      <c r="BG526" t="s">
        <v>333</v>
      </c>
    </row>
    <row r="527" spans="1:59">
      <c r="A527">
        <v>1115</v>
      </c>
      <c r="B527">
        <v>1115</v>
      </c>
      <c r="C527">
        <v>10</v>
      </c>
      <c r="D527">
        <v>2</v>
      </c>
      <c r="E527" t="s">
        <v>152</v>
      </c>
      <c r="F527" t="s">
        <v>153</v>
      </c>
      <c r="G527" t="s">
        <v>154</v>
      </c>
      <c r="H527">
        <v>1526005806</v>
      </c>
      <c r="I527">
        <v>1000006063</v>
      </c>
      <c r="L527" t="s">
        <v>333</v>
      </c>
      <c r="M527">
        <v>5100001928</v>
      </c>
      <c r="N527" t="s">
        <v>155</v>
      </c>
      <c r="O527" t="s">
        <v>156</v>
      </c>
      <c r="P527">
        <v>4110057393</v>
      </c>
      <c r="Q527" t="s">
        <v>192</v>
      </c>
      <c r="R527">
        <v>5000</v>
      </c>
      <c r="S527" t="s">
        <v>166</v>
      </c>
      <c r="V527" t="s">
        <v>167</v>
      </c>
      <c r="W527">
        <v>1502020122</v>
      </c>
      <c r="X527" t="s">
        <v>70</v>
      </c>
      <c r="Y527" t="str">
        <f>VLOOKUP(W527,Sheet4!$A$5:$B$71,2,0)</f>
        <v>MAX UG NEW EV</v>
      </c>
      <c r="Z527">
        <v>87082900</v>
      </c>
      <c r="AA527">
        <v>10</v>
      </c>
      <c r="AB527" t="s">
        <v>159</v>
      </c>
      <c r="AC527" s="24">
        <v>9566.51</v>
      </c>
      <c r="AD527" t="s">
        <v>160</v>
      </c>
      <c r="AE527" s="24">
        <v>95665.1</v>
      </c>
      <c r="AF527">
        <v>0</v>
      </c>
      <c r="AG527" s="24">
        <v>95665.1</v>
      </c>
      <c r="AH527">
        <v>0</v>
      </c>
      <c r="AI527">
        <v>0</v>
      </c>
      <c r="AJ527">
        <v>0</v>
      </c>
      <c r="AK527">
        <v>0</v>
      </c>
      <c r="AL527" s="24">
        <v>95665.1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 s="24">
        <v>95665.1</v>
      </c>
      <c r="AV527">
        <v>0</v>
      </c>
      <c r="AW527">
        <v>0</v>
      </c>
      <c r="AX527">
        <v>311000</v>
      </c>
      <c r="AY527" t="s">
        <v>161</v>
      </c>
      <c r="AZ527">
        <v>0</v>
      </c>
      <c r="BA527">
        <v>61</v>
      </c>
      <c r="BB527">
        <v>-61</v>
      </c>
      <c r="BC527" t="s">
        <v>193</v>
      </c>
      <c r="BD527">
        <v>1509</v>
      </c>
      <c r="BE527" t="s">
        <v>169</v>
      </c>
      <c r="BF527">
        <v>5094092900</v>
      </c>
      <c r="BG527" t="s">
        <v>333</v>
      </c>
    </row>
    <row r="528" spans="1:59">
      <c r="A528">
        <v>1115</v>
      </c>
      <c r="B528">
        <v>1115</v>
      </c>
      <c r="C528">
        <v>10</v>
      </c>
      <c r="D528">
        <v>2</v>
      </c>
      <c r="E528" t="s">
        <v>152</v>
      </c>
      <c r="F528" t="s">
        <v>153</v>
      </c>
      <c r="G528" t="s">
        <v>154</v>
      </c>
      <c r="H528">
        <v>1526005805</v>
      </c>
      <c r="I528">
        <v>1000006062</v>
      </c>
      <c r="L528" t="s">
        <v>333</v>
      </c>
      <c r="M528">
        <v>5100001928</v>
      </c>
      <c r="N528" t="s">
        <v>155</v>
      </c>
      <c r="O528" t="s">
        <v>156</v>
      </c>
      <c r="P528">
        <v>4110057393</v>
      </c>
      <c r="Q528" t="s">
        <v>192</v>
      </c>
      <c r="R528">
        <v>5000</v>
      </c>
      <c r="S528" t="s">
        <v>166</v>
      </c>
      <c r="V528" t="s">
        <v>167</v>
      </c>
      <c r="W528">
        <v>1502020122</v>
      </c>
      <c r="X528" t="s">
        <v>70</v>
      </c>
      <c r="Y528" t="str">
        <f>VLOOKUP(W528,Sheet4!$A$5:$B$71,2,0)</f>
        <v>MAX UG NEW EV</v>
      </c>
      <c r="Z528">
        <v>87082900</v>
      </c>
      <c r="AA528">
        <v>10</v>
      </c>
      <c r="AB528" t="s">
        <v>159</v>
      </c>
      <c r="AC528" s="24">
        <v>9566.51</v>
      </c>
      <c r="AD528" t="s">
        <v>160</v>
      </c>
      <c r="AE528" s="24">
        <v>95665.1</v>
      </c>
      <c r="AF528">
        <v>0</v>
      </c>
      <c r="AG528" s="24">
        <v>95665.1</v>
      </c>
      <c r="AH528">
        <v>0</v>
      </c>
      <c r="AI528">
        <v>0</v>
      </c>
      <c r="AJ528">
        <v>0</v>
      </c>
      <c r="AK528">
        <v>0</v>
      </c>
      <c r="AL528" s="24">
        <v>95665.1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 s="24">
        <v>95665.1</v>
      </c>
      <c r="AV528">
        <v>0</v>
      </c>
      <c r="AW528">
        <v>0</v>
      </c>
      <c r="AX528">
        <v>311000</v>
      </c>
      <c r="AY528" t="s">
        <v>161</v>
      </c>
      <c r="AZ528">
        <v>0</v>
      </c>
      <c r="BA528">
        <v>61</v>
      </c>
      <c r="BB528">
        <v>-61</v>
      </c>
      <c r="BC528" t="s">
        <v>193</v>
      </c>
      <c r="BD528">
        <v>1509</v>
      </c>
      <c r="BE528" t="s">
        <v>169</v>
      </c>
      <c r="BF528">
        <v>5094087071</v>
      </c>
      <c r="BG528" t="s">
        <v>333</v>
      </c>
    </row>
    <row r="529" spans="1:59">
      <c r="A529">
        <v>1115</v>
      </c>
      <c r="B529">
        <v>1115</v>
      </c>
      <c r="C529">
        <v>10</v>
      </c>
      <c r="D529">
        <v>2</v>
      </c>
      <c r="E529" t="s">
        <v>152</v>
      </c>
      <c r="F529" t="s">
        <v>153</v>
      </c>
      <c r="G529" t="s">
        <v>154</v>
      </c>
      <c r="H529">
        <v>1526005804</v>
      </c>
      <c r="I529">
        <v>1000006061</v>
      </c>
      <c r="L529" t="s">
        <v>333</v>
      </c>
      <c r="M529">
        <v>5100001928</v>
      </c>
      <c r="N529" t="s">
        <v>155</v>
      </c>
      <c r="O529" t="s">
        <v>156</v>
      </c>
      <c r="P529">
        <v>4110057393</v>
      </c>
      <c r="Q529" t="s">
        <v>192</v>
      </c>
      <c r="R529">
        <v>5000</v>
      </c>
      <c r="S529" t="s">
        <v>166</v>
      </c>
      <c r="V529" t="s">
        <v>167</v>
      </c>
      <c r="W529">
        <v>1502020122</v>
      </c>
      <c r="X529" t="s">
        <v>70</v>
      </c>
      <c r="Y529" t="str">
        <f>VLOOKUP(W529,Sheet4!$A$5:$B$71,2,0)</f>
        <v>MAX UG NEW EV</v>
      </c>
      <c r="Z529">
        <v>87082900</v>
      </c>
      <c r="AA529">
        <v>10</v>
      </c>
      <c r="AB529" t="s">
        <v>159</v>
      </c>
      <c r="AC529" s="24">
        <v>9566.51</v>
      </c>
      <c r="AD529" t="s">
        <v>160</v>
      </c>
      <c r="AE529" s="24">
        <v>95665.1</v>
      </c>
      <c r="AF529">
        <v>0</v>
      </c>
      <c r="AG529" s="24">
        <v>95665.1</v>
      </c>
      <c r="AH529">
        <v>0</v>
      </c>
      <c r="AI529">
        <v>0</v>
      </c>
      <c r="AJ529">
        <v>0</v>
      </c>
      <c r="AK529">
        <v>0</v>
      </c>
      <c r="AL529" s="24">
        <v>95665.1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s="24">
        <v>95665.1</v>
      </c>
      <c r="AV529">
        <v>0</v>
      </c>
      <c r="AW529">
        <v>0</v>
      </c>
      <c r="AX529">
        <v>311000</v>
      </c>
      <c r="AY529" t="s">
        <v>161</v>
      </c>
      <c r="AZ529">
        <v>0</v>
      </c>
      <c r="BA529">
        <v>61</v>
      </c>
      <c r="BB529">
        <v>-61</v>
      </c>
      <c r="BC529" t="s">
        <v>193</v>
      </c>
      <c r="BD529">
        <v>1509</v>
      </c>
      <c r="BE529" t="s">
        <v>169</v>
      </c>
      <c r="BF529">
        <v>5094092762</v>
      </c>
      <c r="BG529" t="s">
        <v>333</v>
      </c>
    </row>
    <row r="530" spans="1:59">
      <c r="A530">
        <v>1115</v>
      </c>
      <c r="B530">
        <v>1115</v>
      </c>
      <c r="C530">
        <v>10</v>
      </c>
      <c r="D530">
        <v>2</v>
      </c>
      <c r="E530" t="s">
        <v>152</v>
      </c>
      <c r="F530" t="s">
        <v>153</v>
      </c>
      <c r="G530" t="s">
        <v>154</v>
      </c>
      <c r="H530">
        <v>1526005803</v>
      </c>
      <c r="I530">
        <v>1000006060</v>
      </c>
      <c r="L530" t="s">
        <v>333</v>
      </c>
      <c r="M530">
        <v>5100001928</v>
      </c>
      <c r="N530" t="s">
        <v>155</v>
      </c>
      <c r="O530" t="s">
        <v>156</v>
      </c>
      <c r="P530">
        <v>4110057393</v>
      </c>
      <c r="Q530" t="s">
        <v>192</v>
      </c>
      <c r="R530">
        <v>5000</v>
      </c>
      <c r="S530" t="s">
        <v>166</v>
      </c>
      <c r="V530" t="s">
        <v>167</v>
      </c>
      <c r="W530">
        <v>1502020122</v>
      </c>
      <c r="X530" t="s">
        <v>70</v>
      </c>
      <c r="Y530" t="str">
        <f>VLOOKUP(W530,Sheet4!$A$5:$B$71,2,0)</f>
        <v>MAX UG NEW EV</v>
      </c>
      <c r="Z530">
        <v>87082900</v>
      </c>
      <c r="AA530">
        <v>10</v>
      </c>
      <c r="AB530" t="s">
        <v>159</v>
      </c>
      <c r="AC530" s="24">
        <v>9566.51</v>
      </c>
      <c r="AD530" t="s">
        <v>160</v>
      </c>
      <c r="AE530" s="24">
        <v>95665.1</v>
      </c>
      <c r="AF530">
        <v>0</v>
      </c>
      <c r="AG530" s="24">
        <v>95665.1</v>
      </c>
      <c r="AH530">
        <v>0</v>
      </c>
      <c r="AI530">
        <v>0</v>
      </c>
      <c r="AJ530">
        <v>0</v>
      </c>
      <c r="AK530">
        <v>0</v>
      </c>
      <c r="AL530" s="24">
        <v>95665.1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s="24">
        <v>95665.1</v>
      </c>
      <c r="AV530">
        <v>0</v>
      </c>
      <c r="AW530">
        <v>0</v>
      </c>
      <c r="AX530">
        <v>311000</v>
      </c>
      <c r="AY530" t="s">
        <v>161</v>
      </c>
      <c r="AZ530">
        <v>0</v>
      </c>
      <c r="BA530">
        <v>61</v>
      </c>
      <c r="BB530">
        <v>-61</v>
      </c>
      <c r="BC530" t="s">
        <v>193</v>
      </c>
      <c r="BD530">
        <v>1509</v>
      </c>
      <c r="BE530" t="s">
        <v>169</v>
      </c>
      <c r="BF530">
        <v>5094087121</v>
      </c>
      <c r="BG530" t="s">
        <v>333</v>
      </c>
    </row>
    <row r="531" spans="1:59">
      <c r="A531">
        <v>1115</v>
      </c>
      <c r="B531">
        <v>1115</v>
      </c>
      <c r="C531">
        <v>10</v>
      </c>
      <c r="D531">
        <v>2</v>
      </c>
      <c r="E531" t="s">
        <v>152</v>
      </c>
      <c r="F531" t="s">
        <v>153</v>
      </c>
      <c r="G531" t="s">
        <v>154</v>
      </c>
      <c r="H531">
        <v>1526005802</v>
      </c>
      <c r="I531">
        <v>1000006059</v>
      </c>
      <c r="L531" t="s">
        <v>333</v>
      </c>
      <c r="M531">
        <v>5100001928</v>
      </c>
      <c r="N531" t="s">
        <v>155</v>
      </c>
      <c r="O531" t="s">
        <v>156</v>
      </c>
      <c r="P531">
        <v>4110057393</v>
      </c>
      <c r="Q531" t="s">
        <v>192</v>
      </c>
      <c r="R531">
        <v>5000</v>
      </c>
      <c r="S531" t="s">
        <v>166</v>
      </c>
      <c r="V531" t="s">
        <v>167</v>
      </c>
      <c r="W531">
        <v>1502020122</v>
      </c>
      <c r="X531" t="s">
        <v>70</v>
      </c>
      <c r="Y531" t="str">
        <f>VLOOKUP(W531,Sheet4!$A$5:$B$71,2,0)</f>
        <v>MAX UG NEW EV</v>
      </c>
      <c r="Z531">
        <v>87082900</v>
      </c>
      <c r="AA531">
        <v>10</v>
      </c>
      <c r="AB531" t="s">
        <v>159</v>
      </c>
      <c r="AC531" s="24">
        <v>9566.51</v>
      </c>
      <c r="AD531" t="s">
        <v>160</v>
      </c>
      <c r="AE531" s="24">
        <v>95665.1</v>
      </c>
      <c r="AF531">
        <v>0</v>
      </c>
      <c r="AG531" s="24">
        <v>95665.1</v>
      </c>
      <c r="AH531">
        <v>0</v>
      </c>
      <c r="AI531">
        <v>0</v>
      </c>
      <c r="AJ531">
        <v>0</v>
      </c>
      <c r="AK531">
        <v>0</v>
      </c>
      <c r="AL531" s="24">
        <v>95665.1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s="24">
        <v>95665.1</v>
      </c>
      <c r="AV531">
        <v>0</v>
      </c>
      <c r="AW531">
        <v>0</v>
      </c>
      <c r="AX531">
        <v>311000</v>
      </c>
      <c r="AY531" t="s">
        <v>161</v>
      </c>
      <c r="AZ531">
        <v>0</v>
      </c>
      <c r="BA531">
        <v>61</v>
      </c>
      <c r="BB531">
        <v>-61</v>
      </c>
      <c r="BC531" t="s">
        <v>193</v>
      </c>
      <c r="BD531">
        <v>1509</v>
      </c>
      <c r="BE531" t="s">
        <v>169</v>
      </c>
      <c r="BF531">
        <v>5094085682</v>
      </c>
      <c r="BG531" t="s">
        <v>333</v>
      </c>
    </row>
    <row r="532" spans="1:59">
      <c r="A532">
        <v>1115</v>
      </c>
      <c r="B532">
        <v>1115</v>
      </c>
      <c r="C532">
        <v>10</v>
      </c>
      <c r="D532">
        <v>2</v>
      </c>
      <c r="E532" t="s">
        <v>152</v>
      </c>
      <c r="F532" t="s">
        <v>153</v>
      </c>
      <c r="G532" t="s">
        <v>154</v>
      </c>
      <c r="H532">
        <v>1526005801</v>
      </c>
      <c r="I532">
        <v>1000006058</v>
      </c>
      <c r="L532" t="s">
        <v>333</v>
      </c>
      <c r="M532">
        <v>5100001928</v>
      </c>
      <c r="N532" t="s">
        <v>155</v>
      </c>
      <c r="O532" t="s">
        <v>156</v>
      </c>
      <c r="P532">
        <v>4110057393</v>
      </c>
      <c r="Q532" t="s">
        <v>192</v>
      </c>
      <c r="R532">
        <v>5000</v>
      </c>
      <c r="S532" t="s">
        <v>166</v>
      </c>
      <c r="V532" t="s">
        <v>167</v>
      </c>
      <c r="W532">
        <v>1502020122</v>
      </c>
      <c r="X532" t="s">
        <v>70</v>
      </c>
      <c r="Y532" t="str">
        <f>VLOOKUP(W532,Sheet4!$A$5:$B$71,2,0)</f>
        <v>MAX UG NEW EV</v>
      </c>
      <c r="Z532">
        <v>87082900</v>
      </c>
      <c r="AA532">
        <v>10</v>
      </c>
      <c r="AB532" t="s">
        <v>159</v>
      </c>
      <c r="AC532" s="24">
        <v>9566.51</v>
      </c>
      <c r="AD532" t="s">
        <v>160</v>
      </c>
      <c r="AE532" s="24">
        <v>95665.1</v>
      </c>
      <c r="AF532">
        <v>0</v>
      </c>
      <c r="AG532" s="24">
        <v>95665.1</v>
      </c>
      <c r="AH532">
        <v>0</v>
      </c>
      <c r="AI532">
        <v>0</v>
      </c>
      <c r="AJ532">
        <v>0</v>
      </c>
      <c r="AK532">
        <v>0</v>
      </c>
      <c r="AL532" s="24">
        <v>95665.1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s="24">
        <v>95665.1</v>
      </c>
      <c r="AV532">
        <v>0</v>
      </c>
      <c r="AW532">
        <v>0</v>
      </c>
      <c r="AX532">
        <v>311000</v>
      </c>
      <c r="AY532" t="s">
        <v>161</v>
      </c>
      <c r="AZ532">
        <v>0</v>
      </c>
      <c r="BA532">
        <v>61</v>
      </c>
      <c r="BB532">
        <v>-61</v>
      </c>
      <c r="BC532" t="s">
        <v>193</v>
      </c>
      <c r="BD532">
        <v>1509</v>
      </c>
      <c r="BE532" t="s">
        <v>169</v>
      </c>
      <c r="BF532">
        <v>5094085570</v>
      </c>
      <c r="BG532" t="s">
        <v>333</v>
      </c>
    </row>
    <row r="533" spans="1:59">
      <c r="A533">
        <v>1115</v>
      </c>
      <c r="B533">
        <v>1115</v>
      </c>
      <c r="C533">
        <v>10</v>
      </c>
      <c r="D533">
        <v>2</v>
      </c>
      <c r="E533" t="s">
        <v>152</v>
      </c>
      <c r="F533" t="s">
        <v>153</v>
      </c>
      <c r="G533" t="s">
        <v>154</v>
      </c>
      <c r="H533">
        <v>1526005800</v>
      </c>
      <c r="I533">
        <v>1000006057</v>
      </c>
      <c r="L533" t="s">
        <v>333</v>
      </c>
      <c r="M533">
        <v>5100001227</v>
      </c>
      <c r="N533" t="s">
        <v>155</v>
      </c>
      <c r="O533" t="s">
        <v>156</v>
      </c>
      <c r="P533">
        <v>4110011319</v>
      </c>
      <c r="Q533" t="s">
        <v>175</v>
      </c>
      <c r="R533">
        <v>5000</v>
      </c>
      <c r="S533" t="s">
        <v>166</v>
      </c>
      <c r="V533" t="s">
        <v>167</v>
      </c>
      <c r="W533">
        <v>1502020074</v>
      </c>
      <c r="X533" t="s">
        <v>28</v>
      </c>
      <c r="Y533" t="str">
        <f>VLOOKUP(W533,Sheet4!$A$5:$B$71,2,0)</f>
        <v>MAX UG NEW</v>
      </c>
      <c r="Z533">
        <v>87082900</v>
      </c>
      <c r="AA533">
        <v>10</v>
      </c>
      <c r="AB533" t="s">
        <v>159</v>
      </c>
      <c r="AC533" s="24">
        <v>9397.5</v>
      </c>
      <c r="AD533" t="s">
        <v>160</v>
      </c>
      <c r="AE533" s="24">
        <v>93975</v>
      </c>
      <c r="AF533">
        <v>0</v>
      </c>
      <c r="AG533" s="24">
        <v>93975</v>
      </c>
      <c r="AH533">
        <v>0</v>
      </c>
      <c r="AI533">
        <v>0</v>
      </c>
      <c r="AJ533">
        <v>0</v>
      </c>
      <c r="AK533">
        <v>0</v>
      </c>
      <c r="AL533" s="24">
        <v>93975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 s="24">
        <v>93975</v>
      </c>
      <c r="AV533">
        <v>0</v>
      </c>
      <c r="AW533">
        <v>0</v>
      </c>
      <c r="AX533">
        <v>311000</v>
      </c>
      <c r="AY533" t="s">
        <v>161</v>
      </c>
      <c r="AZ533">
        <v>69.5</v>
      </c>
      <c r="BA533">
        <v>69.5</v>
      </c>
      <c r="BB533">
        <v>0</v>
      </c>
      <c r="BC533" t="s">
        <v>176</v>
      </c>
      <c r="BD533">
        <v>1509</v>
      </c>
      <c r="BE533" t="s">
        <v>169</v>
      </c>
      <c r="BF533">
        <v>5094085681</v>
      </c>
      <c r="BG533" t="s">
        <v>333</v>
      </c>
    </row>
    <row r="534" spans="1:59">
      <c r="A534">
        <v>1115</v>
      </c>
      <c r="B534">
        <v>1115</v>
      </c>
      <c r="C534">
        <v>10</v>
      </c>
      <c r="D534">
        <v>2</v>
      </c>
      <c r="E534" t="s">
        <v>152</v>
      </c>
      <c r="F534" t="s">
        <v>153</v>
      </c>
      <c r="G534" t="s">
        <v>154</v>
      </c>
      <c r="H534">
        <v>1526005799</v>
      </c>
      <c r="I534">
        <v>1000006056</v>
      </c>
      <c r="L534" t="s">
        <v>333</v>
      </c>
      <c r="M534">
        <v>5100001928</v>
      </c>
      <c r="N534" t="s">
        <v>155</v>
      </c>
      <c r="O534" t="s">
        <v>156</v>
      </c>
      <c r="P534">
        <v>4110057393</v>
      </c>
      <c r="Q534" t="s">
        <v>192</v>
      </c>
      <c r="R534">
        <v>5000</v>
      </c>
      <c r="S534" t="s">
        <v>166</v>
      </c>
      <c r="V534" t="s">
        <v>167</v>
      </c>
      <c r="W534">
        <v>1502020122</v>
      </c>
      <c r="X534" t="s">
        <v>70</v>
      </c>
      <c r="Y534" t="str">
        <f>VLOOKUP(W534,Sheet4!$A$5:$B$71,2,0)</f>
        <v>MAX UG NEW EV</v>
      </c>
      <c r="Z534">
        <v>87082900</v>
      </c>
      <c r="AA534">
        <v>10</v>
      </c>
      <c r="AB534" t="s">
        <v>159</v>
      </c>
      <c r="AC534" s="24">
        <v>9566.51</v>
      </c>
      <c r="AD534" t="s">
        <v>160</v>
      </c>
      <c r="AE534" s="24">
        <v>95665.1</v>
      </c>
      <c r="AF534">
        <v>0</v>
      </c>
      <c r="AG534" s="24">
        <v>95665.1</v>
      </c>
      <c r="AH534">
        <v>0</v>
      </c>
      <c r="AI534">
        <v>0</v>
      </c>
      <c r="AJ534">
        <v>0</v>
      </c>
      <c r="AK534">
        <v>0</v>
      </c>
      <c r="AL534" s="24">
        <v>95665.1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s="24">
        <v>95665.1</v>
      </c>
      <c r="AV534">
        <v>0</v>
      </c>
      <c r="AW534">
        <v>0</v>
      </c>
      <c r="AX534">
        <v>311000</v>
      </c>
      <c r="AY534" t="s">
        <v>161</v>
      </c>
      <c r="AZ534">
        <v>0</v>
      </c>
      <c r="BA534">
        <v>61</v>
      </c>
      <c r="BB534">
        <v>-61</v>
      </c>
      <c r="BC534" t="s">
        <v>193</v>
      </c>
      <c r="BD534">
        <v>1509</v>
      </c>
      <c r="BE534" t="s">
        <v>169</v>
      </c>
      <c r="BF534">
        <v>5094085680</v>
      </c>
      <c r="BG534" t="s">
        <v>333</v>
      </c>
    </row>
    <row r="535" spans="1:59">
      <c r="A535">
        <v>1115</v>
      </c>
      <c r="B535">
        <v>1115</v>
      </c>
      <c r="C535">
        <v>10</v>
      </c>
      <c r="D535">
        <v>2</v>
      </c>
      <c r="E535" t="s">
        <v>152</v>
      </c>
      <c r="F535" t="s">
        <v>153</v>
      </c>
      <c r="G535" t="s">
        <v>154</v>
      </c>
      <c r="H535">
        <v>1526005798</v>
      </c>
      <c r="I535">
        <v>1000006055</v>
      </c>
      <c r="L535" t="s">
        <v>333</v>
      </c>
      <c r="M535">
        <v>5100001928</v>
      </c>
      <c r="N535" t="s">
        <v>155</v>
      </c>
      <c r="O535" t="s">
        <v>156</v>
      </c>
      <c r="P535">
        <v>4110057393</v>
      </c>
      <c r="Q535" t="s">
        <v>192</v>
      </c>
      <c r="R535">
        <v>5000</v>
      </c>
      <c r="S535" t="s">
        <v>166</v>
      </c>
      <c r="V535" t="s">
        <v>167</v>
      </c>
      <c r="W535">
        <v>1502020122</v>
      </c>
      <c r="X535" t="s">
        <v>70</v>
      </c>
      <c r="Y535" t="str">
        <f>VLOOKUP(W535,Sheet4!$A$5:$B$71,2,0)</f>
        <v>MAX UG NEW EV</v>
      </c>
      <c r="Z535">
        <v>87082900</v>
      </c>
      <c r="AA535">
        <v>10</v>
      </c>
      <c r="AB535" t="s">
        <v>159</v>
      </c>
      <c r="AC535" s="24">
        <v>9566.51</v>
      </c>
      <c r="AD535" t="s">
        <v>160</v>
      </c>
      <c r="AE535" s="24">
        <v>95665.1</v>
      </c>
      <c r="AF535">
        <v>0</v>
      </c>
      <c r="AG535" s="24">
        <v>95665.1</v>
      </c>
      <c r="AH535">
        <v>0</v>
      </c>
      <c r="AI535">
        <v>0</v>
      </c>
      <c r="AJ535">
        <v>0</v>
      </c>
      <c r="AK535">
        <v>0</v>
      </c>
      <c r="AL535" s="24">
        <v>95665.1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s="24">
        <v>95665.1</v>
      </c>
      <c r="AV535">
        <v>0</v>
      </c>
      <c r="AW535">
        <v>0</v>
      </c>
      <c r="AX535">
        <v>311000</v>
      </c>
      <c r="AY535" t="s">
        <v>161</v>
      </c>
      <c r="AZ535">
        <v>0</v>
      </c>
      <c r="BA535">
        <v>61</v>
      </c>
      <c r="BB535">
        <v>-61</v>
      </c>
      <c r="BC535" t="s">
        <v>193</v>
      </c>
      <c r="BD535">
        <v>1509</v>
      </c>
      <c r="BE535" t="s">
        <v>169</v>
      </c>
      <c r="BF535">
        <v>5094085679</v>
      </c>
      <c r="BG535" t="s">
        <v>333</v>
      </c>
    </row>
    <row r="536" spans="1:59">
      <c r="A536">
        <v>1115</v>
      </c>
      <c r="B536">
        <v>1115</v>
      </c>
      <c r="C536">
        <v>10</v>
      </c>
      <c r="D536">
        <v>2</v>
      </c>
      <c r="E536" t="s">
        <v>152</v>
      </c>
      <c r="F536" t="s">
        <v>153</v>
      </c>
      <c r="G536" t="s">
        <v>154</v>
      </c>
      <c r="H536">
        <v>1526005797</v>
      </c>
      <c r="I536">
        <v>1000006054</v>
      </c>
      <c r="L536" t="s">
        <v>337</v>
      </c>
      <c r="M536">
        <v>5100001955</v>
      </c>
      <c r="N536" t="s">
        <v>155</v>
      </c>
      <c r="O536" t="s">
        <v>156</v>
      </c>
      <c r="P536">
        <v>5500001432</v>
      </c>
      <c r="Q536" t="s">
        <v>320</v>
      </c>
      <c r="R536">
        <v>5356</v>
      </c>
      <c r="S536" t="s">
        <v>158</v>
      </c>
      <c r="W536">
        <v>1104040829</v>
      </c>
      <c r="X536" t="s">
        <v>321</v>
      </c>
      <c r="Y536" t="s">
        <v>339</v>
      </c>
      <c r="Z536">
        <v>87141090</v>
      </c>
      <c r="AA536">
        <v>300</v>
      </c>
      <c r="AB536" t="s">
        <v>159</v>
      </c>
      <c r="AC536">
        <v>136.6</v>
      </c>
      <c r="AD536" t="s">
        <v>160</v>
      </c>
      <c r="AE536" s="24">
        <v>40980</v>
      </c>
      <c r="AF536">
        <v>0</v>
      </c>
      <c r="AG536" s="24">
        <v>40980</v>
      </c>
      <c r="AH536">
        <v>0</v>
      </c>
      <c r="AI536">
        <v>0</v>
      </c>
      <c r="AJ536">
        <v>0</v>
      </c>
      <c r="AK536">
        <v>0</v>
      </c>
      <c r="AL536" s="24">
        <v>40980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 s="24">
        <v>40980</v>
      </c>
      <c r="AV536">
        <v>0</v>
      </c>
      <c r="AW536">
        <v>0</v>
      </c>
      <c r="AX536">
        <v>311003</v>
      </c>
      <c r="AY536" t="s">
        <v>322</v>
      </c>
      <c r="AZ536">
        <v>2.62</v>
      </c>
      <c r="BA536">
        <v>2.62</v>
      </c>
      <c r="BB536">
        <v>0</v>
      </c>
      <c r="BC536">
        <v>2000000894</v>
      </c>
      <c r="BD536">
        <v>1123</v>
      </c>
      <c r="BE536" t="s">
        <v>323</v>
      </c>
      <c r="BF536" t="s">
        <v>163</v>
      </c>
      <c r="BG536" t="s">
        <v>164</v>
      </c>
    </row>
    <row r="537" spans="1:59">
      <c r="A537">
        <v>1115</v>
      </c>
      <c r="B537">
        <v>1115</v>
      </c>
      <c r="C537">
        <v>10</v>
      </c>
      <c r="D537">
        <v>2</v>
      </c>
      <c r="E537" t="s">
        <v>152</v>
      </c>
      <c r="F537" t="s">
        <v>153</v>
      </c>
      <c r="G537" t="s">
        <v>154</v>
      </c>
      <c r="H537">
        <v>1526005796</v>
      </c>
      <c r="I537">
        <v>1000006053</v>
      </c>
      <c r="L537" t="s">
        <v>337</v>
      </c>
      <c r="M537">
        <v>5100001928</v>
      </c>
      <c r="N537" t="s">
        <v>155</v>
      </c>
      <c r="O537" t="s">
        <v>156</v>
      </c>
      <c r="P537">
        <v>4110057393</v>
      </c>
      <c r="Q537" t="s">
        <v>192</v>
      </c>
      <c r="R537">
        <v>5000</v>
      </c>
      <c r="S537" t="s">
        <v>166</v>
      </c>
      <c r="V537" t="s">
        <v>167</v>
      </c>
      <c r="W537">
        <v>1502020122</v>
      </c>
      <c r="X537" t="s">
        <v>70</v>
      </c>
      <c r="Y537" t="str">
        <f>VLOOKUP(W537,Sheet4!$A$5:$B$71,2,0)</f>
        <v>MAX UG NEW EV</v>
      </c>
      <c r="Z537">
        <v>87082900</v>
      </c>
      <c r="AA537">
        <v>10</v>
      </c>
      <c r="AB537" t="s">
        <v>159</v>
      </c>
      <c r="AC537" s="24">
        <v>9566.51</v>
      </c>
      <c r="AD537" t="s">
        <v>160</v>
      </c>
      <c r="AE537" s="24">
        <v>95665.1</v>
      </c>
      <c r="AF537">
        <v>0</v>
      </c>
      <c r="AG537" s="24">
        <v>95665.1</v>
      </c>
      <c r="AH537">
        <v>0</v>
      </c>
      <c r="AI537">
        <v>0</v>
      </c>
      <c r="AJ537">
        <v>0</v>
      </c>
      <c r="AK537">
        <v>0</v>
      </c>
      <c r="AL537" s="24">
        <v>95665.1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 s="24">
        <v>95665.1</v>
      </c>
      <c r="AV537">
        <v>0</v>
      </c>
      <c r="AW537">
        <v>0</v>
      </c>
      <c r="AX537">
        <v>311000</v>
      </c>
      <c r="AY537" t="s">
        <v>161</v>
      </c>
      <c r="AZ537">
        <v>0</v>
      </c>
      <c r="BA537">
        <v>61</v>
      </c>
      <c r="BB537">
        <v>-61</v>
      </c>
      <c r="BC537" t="s">
        <v>193</v>
      </c>
      <c r="BD537">
        <v>1509</v>
      </c>
      <c r="BE537" t="s">
        <v>169</v>
      </c>
      <c r="BF537">
        <v>5094085474</v>
      </c>
      <c r="BG537" t="s">
        <v>333</v>
      </c>
    </row>
    <row r="538" spans="1:59">
      <c r="A538">
        <v>1115</v>
      </c>
      <c r="B538">
        <v>1115</v>
      </c>
      <c r="C538">
        <v>10</v>
      </c>
      <c r="D538">
        <v>2</v>
      </c>
      <c r="E538" t="s">
        <v>152</v>
      </c>
      <c r="F538" t="s">
        <v>153</v>
      </c>
      <c r="G538" t="s">
        <v>154</v>
      </c>
      <c r="H538">
        <v>1526005795</v>
      </c>
      <c r="I538">
        <v>1000006052</v>
      </c>
      <c r="L538" t="s">
        <v>337</v>
      </c>
      <c r="M538">
        <v>5100001928</v>
      </c>
      <c r="N538" t="s">
        <v>155</v>
      </c>
      <c r="O538" t="s">
        <v>156</v>
      </c>
      <c r="P538">
        <v>4110057393</v>
      </c>
      <c r="Q538" t="s">
        <v>192</v>
      </c>
      <c r="R538">
        <v>5000</v>
      </c>
      <c r="S538" t="s">
        <v>166</v>
      </c>
      <c r="V538" t="s">
        <v>167</v>
      </c>
      <c r="W538">
        <v>1502020122</v>
      </c>
      <c r="X538" t="s">
        <v>70</v>
      </c>
      <c r="Y538" t="str">
        <f>VLOOKUP(W538,Sheet4!$A$5:$B$71,2,0)</f>
        <v>MAX UG NEW EV</v>
      </c>
      <c r="Z538">
        <v>87082900</v>
      </c>
      <c r="AA538">
        <v>10</v>
      </c>
      <c r="AB538" t="s">
        <v>159</v>
      </c>
      <c r="AC538" s="24">
        <v>9566.51</v>
      </c>
      <c r="AD538" t="s">
        <v>160</v>
      </c>
      <c r="AE538" s="24">
        <v>95665.1</v>
      </c>
      <c r="AF538">
        <v>0</v>
      </c>
      <c r="AG538" s="24">
        <v>95665.1</v>
      </c>
      <c r="AH538">
        <v>0</v>
      </c>
      <c r="AI538">
        <v>0</v>
      </c>
      <c r="AJ538">
        <v>0</v>
      </c>
      <c r="AK538">
        <v>0</v>
      </c>
      <c r="AL538" s="24">
        <v>95665.1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s="24">
        <v>95665.1</v>
      </c>
      <c r="AV538">
        <v>0</v>
      </c>
      <c r="AW538">
        <v>0</v>
      </c>
      <c r="AX538">
        <v>311000</v>
      </c>
      <c r="AY538" t="s">
        <v>161</v>
      </c>
      <c r="AZ538">
        <v>0</v>
      </c>
      <c r="BA538">
        <v>61</v>
      </c>
      <c r="BB538">
        <v>-61</v>
      </c>
      <c r="BC538" t="s">
        <v>193</v>
      </c>
      <c r="BD538">
        <v>1509</v>
      </c>
      <c r="BE538" t="s">
        <v>169</v>
      </c>
      <c r="BF538">
        <v>5094085063</v>
      </c>
      <c r="BG538" t="s">
        <v>333</v>
      </c>
    </row>
    <row r="539" spans="1:59">
      <c r="A539">
        <v>1115</v>
      </c>
      <c r="B539">
        <v>1115</v>
      </c>
      <c r="C539">
        <v>10</v>
      </c>
      <c r="D539">
        <v>2</v>
      </c>
      <c r="E539" t="s">
        <v>152</v>
      </c>
      <c r="F539" t="s">
        <v>153</v>
      </c>
      <c r="G539" t="s">
        <v>154</v>
      </c>
      <c r="H539">
        <v>1526005794</v>
      </c>
      <c r="I539">
        <v>1000006051</v>
      </c>
      <c r="L539" t="s">
        <v>337</v>
      </c>
      <c r="M539">
        <v>5100001928</v>
      </c>
      <c r="N539" t="s">
        <v>155</v>
      </c>
      <c r="O539" t="s">
        <v>156</v>
      </c>
      <c r="P539">
        <v>4110057393</v>
      </c>
      <c r="Q539" t="s">
        <v>192</v>
      </c>
      <c r="R539">
        <v>5000</v>
      </c>
      <c r="S539" t="s">
        <v>166</v>
      </c>
      <c r="V539" t="s">
        <v>167</v>
      </c>
      <c r="W539">
        <v>1502020122</v>
      </c>
      <c r="X539" t="s">
        <v>70</v>
      </c>
      <c r="Y539" t="str">
        <f>VLOOKUP(W539,Sheet4!$A$5:$B$71,2,0)</f>
        <v>MAX UG NEW EV</v>
      </c>
      <c r="Z539">
        <v>87082900</v>
      </c>
      <c r="AA539">
        <v>10</v>
      </c>
      <c r="AB539" t="s">
        <v>159</v>
      </c>
      <c r="AC539" s="24">
        <v>9566.51</v>
      </c>
      <c r="AD539" t="s">
        <v>160</v>
      </c>
      <c r="AE539" s="24">
        <v>95665.1</v>
      </c>
      <c r="AF539">
        <v>0</v>
      </c>
      <c r="AG539" s="24">
        <v>95665.1</v>
      </c>
      <c r="AH539">
        <v>0</v>
      </c>
      <c r="AI539">
        <v>0</v>
      </c>
      <c r="AJ539">
        <v>0</v>
      </c>
      <c r="AK539">
        <v>0</v>
      </c>
      <c r="AL539" s="24">
        <v>95665.1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s="24">
        <v>95665.1</v>
      </c>
      <c r="AV539">
        <v>0</v>
      </c>
      <c r="AW539">
        <v>0</v>
      </c>
      <c r="AX539">
        <v>311000</v>
      </c>
      <c r="AY539" t="s">
        <v>161</v>
      </c>
      <c r="AZ539">
        <v>0</v>
      </c>
      <c r="BA539">
        <v>61</v>
      </c>
      <c r="BB539">
        <v>-61</v>
      </c>
      <c r="BC539" t="s">
        <v>193</v>
      </c>
      <c r="BD539">
        <v>1509</v>
      </c>
      <c r="BE539" t="s">
        <v>169</v>
      </c>
      <c r="BF539">
        <v>5094085010</v>
      </c>
      <c r="BG539" t="s">
        <v>333</v>
      </c>
    </row>
    <row r="540" spans="1:59">
      <c r="A540">
        <v>1115</v>
      </c>
      <c r="B540">
        <v>1115</v>
      </c>
      <c r="C540">
        <v>10</v>
      </c>
      <c r="D540">
        <v>2</v>
      </c>
      <c r="E540" t="s">
        <v>152</v>
      </c>
      <c r="F540" t="s">
        <v>153</v>
      </c>
      <c r="G540" t="s">
        <v>154</v>
      </c>
      <c r="H540">
        <v>1526005793</v>
      </c>
      <c r="I540">
        <v>1000006050</v>
      </c>
      <c r="L540" t="s">
        <v>337</v>
      </c>
      <c r="M540">
        <v>5100001666</v>
      </c>
      <c r="N540" t="s">
        <v>155</v>
      </c>
      <c r="O540" t="s">
        <v>156</v>
      </c>
      <c r="P540">
        <v>4110027035</v>
      </c>
      <c r="Q540" t="s">
        <v>225</v>
      </c>
      <c r="R540">
        <v>5000</v>
      </c>
      <c r="S540" t="s">
        <v>166</v>
      </c>
      <c r="V540" t="s">
        <v>167</v>
      </c>
      <c r="W540">
        <v>1502020105</v>
      </c>
      <c r="X540" t="s">
        <v>226</v>
      </c>
      <c r="Y540" t="str">
        <f>VLOOKUP(W540,Sheet4!$A$5:$B$71,2,0)</f>
        <v>RE STYLING</v>
      </c>
      <c r="Z540">
        <v>87082900</v>
      </c>
      <c r="AA540">
        <v>15</v>
      </c>
      <c r="AB540" t="s">
        <v>159</v>
      </c>
      <c r="AC540" s="24">
        <v>6570.77</v>
      </c>
      <c r="AD540" t="s">
        <v>160</v>
      </c>
      <c r="AE540" s="24">
        <v>98561.55</v>
      </c>
      <c r="AF540">
        <v>0</v>
      </c>
      <c r="AG540" s="24">
        <v>98561.55</v>
      </c>
      <c r="AH540">
        <v>0</v>
      </c>
      <c r="AI540">
        <v>0</v>
      </c>
      <c r="AJ540">
        <v>0</v>
      </c>
      <c r="AK540">
        <v>0</v>
      </c>
      <c r="AL540" s="24">
        <v>98561.55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 s="24">
        <v>98561.55</v>
      </c>
      <c r="AV540">
        <v>0</v>
      </c>
      <c r="AW540">
        <v>0</v>
      </c>
      <c r="AX540">
        <v>311000</v>
      </c>
      <c r="AY540" t="s">
        <v>161</v>
      </c>
      <c r="AZ540">
        <v>49.75</v>
      </c>
      <c r="BA540">
        <v>49.75</v>
      </c>
      <c r="BB540">
        <v>0</v>
      </c>
      <c r="BC540" t="s">
        <v>227</v>
      </c>
      <c r="BD540">
        <v>1509</v>
      </c>
      <c r="BE540" t="s">
        <v>169</v>
      </c>
      <c r="BF540">
        <v>5094089238</v>
      </c>
      <c r="BG540" t="s">
        <v>333</v>
      </c>
    </row>
    <row r="541" spans="1:59">
      <c r="A541">
        <v>1115</v>
      </c>
      <c r="B541">
        <v>1115</v>
      </c>
      <c r="C541">
        <v>10</v>
      </c>
      <c r="D541">
        <v>2</v>
      </c>
      <c r="E541" t="s">
        <v>152</v>
      </c>
      <c r="F541" t="s">
        <v>153</v>
      </c>
      <c r="G541" t="s">
        <v>154</v>
      </c>
      <c r="H541">
        <v>1526005792</v>
      </c>
      <c r="I541">
        <v>1000006049</v>
      </c>
      <c r="L541" t="s">
        <v>337</v>
      </c>
      <c r="M541">
        <v>5100001666</v>
      </c>
      <c r="N541" t="s">
        <v>155</v>
      </c>
      <c r="O541" t="s">
        <v>156</v>
      </c>
      <c r="P541">
        <v>4110027035</v>
      </c>
      <c r="Q541" t="s">
        <v>225</v>
      </c>
      <c r="R541">
        <v>5000</v>
      </c>
      <c r="S541" t="s">
        <v>166</v>
      </c>
      <c r="V541" t="s">
        <v>167</v>
      </c>
      <c r="W541">
        <v>1502020105</v>
      </c>
      <c r="X541" t="s">
        <v>226</v>
      </c>
      <c r="Y541" t="str">
        <f>VLOOKUP(W541,Sheet4!$A$5:$B$71,2,0)</f>
        <v>RE STYLING</v>
      </c>
      <c r="Z541">
        <v>87082900</v>
      </c>
      <c r="AA541">
        <v>15</v>
      </c>
      <c r="AB541" t="s">
        <v>159</v>
      </c>
      <c r="AC541" s="24">
        <v>6570.77</v>
      </c>
      <c r="AD541" t="s">
        <v>160</v>
      </c>
      <c r="AE541" s="24">
        <v>98561.55</v>
      </c>
      <c r="AF541">
        <v>0</v>
      </c>
      <c r="AG541" s="24">
        <v>98561.55</v>
      </c>
      <c r="AH541">
        <v>0</v>
      </c>
      <c r="AI541">
        <v>0</v>
      </c>
      <c r="AJ541">
        <v>0</v>
      </c>
      <c r="AK541">
        <v>0</v>
      </c>
      <c r="AL541" s="24">
        <v>98561.55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 s="24">
        <v>98561.55</v>
      </c>
      <c r="AV541">
        <v>0</v>
      </c>
      <c r="AW541">
        <v>0</v>
      </c>
      <c r="AX541">
        <v>311000</v>
      </c>
      <c r="AY541" t="s">
        <v>161</v>
      </c>
      <c r="AZ541">
        <v>49.75</v>
      </c>
      <c r="BA541">
        <v>49.75</v>
      </c>
      <c r="BB541">
        <v>0</v>
      </c>
      <c r="BC541" t="s">
        <v>227</v>
      </c>
      <c r="BD541">
        <v>1509</v>
      </c>
      <c r="BE541" t="s">
        <v>169</v>
      </c>
      <c r="BF541">
        <v>5094098125</v>
      </c>
      <c r="BG541" t="s">
        <v>333</v>
      </c>
    </row>
    <row r="542" spans="1:59">
      <c r="A542">
        <v>1115</v>
      </c>
      <c r="B542">
        <v>1115</v>
      </c>
      <c r="C542">
        <v>10</v>
      </c>
      <c r="D542">
        <v>2</v>
      </c>
      <c r="E542" t="s">
        <v>152</v>
      </c>
      <c r="F542" t="s">
        <v>153</v>
      </c>
      <c r="G542" t="s">
        <v>154</v>
      </c>
      <c r="H542">
        <v>1526005791</v>
      </c>
      <c r="I542">
        <v>1000006048</v>
      </c>
      <c r="L542" t="s">
        <v>337</v>
      </c>
      <c r="M542">
        <v>5100001666</v>
      </c>
      <c r="N542" t="s">
        <v>155</v>
      </c>
      <c r="O542" t="s">
        <v>156</v>
      </c>
      <c r="P542">
        <v>4110027035</v>
      </c>
      <c r="Q542" t="s">
        <v>225</v>
      </c>
      <c r="R542">
        <v>5000</v>
      </c>
      <c r="S542" t="s">
        <v>166</v>
      </c>
      <c r="V542" t="s">
        <v>167</v>
      </c>
      <c r="W542">
        <v>1502020105</v>
      </c>
      <c r="X542" t="s">
        <v>226</v>
      </c>
      <c r="Y542" t="str">
        <f>VLOOKUP(W542,Sheet4!$A$5:$B$71,2,0)</f>
        <v>RE STYLING</v>
      </c>
      <c r="Z542">
        <v>87082900</v>
      </c>
      <c r="AA542">
        <v>15</v>
      </c>
      <c r="AB542" t="s">
        <v>159</v>
      </c>
      <c r="AC542" s="24">
        <v>6570.77</v>
      </c>
      <c r="AD542" t="s">
        <v>160</v>
      </c>
      <c r="AE542" s="24">
        <v>98561.55</v>
      </c>
      <c r="AF542">
        <v>0</v>
      </c>
      <c r="AG542" s="24">
        <v>98561.55</v>
      </c>
      <c r="AH542">
        <v>0</v>
      </c>
      <c r="AI542">
        <v>0</v>
      </c>
      <c r="AJ542">
        <v>0</v>
      </c>
      <c r="AK542">
        <v>0</v>
      </c>
      <c r="AL542" s="24">
        <v>98561.55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s="24">
        <v>98561.55</v>
      </c>
      <c r="AV542">
        <v>0</v>
      </c>
      <c r="AW542">
        <v>0</v>
      </c>
      <c r="AX542">
        <v>311000</v>
      </c>
      <c r="AY542" t="s">
        <v>161</v>
      </c>
      <c r="AZ542">
        <v>49.75</v>
      </c>
      <c r="BA542">
        <v>49.75</v>
      </c>
      <c r="BB542">
        <v>0</v>
      </c>
      <c r="BC542" t="s">
        <v>227</v>
      </c>
      <c r="BD542">
        <v>1509</v>
      </c>
      <c r="BE542" t="s">
        <v>169</v>
      </c>
      <c r="BF542">
        <v>5094097752</v>
      </c>
      <c r="BG542" t="s">
        <v>333</v>
      </c>
    </row>
    <row r="543" spans="1:59">
      <c r="A543">
        <v>1115</v>
      </c>
      <c r="B543">
        <v>1115</v>
      </c>
      <c r="C543">
        <v>10</v>
      </c>
      <c r="D543">
        <v>2</v>
      </c>
      <c r="E543" t="s">
        <v>152</v>
      </c>
      <c r="F543" t="s">
        <v>153</v>
      </c>
      <c r="G543" t="s">
        <v>154</v>
      </c>
      <c r="H543">
        <v>1526005790</v>
      </c>
      <c r="I543">
        <v>1000006047</v>
      </c>
      <c r="L543" t="s">
        <v>337</v>
      </c>
      <c r="M543">
        <v>5100001666</v>
      </c>
      <c r="N543" t="s">
        <v>155</v>
      </c>
      <c r="O543" t="s">
        <v>156</v>
      </c>
      <c r="P543">
        <v>4110027035</v>
      </c>
      <c r="Q543" t="s">
        <v>225</v>
      </c>
      <c r="R543">
        <v>5000</v>
      </c>
      <c r="S543" t="s">
        <v>166</v>
      </c>
      <c r="V543" t="s">
        <v>167</v>
      </c>
      <c r="W543">
        <v>1502020105</v>
      </c>
      <c r="X543" t="s">
        <v>226</v>
      </c>
      <c r="Y543" t="str">
        <f>VLOOKUP(W543,Sheet4!$A$5:$B$71,2,0)</f>
        <v>RE STYLING</v>
      </c>
      <c r="Z543">
        <v>87082900</v>
      </c>
      <c r="AA543">
        <v>15</v>
      </c>
      <c r="AB543" t="s">
        <v>159</v>
      </c>
      <c r="AC543" s="24">
        <v>6570.77</v>
      </c>
      <c r="AD543" t="s">
        <v>160</v>
      </c>
      <c r="AE543" s="24">
        <v>98561.55</v>
      </c>
      <c r="AF543">
        <v>0</v>
      </c>
      <c r="AG543" s="24">
        <v>98561.55</v>
      </c>
      <c r="AH543">
        <v>0</v>
      </c>
      <c r="AI543">
        <v>0</v>
      </c>
      <c r="AJ543">
        <v>0</v>
      </c>
      <c r="AK543">
        <v>0</v>
      </c>
      <c r="AL543" s="24">
        <v>98561.55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s="24">
        <v>98561.55</v>
      </c>
      <c r="AV543">
        <v>0</v>
      </c>
      <c r="AW543">
        <v>0</v>
      </c>
      <c r="AX543">
        <v>311000</v>
      </c>
      <c r="AY543" t="s">
        <v>161</v>
      </c>
      <c r="AZ543">
        <v>49.75</v>
      </c>
      <c r="BA543">
        <v>49.75</v>
      </c>
      <c r="BB543">
        <v>0</v>
      </c>
      <c r="BC543" t="s">
        <v>227</v>
      </c>
      <c r="BD543">
        <v>1509</v>
      </c>
      <c r="BE543" t="s">
        <v>169</v>
      </c>
      <c r="BF543">
        <v>5094097359</v>
      </c>
      <c r="BG543" t="s">
        <v>333</v>
      </c>
    </row>
    <row r="544" spans="1:59">
      <c r="A544">
        <v>1115</v>
      </c>
      <c r="B544">
        <v>1115</v>
      </c>
      <c r="C544">
        <v>10</v>
      </c>
      <c r="D544">
        <v>2</v>
      </c>
      <c r="E544" t="s">
        <v>152</v>
      </c>
      <c r="F544" t="s">
        <v>153</v>
      </c>
      <c r="G544" t="s">
        <v>154</v>
      </c>
      <c r="H544">
        <v>1526005789</v>
      </c>
      <c r="I544">
        <v>1000006046</v>
      </c>
      <c r="L544" t="s">
        <v>337</v>
      </c>
      <c r="M544">
        <v>5100001666</v>
      </c>
      <c r="N544" t="s">
        <v>155</v>
      </c>
      <c r="O544" t="s">
        <v>156</v>
      </c>
      <c r="P544">
        <v>4110027035</v>
      </c>
      <c r="Q544" t="s">
        <v>225</v>
      </c>
      <c r="R544">
        <v>5000</v>
      </c>
      <c r="S544" t="s">
        <v>166</v>
      </c>
      <c r="V544" t="s">
        <v>167</v>
      </c>
      <c r="W544">
        <v>1502020105</v>
      </c>
      <c r="X544" t="s">
        <v>226</v>
      </c>
      <c r="Y544" t="str">
        <f>VLOOKUP(W544,Sheet4!$A$5:$B$71,2,0)</f>
        <v>RE STYLING</v>
      </c>
      <c r="Z544">
        <v>87082900</v>
      </c>
      <c r="AA544">
        <v>15</v>
      </c>
      <c r="AB544" t="s">
        <v>159</v>
      </c>
      <c r="AC544" s="24">
        <v>6570.77</v>
      </c>
      <c r="AD544" t="s">
        <v>160</v>
      </c>
      <c r="AE544" s="24">
        <v>98561.55</v>
      </c>
      <c r="AF544">
        <v>0</v>
      </c>
      <c r="AG544" s="24">
        <v>98561.55</v>
      </c>
      <c r="AH544">
        <v>0</v>
      </c>
      <c r="AI544">
        <v>0</v>
      </c>
      <c r="AJ544">
        <v>0</v>
      </c>
      <c r="AK544">
        <v>0</v>
      </c>
      <c r="AL544" s="24">
        <v>98561.55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s="24">
        <v>98561.55</v>
      </c>
      <c r="AV544">
        <v>0</v>
      </c>
      <c r="AW544">
        <v>0</v>
      </c>
      <c r="AX544">
        <v>311000</v>
      </c>
      <c r="AY544" t="s">
        <v>161</v>
      </c>
      <c r="AZ544">
        <v>49.75</v>
      </c>
      <c r="BA544">
        <v>49.75</v>
      </c>
      <c r="BB544">
        <v>0</v>
      </c>
      <c r="BC544" t="s">
        <v>227</v>
      </c>
      <c r="BD544">
        <v>1509</v>
      </c>
      <c r="BE544" t="s">
        <v>169</v>
      </c>
      <c r="BF544">
        <v>5094089280</v>
      </c>
      <c r="BG544" t="s">
        <v>333</v>
      </c>
    </row>
    <row r="545" spans="1:59">
      <c r="A545">
        <v>1115</v>
      </c>
      <c r="B545">
        <v>1115</v>
      </c>
      <c r="C545">
        <v>10</v>
      </c>
      <c r="D545">
        <v>2</v>
      </c>
      <c r="E545" t="s">
        <v>152</v>
      </c>
      <c r="F545" t="s">
        <v>153</v>
      </c>
      <c r="G545" t="s">
        <v>154</v>
      </c>
      <c r="H545">
        <v>1526005788</v>
      </c>
      <c r="I545">
        <v>1000006045</v>
      </c>
      <c r="L545" t="s">
        <v>337</v>
      </c>
      <c r="M545">
        <v>5100001934</v>
      </c>
      <c r="N545" t="s">
        <v>155</v>
      </c>
      <c r="O545" t="s">
        <v>156</v>
      </c>
      <c r="P545">
        <v>4110058649</v>
      </c>
      <c r="Q545" t="s">
        <v>196</v>
      </c>
      <c r="R545">
        <v>5000</v>
      </c>
      <c r="S545" t="s">
        <v>166</v>
      </c>
      <c r="V545" t="s">
        <v>167</v>
      </c>
      <c r="W545">
        <v>1502040217</v>
      </c>
      <c r="X545" t="s">
        <v>197</v>
      </c>
      <c r="Y545" t="str">
        <f>VLOOKUP(W545,Sheet4!$A$5:$B$71,2,0)</f>
        <v>FRONT MUDGARD GOGO</v>
      </c>
      <c r="Z545">
        <v>87082900</v>
      </c>
      <c r="AA545">
        <v>100</v>
      </c>
      <c r="AB545" t="s">
        <v>159</v>
      </c>
      <c r="AC545">
        <v>380.93</v>
      </c>
      <c r="AD545" t="s">
        <v>160</v>
      </c>
      <c r="AE545" s="24">
        <v>38093</v>
      </c>
      <c r="AF545">
        <v>0</v>
      </c>
      <c r="AG545" s="24">
        <v>38093</v>
      </c>
      <c r="AH545">
        <v>0</v>
      </c>
      <c r="AI545">
        <v>0</v>
      </c>
      <c r="AJ545">
        <v>0</v>
      </c>
      <c r="AK545">
        <v>0</v>
      </c>
      <c r="AL545" s="24">
        <v>38093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 s="24">
        <v>38093</v>
      </c>
      <c r="AV545">
        <v>0</v>
      </c>
      <c r="AW545">
        <v>0</v>
      </c>
      <c r="AX545">
        <v>311000</v>
      </c>
      <c r="AY545" t="s">
        <v>161</v>
      </c>
      <c r="AZ545">
        <v>2.13</v>
      </c>
      <c r="BA545">
        <v>2.13</v>
      </c>
      <c r="BB545">
        <v>0</v>
      </c>
      <c r="BC545" t="s">
        <v>198</v>
      </c>
      <c r="BD545">
        <v>1511</v>
      </c>
      <c r="BE545" t="s">
        <v>174</v>
      </c>
      <c r="BF545">
        <v>5094084656</v>
      </c>
      <c r="BG545" t="s">
        <v>337</v>
      </c>
    </row>
    <row r="546" spans="1:59">
      <c r="A546">
        <v>1115</v>
      </c>
      <c r="B546">
        <v>1115</v>
      </c>
      <c r="C546">
        <v>10</v>
      </c>
      <c r="D546">
        <v>2</v>
      </c>
      <c r="E546" t="s">
        <v>152</v>
      </c>
      <c r="F546" t="s">
        <v>153</v>
      </c>
      <c r="G546" t="s">
        <v>154</v>
      </c>
      <c r="H546">
        <v>1526005787</v>
      </c>
      <c r="I546">
        <v>1000006044</v>
      </c>
      <c r="L546" t="s">
        <v>337</v>
      </c>
      <c r="M546">
        <v>5100001928</v>
      </c>
      <c r="N546" t="s">
        <v>155</v>
      </c>
      <c r="O546" t="s">
        <v>156</v>
      </c>
      <c r="P546">
        <v>4110057393</v>
      </c>
      <c r="Q546" t="s">
        <v>192</v>
      </c>
      <c r="R546">
        <v>5000</v>
      </c>
      <c r="S546" t="s">
        <v>166</v>
      </c>
      <c r="V546" t="s">
        <v>167</v>
      </c>
      <c r="W546">
        <v>1502020122</v>
      </c>
      <c r="X546" t="s">
        <v>70</v>
      </c>
      <c r="Y546" t="str">
        <f>VLOOKUP(W546,Sheet4!$A$5:$B$71,2,0)</f>
        <v>MAX UG NEW EV</v>
      </c>
      <c r="Z546">
        <v>87082900</v>
      </c>
      <c r="AA546">
        <v>10</v>
      </c>
      <c r="AB546" t="s">
        <v>159</v>
      </c>
      <c r="AC546" s="24">
        <v>9566.51</v>
      </c>
      <c r="AD546" t="s">
        <v>160</v>
      </c>
      <c r="AE546" s="24">
        <v>95665.1</v>
      </c>
      <c r="AF546">
        <v>0</v>
      </c>
      <c r="AG546" s="24">
        <v>95665.1</v>
      </c>
      <c r="AH546">
        <v>0</v>
      </c>
      <c r="AI546">
        <v>0</v>
      </c>
      <c r="AJ546">
        <v>0</v>
      </c>
      <c r="AK546">
        <v>0</v>
      </c>
      <c r="AL546" s="24">
        <v>95665.1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s="24">
        <v>95665.1</v>
      </c>
      <c r="AV546">
        <v>0</v>
      </c>
      <c r="AW546">
        <v>0</v>
      </c>
      <c r="AX546">
        <v>311000</v>
      </c>
      <c r="AY546" t="s">
        <v>161</v>
      </c>
      <c r="AZ546">
        <v>0</v>
      </c>
      <c r="BA546">
        <v>61</v>
      </c>
      <c r="BB546">
        <v>-61</v>
      </c>
      <c r="BC546" t="s">
        <v>193</v>
      </c>
      <c r="BD546">
        <v>1509</v>
      </c>
      <c r="BE546" t="s">
        <v>169</v>
      </c>
      <c r="BF546">
        <v>5094084715</v>
      </c>
      <c r="BG546" t="s">
        <v>337</v>
      </c>
    </row>
    <row r="547" spans="1:59">
      <c r="A547">
        <v>1115</v>
      </c>
      <c r="B547">
        <v>1115</v>
      </c>
      <c r="C547">
        <v>10</v>
      </c>
      <c r="D547">
        <v>2</v>
      </c>
      <c r="E547" t="s">
        <v>152</v>
      </c>
      <c r="F547" t="s">
        <v>153</v>
      </c>
      <c r="G547" t="s">
        <v>154</v>
      </c>
      <c r="H547">
        <v>1526005786</v>
      </c>
      <c r="I547">
        <v>1000006043</v>
      </c>
      <c r="L547" t="s">
        <v>337</v>
      </c>
      <c r="M547">
        <v>5100001928</v>
      </c>
      <c r="N547" t="s">
        <v>155</v>
      </c>
      <c r="O547" t="s">
        <v>156</v>
      </c>
      <c r="P547">
        <v>4110057393</v>
      </c>
      <c r="Q547" t="s">
        <v>192</v>
      </c>
      <c r="R547">
        <v>5000</v>
      </c>
      <c r="S547" t="s">
        <v>166</v>
      </c>
      <c r="V547" t="s">
        <v>167</v>
      </c>
      <c r="W547">
        <v>1502020122</v>
      </c>
      <c r="X547" t="s">
        <v>70</v>
      </c>
      <c r="Y547" t="str">
        <f>VLOOKUP(W547,Sheet4!$A$5:$B$71,2,0)</f>
        <v>MAX UG NEW EV</v>
      </c>
      <c r="Z547">
        <v>87082900</v>
      </c>
      <c r="AA547">
        <v>10</v>
      </c>
      <c r="AB547" t="s">
        <v>159</v>
      </c>
      <c r="AC547" s="24">
        <v>9566.51</v>
      </c>
      <c r="AD547" t="s">
        <v>160</v>
      </c>
      <c r="AE547" s="24">
        <v>95665.1</v>
      </c>
      <c r="AF547">
        <v>0</v>
      </c>
      <c r="AG547" s="24">
        <v>95665.1</v>
      </c>
      <c r="AH547">
        <v>0</v>
      </c>
      <c r="AI547">
        <v>0</v>
      </c>
      <c r="AJ547">
        <v>0</v>
      </c>
      <c r="AK547">
        <v>0</v>
      </c>
      <c r="AL547" s="24">
        <v>95665.1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 s="24">
        <v>95665.1</v>
      </c>
      <c r="AV547">
        <v>0</v>
      </c>
      <c r="AW547">
        <v>0</v>
      </c>
      <c r="AX547">
        <v>311000</v>
      </c>
      <c r="AY547" t="s">
        <v>161</v>
      </c>
      <c r="AZ547">
        <v>0</v>
      </c>
      <c r="BA547">
        <v>61</v>
      </c>
      <c r="BB547">
        <v>-61</v>
      </c>
      <c r="BC547" t="s">
        <v>193</v>
      </c>
      <c r="BD547">
        <v>1509</v>
      </c>
      <c r="BE547" t="s">
        <v>169</v>
      </c>
      <c r="BF547">
        <v>5094084538</v>
      </c>
      <c r="BG547" t="s">
        <v>337</v>
      </c>
    </row>
    <row r="548" spans="1:59">
      <c r="A548">
        <v>1115</v>
      </c>
      <c r="B548">
        <v>1115</v>
      </c>
      <c r="C548">
        <v>10</v>
      </c>
      <c r="D548">
        <v>2</v>
      </c>
      <c r="E548" t="s">
        <v>152</v>
      </c>
      <c r="F548" t="s">
        <v>153</v>
      </c>
      <c r="G548" t="s">
        <v>154</v>
      </c>
      <c r="H548">
        <v>1526005785</v>
      </c>
      <c r="I548">
        <v>1000006042</v>
      </c>
      <c r="L548" t="s">
        <v>337</v>
      </c>
      <c r="M548">
        <v>5100001928</v>
      </c>
      <c r="N548" t="s">
        <v>155</v>
      </c>
      <c r="O548" t="s">
        <v>156</v>
      </c>
      <c r="P548">
        <v>4110057393</v>
      </c>
      <c r="Q548" t="s">
        <v>192</v>
      </c>
      <c r="R548">
        <v>5000</v>
      </c>
      <c r="S548" t="s">
        <v>166</v>
      </c>
      <c r="V548" t="s">
        <v>167</v>
      </c>
      <c r="W548">
        <v>1502020122</v>
      </c>
      <c r="X548" t="s">
        <v>70</v>
      </c>
      <c r="Y548" t="str">
        <f>VLOOKUP(W548,Sheet4!$A$5:$B$71,2,0)</f>
        <v>MAX UG NEW EV</v>
      </c>
      <c r="Z548">
        <v>87082900</v>
      </c>
      <c r="AA548">
        <v>10</v>
      </c>
      <c r="AB548" t="s">
        <v>159</v>
      </c>
      <c r="AC548" s="24">
        <v>9566.51</v>
      </c>
      <c r="AD548" t="s">
        <v>160</v>
      </c>
      <c r="AE548" s="24">
        <v>95665.1</v>
      </c>
      <c r="AF548">
        <v>0</v>
      </c>
      <c r="AG548" s="24">
        <v>95665.1</v>
      </c>
      <c r="AH548">
        <v>0</v>
      </c>
      <c r="AI548">
        <v>0</v>
      </c>
      <c r="AJ548">
        <v>0</v>
      </c>
      <c r="AK548">
        <v>0</v>
      </c>
      <c r="AL548" s="24">
        <v>95665.1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s="24">
        <v>95665.1</v>
      </c>
      <c r="AV548">
        <v>0</v>
      </c>
      <c r="AW548">
        <v>0</v>
      </c>
      <c r="AX548">
        <v>311000</v>
      </c>
      <c r="AY548" t="s">
        <v>161</v>
      </c>
      <c r="AZ548">
        <v>0</v>
      </c>
      <c r="BA548">
        <v>61</v>
      </c>
      <c r="BB548">
        <v>-61</v>
      </c>
      <c r="BC548" t="s">
        <v>193</v>
      </c>
      <c r="BD548">
        <v>1509</v>
      </c>
      <c r="BE548" t="s">
        <v>169</v>
      </c>
      <c r="BF548">
        <v>5094082604</v>
      </c>
      <c r="BG548" t="s">
        <v>337</v>
      </c>
    </row>
    <row r="549" spans="1:59">
      <c r="A549">
        <v>1115</v>
      </c>
      <c r="B549">
        <v>1115</v>
      </c>
      <c r="C549">
        <v>10</v>
      </c>
      <c r="D549">
        <v>2</v>
      </c>
      <c r="E549" t="s">
        <v>152</v>
      </c>
      <c r="F549" t="s">
        <v>153</v>
      </c>
      <c r="G549" t="s">
        <v>154</v>
      </c>
      <c r="H549">
        <v>1526005784</v>
      </c>
      <c r="I549">
        <v>1000006041</v>
      </c>
      <c r="L549" t="s">
        <v>337</v>
      </c>
      <c r="M549">
        <v>5100001666</v>
      </c>
      <c r="N549" t="s">
        <v>155</v>
      </c>
      <c r="O549" t="s">
        <v>156</v>
      </c>
      <c r="P549">
        <v>4110027035</v>
      </c>
      <c r="Q549" t="s">
        <v>225</v>
      </c>
      <c r="R549">
        <v>5000</v>
      </c>
      <c r="S549" t="s">
        <v>166</v>
      </c>
      <c r="V549" t="s">
        <v>167</v>
      </c>
      <c r="W549">
        <v>1502020105</v>
      </c>
      <c r="X549" t="s">
        <v>226</v>
      </c>
      <c r="Y549" t="str">
        <f>VLOOKUP(W549,Sheet4!$A$5:$B$71,2,0)</f>
        <v>RE STYLING</v>
      </c>
      <c r="Z549">
        <v>87082900</v>
      </c>
      <c r="AA549">
        <v>15</v>
      </c>
      <c r="AB549" t="s">
        <v>159</v>
      </c>
      <c r="AC549" s="24">
        <v>6570.77</v>
      </c>
      <c r="AD549" t="s">
        <v>160</v>
      </c>
      <c r="AE549" s="24">
        <v>98561.55</v>
      </c>
      <c r="AF549">
        <v>0</v>
      </c>
      <c r="AG549" s="24">
        <v>98561.55</v>
      </c>
      <c r="AH549">
        <v>0</v>
      </c>
      <c r="AI549">
        <v>0</v>
      </c>
      <c r="AJ549">
        <v>0</v>
      </c>
      <c r="AK549">
        <v>0</v>
      </c>
      <c r="AL549" s="24">
        <v>98561.55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 s="24">
        <v>98561.55</v>
      </c>
      <c r="AV549">
        <v>0</v>
      </c>
      <c r="AW549">
        <v>0</v>
      </c>
      <c r="AX549">
        <v>311000</v>
      </c>
      <c r="AY549" t="s">
        <v>161</v>
      </c>
      <c r="AZ549">
        <v>49.75</v>
      </c>
      <c r="BA549">
        <v>49.75</v>
      </c>
      <c r="BB549">
        <v>0</v>
      </c>
      <c r="BC549" t="s">
        <v>227</v>
      </c>
      <c r="BD549">
        <v>1509</v>
      </c>
      <c r="BE549" t="s">
        <v>169</v>
      </c>
      <c r="BF549">
        <v>5094089016</v>
      </c>
      <c r="BG549" t="s">
        <v>333</v>
      </c>
    </row>
    <row r="550" spans="1:59">
      <c r="A550">
        <v>1115</v>
      </c>
      <c r="B550">
        <v>1115</v>
      </c>
      <c r="C550">
        <v>10</v>
      </c>
      <c r="D550">
        <v>2</v>
      </c>
      <c r="E550" t="s">
        <v>152</v>
      </c>
      <c r="F550" t="s">
        <v>153</v>
      </c>
      <c r="G550" t="s">
        <v>154</v>
      </c>
      <c r="H550">
        <v>1526005783</v>
      </c>
      <c r="I550">
        <v>1000006040</v>
      </c>
      <c r="L550" t="s">
        <v>337</v>
      </c>
      <c r="M550">
        <v>5100001666</v>
      </c>
      <c r="N550" t="s">
        <v>155</v>
      </c>
      <c r="O550" t="s">
        <v>156</v>
      </c>
      <c r="P550">
        <v>4110027035</v>
      </c>
      <c r="Q550" t="s">
        <v>225</v>
      </c>
      <c r="R550">
        <v>5000</v>
      </c>
      <c r="S550" t="s">
        <v>166</v>
      </c>
      <c r="V550" t="s">
        <v>167</v>
      </c>
      <c r="W550">
        <v>1502020105</v>
      </c>
      <c r="X550" t="s">
        <v>226</v>
      </c>
      <c r="Y550" t="str">
        <f>VLOOKUP(W550,Sheet4!$A$5:$B$71,2,0)</f>
        <v>RE STYLING</v>
      </c>
      <c r="Z550">
        <v>87082900</v>
      </c>
      <c r="AA550">
        <v>15</v>
      </c>
      <c r="AB550" t="s">
        <v>159</v>
      </c>
      <c r="AC550" s="24">
        <v>6570.77</v>
      </c>
      <c r="AD550" t="s">
        <v>160</v>
      </c>
      <c r="AE550" s="24">
        <v>98561.55</v>
      </c>
      <c r="AF550">
        <v>0</v>
      </c>
      <c r="AG550" s="24">
        <v>98561.55</v>
      </c>
      <c r="AH550">
        <v>0</v>
      </c>
      <c r="AI550">
        <v>0</v>
      </c>
      <c r="AJ550">
        <v>0</v>
      </c>
      <c r="AK550">
        <v>0</v>
      </c>
      <c r="AL550" s="24">
        <v>98561.55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s="24">
        <v>98561.55</v>
      </c>
      <c r="AV550">
        <v>0</v>
      </c>
      <c r="AW550">
        <v>0</v>
      </c>
      <c r="AX550">
        <v>311000</v>
      </c>
      <c r="AY550" t="s">
        <v>161</v>
      </c>
      <c r="AZ550">
        <v>49.75</v>
      </c>
      <c r="BA550">
        <v>49.75</v>
      </c>
      <c r="BB550">
        <v>0</v>
      </c>
      <c r="BC550" t="s">
        <v>227</v>
      </c>
      <c r="BD550">
        <v>1509</v>
      </c>
      <c r="BE550" t="s">
        <v>169</v>
      </c>
      <c r="BF550">
        <v>5094085535</v>
      </c>
      <c r="BG550" t="s">
        <v>333</v>
      </c>
    </row>
    <row r="551" spans="1:59">
      <c r="A551">
        <v>1115</v>
      </c>
      <c r="B551">
        <v>1115</v>
      </c>
      <c r="C551">
        <v>10</v>
      </c>
      <c r="D551">
        <v>2</v>
      </c>
      <c r="E551" t="s">
        <v>152</v>
      </c>
      <c r="F551" t="s">
        <v>153</v>
      </c>
      <c r="G551" t="s">
        <v>154</v>
      </c>
      <c r="H551">
        <v>1526005782</v>
      </c>
      <c r="I551">
        <v>1000006039</v>
      </c>
      <c r="L551" t="s">
        <v>337</v>
      </c>
      <c r="M551">
        <v>5100001666</v>
      </c>
      <c r="N551" t="s">
        <v>155</v>
      </c>
      <c r="O551" t="s">
        <v>156</v>
      </c>
      <c r="P551">
        <v>4110027035</v>
      </c>
      <c r="Q551" t="s">
        <v>225</v>
      </c>
      <c r="R551">
        <v>5000</v>
      </c>
      <c r="S551" t="s">
        <v>166</v>
      </c>
      <c r="V551" t="s">
        <v>167</v>
      </c>
      <c r="W551">
        <v>1502020105</v>
      </c>
      <c r="X551" t="s">
        <v>226</v>
      </c>
      <c r="Y551" t="str">
        <f>VLOOKUP(W551,Sheet4!$A$5:$B$71,2,0)</f>
        <v>RE STYLING</v>
      </c>
      <c r="Z551">
        <v>87082900</v>
      </c>
      <c r="AA551">
        <v>15</v>
      </c>
      <c r="AB551" t="s">
        <v>159</v>
      </c>
      <c r="AC551" s="24">
        <v>6570.77</v>
      </c>
      <c r="AD551" t="s">
        <v>160</v>
      </c>
      <c r="AE551" s="24">
        <v>98561.55</v>
      </c>
      <c r="AF551">
        <v>0</v>
      </c>
      <c r="AG551" s="24">
        <v>98561.55</v>
      </c>
      <c r="AH551">
        <v>0</v>
      </c>
      <c r="AI551">
        <v>0</v>
      </c>
      <c r="AJ551">
        <v>0</v>
      </c>
      <c r="AK551">
        <v>0</v>
      </c>
      <c r="AL551" s="24">
        <v>98561.55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 s="24">
        <v>98561.55</v>
      </c>
      <c r="AV551">
        <v>0</v>
      </c>
      <c r="AW551">
        <v>0</v>
      </c>
      <c r="AX551">
        <v>311000</v>
      </c>
      <c r="AY551" t="s">
        <v>161</v>
      </c>
      <c r="AZ551">
        <v>49.75</v>
      </c>
      <c r="BA551">
        <v>49.75</v>
      </c>
      <c r="BB551">
        <v>0</v>
      </c>
      <c r="BC551" t="s">
        <v>227</v>
      </c>
      <c r="BD551">
        <v>1509</v>
      </c>
      <c r="BE551" t="s">
        <v>169</v>
      </c>
      <c r="BF551">
        <v>5094089125</v>
      </c>
      <c r="BG551" t="s">
        <v>333</v>
      </c>
    </row>
    <row r="552" spans="1:59">
      <c r="A552">
        <v>1115</v>
      </c>
      <c r="B552">
        <v>1115</v>
      </c>
      <c r="C552">
        <v>10</v>
      </c>
      <c r="D552">
        <v>2</v>
      </c>
      <c r="E552" t="s">
        <v>152</v>
      </c>
      <c r="F552" t="s">
        <v>153</v>
      </c>
      <c r="G552" t="s">
        <v>154</v>
      </c>
      <c r="H552">
        <v>1526005781</v>
      </c>
      <c r="I552">
        <v>1000006038</v>
      </c>
      <c r="L552" t="s">
        <v>337</v>
      </c>
      <c r="M552">
        <v>5100001666</v>
      </c>
      <c r="N552" t="s">
        <v>155</v>
      </c>
      <c r="O552" t="s">
        <v>156</v>
      </c>
      <c r="P552">
        <v>4110027035</v>
      </c>
      <c r="Q552" t="s">
        <v>225</v>
      </c>
      <c r="R552">
        <v>5000</v>
      </c>
      <c r="S552" t="s">
        <v>166</v>
      </c>
      <c r="V552" t="s">
        <v>167</v>
      </c>
      <c r="W552">
        <v>1502020105</v>
      </c>
      <c r="X552" t="s">
        <v>226</v>
      </c>
      <c r="Y552" t="str">
        <f>VLOOKUP(W552,Sheet4!$A$5:$B$71,2,0)</f>
        <v>RE STYLING</v>
      </c>
      <c r="Z552">
        <v>87082900</v>
      </c>
      <c r="AA552">
        <v>15</v>
      </c>
      <c r="AB552" t="s">
        <v>159</v>
      </c>
      <c r="AC552" s="24">
        <v>6570.77</v>
      </c>
      <c r="AD552" t="s">
        <v>160</v>
      </c>
      <c r="AE552" s="24">
        <v>98561.55</v>
      </c>
      <c r="AF552">
        <v>0</v>
      </c>
      <c r="AG552" s="24">
        <v>98561.55</v>
      </c>
      <c r="AH552">
        <v>0</v>
      </c>
      <c r="AI552">
        <v>0</v>
      </c>
      <c r="AJ552">
        <v>0</v>
      </c>
      <c r="AK552">
        <v>0</v>
      </c>
      <c r="AL552" s="24">
        <v>98561.55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 s="24">
        <v>98561.55</v>
      </c>
      <c r="AV552">
        <v>0</v>
      </c>
      <c r="AW552">
        <v>0</v>
      </c>
      <c r="AX552">
        <v>311000</v>
      </c>
      <c r="AY552" t="s">
        <v>161</v>
      </c>
      <c r="AZ552">
        <v>49.75</v>
      </c>
      <c r="BA552">
        <v>49.75</v>
      </c>
      <c r="BB552">
        <v>0</v>
      </c>
      <c r="BC552" t="s">
        <v>227</v>
      </c>
      <c r="BD552">
        <v>1509</v>
      </c>
      <c r="BE552" t="s">
        <v>169</v>
      </c>
      <c r="BF552">
        <v>5094085303</v>
      </c>
      <c r="BG552" t="s">
        <v>333</v>
      </c>
    </row>
    <row r="553" spans="1:59">
      <c r="A553">
        <v>1115</v>
      </c>
      <c r="B553">
        <v>1115</v>
      </c>
      <c r="C553">
        <v>10</v>
      </c>
      <c r="D553">
        <v>2</v>
      </c>
      <c r="E553" t="s">
        <v>152</v>
      </c>
      <c r="F553" t="s">
        <v>153</v>
      </c>
      <c r="G553" t="s">
        <v>154</v>
      </c>
      <c r="H553">
        <v>1526005780</v>
      </c>
      <c r="I553">
        <v>1000006037</v>
      </c>
      <c r="L553" t="s">
        <v>337</v>
      </c>
      <c r="M553">
        <v>5100001899</v>
      </c>
      <c r="N553" t="s">
        <v>155</v>
      </c>
      <c r="O553" t="s">
        <v>156</v>
      </c>
      <c r="P553">
        <v>4110041854</v>
      </c>
      <c r="Q553" t="s">
        <v>172</v>
      </c>
      <c r="R553">
        <v>5000</v>
      </c>
      <c r="S553" t="s">
        <v>166</v>
      </c>
      <c r="V553" t="s">
        <v>167</v>
      </c>
      <c r="W553">
        <v>1502040267</v>
      </c>
      <c r="X553" t="s">
        <v>63</v>
      </c>
      <c r="Y553" t="str">
        <f>VLOOKUP(W553,Sheet4!$A$5:$B$71,2,0)</f>
        <v>DASH BOARD</v>
      </c>
      <c r="Z553">
        <v>87082900</v>
      </c>
      <c r="AA553">
        <v>416</v>
      </c>
      <c r="AB553" t="s">
        <v>159</v>
      </c>
      <c r="AC553">
        <v>290.89999999999998</v>
      </c>
      <c r="AD553" t="s">
        <v>160</v>
      </c>
      <c r="AE553" s="24">
        <v>121014.39999999999</v>
      </c>
      <c r="AF553">
        <v>0</v>
      </c>
      <c r="AG553" s="24">
        <v>121014.39999999999</v>
      </c>
      <c r="AH553">
        <v>0</v>
      </c>
      <c r="AI553">
        <v>0</v>
      </c>
      <c r="AJ553">
        <v>0</v>
      </c>
      <c r="AK553">
        <v>0</v>
      </c>
      <c r="AL553" s="24">
        <v>121014.39999999999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s="24">
        <v>121014.39999999999</v>
      </c>
      <c r="AV553">
        <v>0</v>
      </c>
      <c r="AW553">
        <v>0</v>
      </c>
      <c r="AX553">
        <v>311000</v>
      </c>
      <c r="AY553" t="s">
        <v>161</v>
      </c>
      <c r="AZ553">
        <v>4.5</v>
      </c>
      <c r="BA553">
        <v>4.5</v>
      </c>
      <c r="BB553">
        <v>0</v>
      </c>
      <c r="BC553" t="s">
        <v>173</v>
      </c>
      <c r="BD553">
        <v>1511</v>
      </c>
      <c r="BE553" t="s">
        <v>174</v>
      </c>
      <c r="BF553">
        <v>5094085306</v>
      </c>
      <c r="BG553" t="s">
        <v>333</v>
      </c>
    </row>
    <row r="554" spans="1:59">
      <c r="A554">
        <v>1115</v>
      </c>
      <c r="B554">
        <v>1115</v>
      </c>
      <c r="C554">
        <v>10</v>
      </c>
      <c r="D554">
        <v>2</v>
      </c>
      <c r="E554" t="s">
        <v>152</v>
      </c>
      <c r="F554" t="s">
        <v>153</v>
      </c>
      <c r="G554" t="s">
        <v>154</v>
      </c>
      <c r="H554">
        <v>1526005779</v>
      </c>
      <c r="I554">
        <v>1000006036</v>
      </c>
      <c r="L554" t="s">
        <v>337</v>
      </c>
      <c r="M554">
        <v>5100001924</v>
      </c>
      <c r="N554" t="s">
        <v>155</v>
      </c>
      <c r="O554" t="s">
        <v>156</v>
      </c>
      <c r="P554">
        <v>4110055642</v>
      </c>
      <c r="Q554" t="s">
        <v>199</v>
      </c>
      <c r="R554">
        <v>5000</v>
      </c>
      <c r="S554" t="s">
        <v>166</v>
      </c>
      <c r="V554" t="s">
        <v>167</v>
      </c>
      <c r="W554">
        <v>1502040314</v>
      </c>
      <c r="X554" t="s">
        <v>248</v>
      </c>
      <c r="Y554" t="str">
        <f>VLOOKUP(W554,Sheet4!$A$5:$B$71,2,0)</f>
        <v>Re Side Door</v>
      </c>
      <c r="Z554">
        <v>87082900</v>
      </c>
      <c r="AA554">
        <v>120</v>
      </c>
      <c r="AB554" t="s">
        <v>159</v>
      </c>
      <c r="AC554">
        <v>504.46</v>
      </c>
      <c r="AD554" t="s">
        <v>160</v>
      </c>
      <c r="AE554" s="24">
        <v>60535.199999999997</v>
      </c>
      <c r="AF554">
        <v>0</v>
      </c>
      <c r="AG554" s="24">
        <v>60535.199999999997</v>
      </c>
      <c r="AH554">
        <v>0</v>
      </c>
      <c r="AI554">
        <v>0</v>
      </c>
      <c r="AJ554">
        <v>0</v>
      </c>
      <c r="AK554">
        <v>0</v>
      </c>
      <c r="AL554" s="24">
        <v>60535.199999999997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s="24">
        <v>60535.199999999997</v>
      </c>
      <c r="AV554">
        <v>0</v>
      </c>
      <c r="AW554">
        <v>0</v>
      </c>
      <c r="AX554">
        <v>311000</v>
      </c>
      <c r="AY554" t="s">
        <v>161</v>
      </c>
      <c r="AZ554">
        <v>2.27</v>
      </c>
      <c r="BA554">
        <v>2.27</v>
      </c>
      <c r="BB554">
        <v>0</v>
      </c>
      <c r="BC554" t="s">
        <v>249</v>
      </c>
      <c r="BD554">
        <v>1511</v>
      </c>
      <c r="BE554" t="s">
        <v>174</v>
      </c>
      <c r="BF554">
        <v>5094084721</v>
      </c>
      <c r="BG554" t="s">
        <v>337</v>
      </c>
    </row>
    <row r="555" spans="1:59">
      <c r="A555">
        <v>1115</v>
      </c>
      <c r="B555">
        <v>1115</v>
      </c>
      <c r="C555">
        <v>10</v>
      </c>
      <c r="D555">
        <v>2</v>
      </c>
      <c r="E555" t="s">
        <v>152</v>
      </c>
      <c r="F555" t="s">
        <v>153</v>
      </c>
      <c r="G555" t="s">
        <v>154</v>
      </c>
      <c r="H555">
        <v>1526005778</v>
      </c>
      <c r="I555">
        <v>1000006035</v>
      </c>
      <c r="L555" t="s">
        <v>337</v>
      </c>
      <c r="M555">
        <v>5100001924</v>
      </c>
      <c r="N555" t="s">
        <v>155</v>
      </c>
      <c r="O555" t="s">
        <v>156</v>
      </c>
      <c r="P555">
        <v>4110055642</v>
      </c>
      <c r="Q555" t="s">
        <v>199</v>
      </c>
      <c r="R555">
        <v>5000</v>
      </c>
      <c r="S555" t="s">
        <v>166</v>
      </c>
      <c r="V555" t="s">
        <v>167</v>
      </c>
      <c r="W555">
        <v>1502040313</v>
      </c>
      <c r="X555" t="s">
        <v>246</v>
      </c>
      <c r="Y555" t="str">
        <f>VLOOKUP(W555,Sheet4!$A$5:$B$71,2,0)</f>
        <v>Re Side Door</v>
      </c>
      <c r="Z555">
        <v>87082900</v>
      </c>
      <c r="AA555">
        <v>120</v>
      </c>
      <c r="AB555" t="s">
        <v>159</v>
      </c>
      <c r="AC555">
        <v>504.46</v>
      </c>
      <c r="AD555" t="s">
        <v>160</v>
      </c>
      <c r="AE555" s="24">
        <v>60535.199999999997</v>
      </c>
      <c r="AF555">
        <v>0</v>
      </c>
      <c r="AG555" s="24">
        <v>60535.199999999997</v>
      </c>
      <c r="AH555">
        <v>0</v>
      </c>
      <c r="AI555">
        <v>0</v>
      </c>
      <c r="AJ555">
        <v>0</v>
      </c>
      <c r="AK555">
        <v>0</v>
      </c>
      <c r="AL555" s="24">
        <v>60535.199999999997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s="24">
        <v>60535.199999999997</v>
      </c>
      <c r="AV555">
        <v>0</v>
      </c>
      <c r="AW555">
        <v>0</v>
      </c>
      <c r="AX555">
        <v>311000</v>
      </c>
      <c r="AY555" t="s">
        <v>161</v>
      </c>
      <c r="AZ555">
        <v>2.27</v>
      </c>
      <c r="BA555">
        <v>2.27</v>
      </c>
      <c r="BB555">
        <v>0</v>
      </c>
      <c r="BC555" t="s">
        <v>247</v>
      </c>
      <c r="BD555">
        <v>1511</v>
      </c>
      <c r="BE555" t="s">
        <v>174</v>
      </c>
      <c r="BF555">
        <v>5094084720</v>
      </c>
      <c r="BG555" t="s">
        <v>337</v>
      </c>
    </row>
    <row r="556" spans="1:59">
      <c r="A556">
        <v>1115</v>
      </c>
      <c r="B556">
        <v>1115</v>
      </c>
      <c r="C556">
        <v>10</v>
      </c>
      <c r="D556">
        <v>2</v>
      </c>
      <c r="E556" t="s">
        <v>152</v>
      </c>
      <c r="F556" t="s">
        <v>153</v>
      </c>
      <c r="G556" t="s">
        <v>154</v>
      </c>
      <c r="H556">
        <v>1526005722</v>
      </c>
      <c r="I556">
        <v>1000005979</v>
      </c>
      <c r="L556" t="s">
        <v>337</v>
      </c>
      <c r="M556">
        <v>5100001928</v>
      </c>
      <c r="N556" t="s">
        <v>155</v>
      </c>
      <c r="O556" t="s">
        <v>156</v>
      </c>
      <c r="P556">
        <v>4110057393</v>
      </c>
      <c r="Q556" t="s">
        <v>192</v>
      </c>
      <c r="R556">
        <v>5000</v>
      </c>
      <c r="S556" t="s">
        <v>166</v>
      </c>
      <c r="V556" t="s">
        <v>167</v>
      </c>
      <c r="W556">
        <v>1502020122</v>
      </c>
      <c r="X556" t="s">
        <v>70</v>
      </c>
      <c r="Y556" t="str">
        <f>VLOOKUP(W556,Sheet4!$A$5:$B$71,2,0)</f>
        <v>MAX UG NEW EV</v>
      </c>
      <c r="Z556">
        <v>87082900</v>
      </c>
      <c r="AA556">
        <v>10</v>
      </c>
      <c r="AB556" t="s">
        <v>159</v>
      </c>
      <c r="AC556" s="24">
        <v>9566.51</v>
      </c>
      <c r="AD556" t="s">
        <v>160</v>
      </c>
      <c r="AE556" s="24">
        <v>95665.1</v>
      </c>
      <c r="AF556">
        <v>0</v>
      </c>
      <c r="AG556" s="24">
        <v>95665.1</v>
      </c>
      <c r="AH556">
        <v>0</v>
      </c>
      <c r="AI556">
        <v>0</v>
      </c>
      <c r="AJ556">
        <v>0</v>
      </c>
      <c r="AK556">
        <v>0</v>
      </c>
      <c r="AL556" s="24">
        <v>95665.1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s="24">
        <v>95665.1</v>
      </c>
      <c r="AV556">
        <v>0</v>
      </c>
      <c r="AW556">
        <v>0</v>
      </c>
      <c r="AX556">
        <v>311000</v>
      </c>
      <c r="AY556" t="s">
        <v>161</v>
      </c>
      <c r="AZ556">
        <v>0</v>
      </c>
      <c r="BA556">
        <v>61</v>
      </c>
      <c r="BB556">
        <v>-61</v>
      </c>
      <c r="BC556" t="s">
        <v>193</v>
      </c>
      <c r="BD556">
        <v>1509</v>
      </c>
      <c r="BE556" t="s">
        <v>169</v>
      </c>
      <c r="BF556">
        <v>5094079828</v>
      </c>
      <c r="BG556" t="s">
        <v>337</v>
      </c>
    </row>
    <row r="557" spans="1:59">
      <c r="A557">
        <v>1115</v>
      </c>
      <c r="B557">
        <v>1115</v>
      </c>
      <c r="C557">
        <v>10</v>
      </c>
      <c r="D557">
        <v>2</v>
      </c>
      <c r="E557" t="s">
        <v>152</v>
      </c>
      <c r="F557" t="s">
        <v>153</v>
      </c>
      <c r="G557" t="s">
        <v>154</v>
      </c>
      <c r="H557">
        <v>1526005672</v>
      </c>
      <c r="I557">
        <v>1000005918</v>
      </c>
      <c r="L557" t="s">
        <v>337</v>
      </c>
      <c r="M557">
        <v>5100001666</v>
      </c>
      <c r="N557" t="s">
        <v>155</v>
      </c>
      <c r="O557" t="s">
        <v>156</v>
      </c>
      <c r="P557">
        <v>4110027035</v>
      </c>
      <c r="Q557" t="s">
        <v>225</v>
      </c>
      <c r="R557">
        <v>5000</v>
      </c>
      <c r="S557" t="s">
        <v>166</v>
      </c>
      <c r="V557" t="s">
        <v>167</v>
      </c>
      <c r="W557">
        <v>1502020105</v>
      </c>
      <c r="X557" t="s">
        <v>226</v>
      </c>
      <c r="Y557" t="str">
        <f>VLOOKUP(W557,Sheet4!$A$5:$B$71,2,0)</f>
        <v>RE STYLING</v>
      </c>
      <c r="Z557">
        <v>87082900</v>
      </c>
      <c r="AA557">
        <v>15</v>
      </c>
      <c r="AB557" t="s">
        <v>159</v>
      </c>
      <c r="AC557" s="24">
        <v>6570.77</v>
      </c>
      <c r="AD557" t="s">
        <v>160</v>
      </c>
      <c r="AE557" s="24">
        <v>98561.55</v>
      </c>
      <c r="AF557">
        <v>0</v>
      </c>
      <c r="AG557" s="24">
        <v>98561.55</v>
      </c>
      <c r="AH557">
        <v>0</v>
      </c>
      <c r="AI557">
        <v>0</v>
      </c>
      <c r="AJ557">
        <v>0</v>
      </c>
      <c r="AK557">
        <v>0</v>
      </c>
      <c r="AL557" s="24">
        <v>98561.55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 s="24">
        <v>98561.55</v>
      </c>
      <c r="AV557">
        <v>0</v>
      </c>
      <c r="AW557">
        <v>0</v>
      </c>
      <c r="AX557">
        <v>311000</v>
      </c>
      <c r="AY557" t="s">
        <v>161</v>
      </c>
      <c r="AZ557">
        <v>49.75</v>
      </c>
      <c r="BA557">
        <v>49.75</v>
      </c>
      <c r="BB557">
        <v>0</v>
      </c>
      <c r="BC557" t="s">
        <v>227</v>
      </c>
      <c r="BD557">
        <v>1509</v>
      </c>
      <c r="BE557" t="s">
        <v>169</v>
      </c>
      <c r="BF557">
        <v>5094074029</v>
      </c>
      <c r="BG557" t="s">
        <v>337</v>
      </c>
    </row>
    <row r="558" spans="1:59">
      <c r="A558">
        <v>1115</v>
      </c>
      <c r="B558">
        <v>1115</v>
      </c>
      <c r="C558">
        <v>10</v>
      </c>
      <c r="D558">
        <v>2</v>
      </c>
      <c r="E558" t="s">
        <v>152</v>
      </c>
      <c r="F558" t="s">
        <v>153</v>
      </c>
      <c r="G558" t="s">
        <v>154</v>
      </c>
      <c r="H558">
        <v>1526005671</v>
      </c>
      <c r="I558">
        <v>1000005917</v>
      </c>
      <c r="L558" t="s">
        <v>337</v>
      </c>
      <c r="M558">
        <v>5100001666</v>
      </c>
      <c r="N558" t="s">
        <v>155</v>
      </c>
      <c r="O558" t="s">
        <v>156</v>
      </c>
      <c r="P558">
        <v>4110027035</v>
      </c>
      <c r="Q558" t="s">
        <v>225</v>
      </c>
      <c r="R558">
        <v>5000</v>
      </c>
      <c r="S558" t="s">
        <v>166</v>
      </c>
      <c r="V558" t="s">
        <v>167</v>
      </c>
      <c r="W558">
        <v>1502020105</v>
      </c>
      <c r="X558" t="s">
        <v>226</v>
      </c>
      <c r="Y558" t="str">
        <f>VLOOKUP(W558,Sheet4!$A$5:$B$71,2,0)</f>
        <v>RE STYLING</v>
      </c>
      <c r="Z558">
        <v>87082900</v>
      </c>
      <c r="AA558">
        <v>15</v>
      </c>
      <c r="AB558" t="s">
        <v>159</v>
      </c>
      <c r="AC558" s="24">
        <v>6570.77</v>
      </c>
      <c r="AD558" t="s">
        <v>160</v>
      </c>
      <c r="AE558" s="24">
        <v>98561.55</v>
      </c>
      <c r="AF558">
        <v>0</v>
      </c>
      <c r="AG558" s="24">
        <v>98561.55</v>
      </c>
      <c r="AH558">
        <v>0</v>
      </c>
      <c r="AI558">
        <v>0</v>
      </c>
      <c r="AJ558">
        <v>0</v>
      </c>
      <c r="AK558">
        <v>0</v>
      </c>
      <c r="AL558" s="24">
        <v>98561.55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 s="24">
        <v>98561.55</v>
      </c>
      <c r="AV558">
        <v>0</v>
      </c>
      <c r="AW558">
        <v>0</v>
      </c>
      <c r="AX558">
        <v>311000</v>
      </c>
      <c r="AY558" t="s">
        <v>161</v>
      </c>
      <c r="AZ558">
        <v>49.75</v>
      </c>
      <c r="BA558">
        <v>49.75</v>
      </c>
      <c r="BB558">
        <v>0</v>
      </c>
      <c r="BC558" t="s">
        <v>227</v>
      </c>
      <c r="BD558">
        <v>1509</v>
      </c>
      <c r="BE558" t="s">
        <v>169</v>
      </c>
      <c r="BF558">
        <v>5094075092</v>
      </c>
      <c r="BG558" t="s">
        <v>337</v>
      </c>
    </row>
    <row r="559" spans="1:59">
      <c r="A559">
        <v>1115</v>
      </c>
      <c r="B559">
        <v>1115</v>
      </c>
      <c r="C559">
        <v>10</v>
      </c>
      <c r="D559">
        <v>2</v>
      </c>
      <c r="E559" t="s">
        <v>152</v>
      </c>
      <c r="F559" t="s">
        <v>153</v>
      </c>
      <c r="G559" t="s">
        <v>154</v>
      </c>
      <c r="H559">
        <v>1526005670</v>
      </c>
      <c r="I559">
        <v>1000005916</v>
      </c>
      <c r="L559" t="s">
        <v>337</v>
      </c>
      <c r="M559">
        <v>5100001666</v>
      </c>
      <c r="N559" t="s">
        <v>155</v>
      </c>
      <c r="O559" t="s">
        <v>156</v>
      </c>
      <c r="P559">
        <v>4110027035</v>
      </c>
      <c r="Q559" t="s">
        <v>225</v>
      </c>
      <c r="R559">
        <v>5000</v>
      </c>
      <c r="S559" t="s">
        <v>166</v>
      </c>
      <c r="V559" t="s">
        <v>167</v>
      </c>
      <c r="W559">
        <v>1502020105</v>
      </c>
      <c r="X559" t="s">
        <v>226</v>
      </c>
      <c r="Y559" t="str">
        <f>VLOOKUP(W559,Sheet4!$A$5:$B$71,2,0)</f>
        <v>RE STYLING</v>
      </c>
      <c r="Z559">
        <v>87082900</v>
      </c>
      <c r="AA559">
        <v>15</v>
      </c>
      <c r="AB559" t="s">
        <v>159</v>
      </c>
      <c r="AC559" s="24">
        <v>6570.77</v>
      </c>
      <c r="AD559" t="s">
        <v>160</v>
      </c>
      <c r="AE559" s="24">
        <v>98561.55</v>
      </c>
      <c r="AF559">
        <v>0</v>
      </c>
      <c r="AG559" s="24">
        <v>98561.55</v>
      </c>
      <c r="AH559">
        <v>0</v>
      </c>
      <c r="AI559">
        <v>0</v>
      </c>
      <c r="AJ559">
        <v>0</v>
      </c>
      <c r="AK559">
        <v>0</v>
      </c>
      <c r="AL559" s="24">
        <v>98561.55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s="24">
        <v>98561.55</v>
      </c>
      <c r="AV559">
        <v>0</v>
      </c>
      <c r="AW559">
        <v>0</v>
      </c>
      <c r="AX559">
        <v>311000</v>
      </c>
      <c r="AY559" t="s">
        <v>161</v>
      </c>
      <c r="AZ559">
        <v>49.75</v>
      </c>
      <c r="BA559">
        <v>49.75</v>
      </c>
      <c r="BB559">
        <v>0</v>
      </c>
      <c r="BC559" t="s">
        <v>227</v>
      </c>
      <c r="BD559">
        <v>1509</v>
      </c>
      <c r="BE559" t="s">
        <v>169</v>
      </c>
      <c r="BF559">
        <v>5094075137</v>
      </c>
      <c r="BG559" t="s">
        <v>337</v>
      </c>
    </row>
    <row r="560" spans="1:59">
      <c r="A560">
        <v>1115</v>
      </c>
      <c r="B560">
        <v>1115</v>
      </c>
      <c r="C560">
        <v>10</v>
      </c>
      <c r="D560">
        <v>2</v>
      </c>
      <c r="E560" t="s">
        <v>152</v>
      </c>
      <c r="F560" t="s">
        <v>153</v>
      </c>
      <c r="G560" t="s">
        <v>154</v>
      </c>
      <c r="H560">
        <v>1526005669</v>
      </c>
      <c r="I560">
        <v>1000005915</v>
      </c>
      <c r="L560" t="s">
        <v>337</v>
      </c>
      <c r="M560">
        <v>5100001666</v>
      </c>
      <c r="N560" t="s">
        <v>155</v>
      </c>
      <c r="O560" t="s">
        <v>156</v>
      </c>
      <c r="P560">
        <v>4110027035</v>
      </c>
      <c r="Q560" t="s">
        <v>225</v>
      </c>
      <c r="R560">
        <v>5000</v>
      </c>
      <c r="S560" t="s">
        <v>166</v>
      </c>
      <c r="V560" t="s">
        <v>167</v>
      </c>
      <c r="W560">
        <v>1502020105</v>
      </c>
      <c r="X560" t="s">
        <v>226</v>
      </c>
      <c r="Y560" t="str">
        <f>VLOOKUP(W560,Sheet4!$A$5:$B$71,2,0)</f>
        <v>RE STYLING</v>
      </c>
      <c r="Z560">
        <v>87082900</v>
      </c>
      <c r="AA560">
        <v>15</v>
      </c>
      <c r="AB560" t="s">
        <v>159</v>
      </c>
      <c r="AC560" s="24">
        <v>6570.77</v>
      </c>
      <c r="AD560" t="s">
        <v>160</v>
      </c>
      <c r="AE560" s="24">
        <v>98561.55</v>
      </c>
      <c r="AF560">
        <v>0</v>
      </c>
      <c r="AG560" s="24">
        <v>98561.55</v>
      </c>
      <c r="AH560">
        <v>0</v>
      </c>
      <c r="AI560">
        <v>0</v>
      </c>
      <c r="AJ560">
        <v>0</v>
      </c>
      <c r="AK560">
        <v>0</v>
      </c>
      <c r="AL560" s="24">
        <v>98561.55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 s="24">
        <v>98561.55</v>
      </c>
      <c r="AV560">
        <v>0</v>
      </c>
      <c r="AW560">
        <v>0</v>
      </c>
      <c r="AX560">
        <v>311000</v>
      </c>
      <c r="AY560" t="s">
        <v>161</v>
      </c>
      <c r="AZ560">
        <v>49.75</v>
      </c>
      <c r="BA560">
        <v>49.75</v>
      </c>
      <c r="BB560">
        <v>0</v>
      </c>
      <c r="BC560" t="s">
        <v>227</v>
      </c>
      <c r="BD560">
        <v>1509</v>
      </c>
      <c r="BE560" t="s">
        <v>169</v>
      </c>
      <c r="BF560">
        <v>5094075544</v>
      </c>
      <c r="BG560" t="s">
        <v>337</v>
      </c>
    </row>
    <row r="561" spans="1:59">
      <c r="A561">
        <v>1115</v>
      </c>
      <c r="B561">
        <v>1115</v>
      </c>
      <c r="C561">
        <v>10</v>
      </c>
      <c r="D561">
        <v>2</v>
      </c>
      <c r="E561" t="s">
        <v>152</v>
      </c>
      <c r="F561" t="s">
        <v>153</v>
      </c>
      <c r="G561" t="s">
        <v>154</v>
      </c>
      <c r="H561">
        <v>1526005668</v>
      </c>
      <c r="I561">
        <v>1000005914</v>
      </c>
      <c r="L561" t="s">
        <v>337</v>
      </c>
      <c r="M561">
        <v>5100001666</v>
      </c>
      <c r="N561" t="s">
        <v>155</v>
      </c>
      <c r="O561" t="s">
        <v>156</v>
      </c>
      <c r="P561">
        <v>4110027035</v>
      </c>
      <c r="Q561" t="s">
        <v>225</v>
      </c>
      <c r="R561">
        <v>5000</v>
      </c>
      <c r="S561" t="s">
        <v>166</v>
      </c>
      <c r="V561" t="s">
        <v>167</v>
      </c>
      <c r="W561">
        <v>1502020105</v>
      </c>
      <c r="X561" t="s">
        <v>226</v>
      </c>
      <c r="Y561" t="str">
        <f>VLOOKUP(W561,Sheet4!$A$5:$B$71,2,0)</f>
        <v>RE STYLING</v>
      </c>
      <c r="Z561">
        <v>87082900</v>
      </c>
      <c r="AA561">
        <v>15</v>
      </c>
      <c r="AB561" t="s">
        <v>159</v>
      </c>
      <c r="AC561" s="24">
        <v>6570.77</v>
      </c>
      <c r="AD561" t="s">
        <v>160</v>
      </c>
      <c r="AE561" s="24">
        <v>98561.55</v>
      </c>
      <c r="AF561">
        <v>0</v>
      </c>
      <c r="AG561" s="24">
        <v>98561.55</v>
      </c>
      <c r="AH561">
        <v>0</v>
      </c>
      <c r="AI561">
        <v>0</v>
      </c>
      <c r="AJ561">
        <v>0</v>
      </c>
      <c r="AK561">
        <v>0</v>
      </c>
      <c r="AL561" s="24">
        <v>98561.55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 s="24">
        <v>98561.55</v>
      </c>
      <c r="AV561">
        <v>0</v>
      </c>
      <c r="AW561">
        <v>0</v>
      </c>
      <c r="AX561">
        <v>311000</v>
      </c>
      <c r="AY561" t="s">
        <v>161</v>
      </c>
      <c r="AZ561">
        <v>49.75</v>
      </c>
      <c r="BA561">
        <v>49.75</v>
      </c>
      <c r="BB561">
        <v>0</v>
      </c>
      <c r="BC561" t="s">
        <v>227</v>
      </c>
      <c r="BD561">
        <v>1509</v>
      </c>
      <c r="BE561" t="s">
        <v>169</v>
      </c>
      <c r="BF561">
        <v>5094075048</v>
      </c>
      <c r="BG561" t="s">
        <v>337</v>
      </c>
    </row>
    <row r="562" spans="1:59">
      <c r="A562">
        <v>1115</v>
      </c>
      <c r="B562">
        <v>1115</v>
      </c>
      <c r="C562">
        <v>10</v>
      </c>
      <c r="D562">
        <v>2</v>
      </c>
      <c r="E562" t="s">
        <v>152</v>
      </c>
      <c r="F562" t="s">
        <v>153</v>
      </c>
      <c r="G562" t="s">
        <v>154</v>
      </c>
      <c r="H562">
        <v>1526005667</v>
      </c>
      <c r="I562">
        <v>1000005913</v>
      </c>
      <c r="L562" t="s">
        <v>337</v>
      </c>
      <c r="M562">
        <v>5100001227</v>
      </c>
      <c r="N562" t="s">
        <v>155</v>
      </c>
      <c r="O562" t="s">
        <v>156</v>
      </c>
      <c r="P562">
        <v>4110011319</v>
      </c>
      <c r="Q562" t="s">
        <v>175</v>
      </c>
      <c r="R562">
        <v>5000</v>
      </c>
      <c r="S562" t="s">
        <v>166</v>
      </c>
      <c r="V562" t="s">
        <v>167</v>
      </c>
      <c r="W562">
        <v>1502020074</v>
      </c>
      <c r="X562" t="s">
        <v>28</v>
      </c>
      <c r="Y562" t="str">
        <f>VLOOKUP(W562,Sheet4!$A$5:$B$71,2,0)</f>
        <v>MAX UG NEW</v>
      </c>
      <c r="Z562">
        <v>87082900</v>
      </c>
      <c r="AA562">
        <v>10</v>
      </c>
      <c r="AB562" t="s">
        <v>159</v>
      </c>
      <c r="AC562" s="24">
        <v>9397.5</v>
      </c>
      <c r="AD562" t="s">
        <v>160</v>
      </c>
      <c r="AE562" s="24">
        <v>93975</v>
      </c>
      <c r="AF562">
        <v>0</v>
      </c>
      <c r="AG562" s="24">
        <v>93975</v>
      </c>
      <c r="AH562">
        <v>0</v>
      </c>
      <c r="AI562">
        <v>0</v>
      </c>
      <c r="AJ562">
        <v>0</v>
      </c>
      <c r="AK562">
        <v>0</v>
      </c>
      <c r="AL562" s="24">
        <v>93975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s="24">
        <v>93975</v>
      </c>
      <c r="AV562">
        <v>0</v>
      </c>
      <c r="AW562">
        <v>0</v>
      </c>
      <c r="AX562">
        <v>311000</v>
      </c>
      <c r="AY562" t="s">
        <v>161</v>
      </c>
      <c r="AZ562">
        <v>69.5</v>
      </c>
      <c r="BA562">
        <v>69.5</v>
      </c>
      <c r="BB562">
        <v>0</v>
      </c>
      <c r="BC562" t="s">
        <v>176</v>
      </c>
      <c r="BD562">
        <v>1509</v>
      </c>
      <c r="BE562" t="s">
        <v>169</v>
      </c>
      <c r="BF562">
        <v>5094076643</v>
      </c>
      <c r="BG562" t="s">
        <v>337</v>
      </c>
    </row>
    <row r="563" spans="1:59">
      <c r="A563">
        <v>1115</v>
      </c>
      <c r="B563">
        <v>1115</v>
      </c>
      <c r="C563">
        <v>10</v>
      </c>
      <c r="D563">
        <v>2</v>
      </c>
      <c r="E563" t="s">
        <v>152</v>
      </c>
      <c r="F563" t="s">
        <v>153</v>
      </c>
      <c r="G563" t="s">
        <v>154</v>
      </c>
      <c r="H563">
        <v>1526005666</v>
      </c>
      <c r="I563">
        <v>1000005912</v>
      </c>
      <c r="L563" t="s">
        <v>337</v>
      </c>
      <c r="M563">
        <v>5100001227</v>
      </c>
      <c r="N563" t="s">
        <v>155</v>
      </c>
      <c r="O563" t="s">
        <v>156</v>
      </c>
      <c r="P563">
        <v>4110011319</v>
      </c>
      <c r="Q563" t="s">
        <v>175</v>
      </c>
      <c r="R563">
        <v>5000</v>
      </c>
      <c r="S563" t="s">
        <v>166</v>
      </c>
      <c r="V563" t="s">
        <v>167</v>
      </c>
      <c r="W563">
        <v>1502020074</v>
      </c>
      <c r="X563" t="s">
        <v>28</v>
      </c>
      <c r="Y563" t="str">
        <f>VLOOKUP(W563,Sheet4!$A$5:$B$71,2,0)</f>
        <v>MAX UG NEW</v>
      </c>
      <c r="Z563">
        <v>87082900</v>
      </c>
      <c r="AA563">
        <v>10</v>
      </c>
      <c r="AB563" t="s">
        <v>159</v>
      </c>
      <c r="AC563" s="24">
        <v>9397.5</v>
      </c>
      <c r="AD563" t="s">
        <v>160</v>
      </c>
      <c r="AE563" s="24">
        <v>93975</v>
      </c>
      <c r="AF563">
        <v>0</v>
      </c>
      <c r="AG563" s="24">
        <v>93975</v>
      </c>
      <c r="AH563">
        <v>0</v>
      </c>
      <c r="AI563">
        <v>0</v>
      </c>
      <c r="AJ563">
        <v>0</v>
      </c>
      <c r="AK563">
        <v>0</v>
      </c>
      <c r="AL563" s="24">
        <v>93975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s="24">
        <v>93975</v>
      </c>
      <c r="AV563">
        <v>0</v>
      </c>
      <c r="AW563">
        <v>0</v>
      </c>
      <c r="AX563">
        <v>311000</v>
      </c>
      <c r="AY563" t="s">
        <v>161</v>
      </c>
      <c r="AZ563">
        <v>69.5</v>
      </c>
      <c r="BA563">
        <v>69.5</v>
      </c>
      <c r="BB563">
        <v>0</v>
      </c>
      <c r="BC563" t="s">
        <v>176</v>
      </c>
      <c r="BD563">
        <v>1509</v>
      </c>
      <c r="BE563" t="s">
        <v>169</v>
      </c>
      <c r="BF563">
        <v>5094079251</v>
      </c>
      <c r="BG563" t="s">
        <v>337</v>
      </c>
    </row>
    <row r="564" spans="1:59">
      <c r="A564">
        <v>1115</v>
      </c>
      <c r="B564">
        <v>1115</v>
      </c>
      <c r="C564">
        <v>10</v>
      </c>
      <c r="D564">
        <v>2</v>
      </c>
      <c r="E564" t="s">
        <v>152</v>
      </c>
      <c r="F564" t="s">
        <v>153</v>
      </c>
      <c r="G564" t="s">
        <v>154</v>
      </c>
      <c r="H564">
        <v>1526005665</v>
      </c>
      <c r="I564">
        <v>1000005911</v>
      </c>
      <c r="L564" t="s">
        <v>337</v>
      </c>
      <c r="M564">
        <v>5100001227</v>
      </c>
      <c r="N564" t="s">
        <v>155</v>
      </c>
      <c r="O564" t="s">
        <v>156</v>
      </c>
      <c r="P564">
        <v>4110011319</v>
      </c>
      <c r="Q564" t="s">
        <v>175</v>
      </c>
      <c r="R564">
        <v>5000</v>
      </c>
      <c r="S564" t="s">
        <v>166</v>
      </c>
      <c r="V564" t="s">
        <v>167</v>
      </c>
      <c r="W564">
        <v>1502020074</v>
      </c>
      <c r="X564" t="s">
        <v>28</v>
      </c>
      <c r="Y564" t="str">
        <f>VLOOKUP(W564,Sheet4!$A$5:$B$71,2,0)</f>
        <v>MAX UG NEW</v>
      </c>
      <c r="Z564">
        <v>87082900</v>
      </c>
      <c r="AA564">
        <v>10</v>
      </c>
      <c r="AB564" t="s">
        <v>159</v>
      </c>
      <c r="AC564" s="24">
        <v>9397.5</v>
      </c>
      <c r="AD564" t="s">
        <v>160</v>
      </c>
      <c r="AE564" s="24">
        <v>93975</v>
      </c>
      <c r="AF564">
        <v>0</v>
      </c>
      <c r="AG564" s="24">
        <v>93975</v>
      </c>
      <c r="AH564">
        <v>0</v>
      </c>
      <c r="AI564">
        <v>0</v>
      </c>
      <c r="AJ564">
        <v>0</v>
      </c>
      <c r="AK564">
        <v>0</v>
      </c>
      <c r="AL564" s="24">
        <v>93975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s="24">
        <v>93975</v>
      </c>
      <c r="AV564">
        <v>0</v>
      </c>
      <c r="AW564">
        <v>0</v>
      </c>
      <c r="AX564">
        <v>311000</v>
      </c>
      <c r="AY564" t="s">
        <v>161</v>
      </c>
      <c r="AZ564">
        <v>69.5</v>
      </c>
      <c r="BA564">
        <v>69.5</v>
      </c>
      <c r="BB564">
        <v>0</v>
      </c>
      <c r="BC564" t="s">
        <v>176</v>
      </c>
      <c r="BD564">
        <v>1509</v>
      </c>
      <c r="BE564" t="s">
        <v>169</v>
      </c>
      <c r="BF564">
        <v>5094079704</v>
      </c>
      <c r="BG564" t="s">
        <v>337</v>
      </c>
    </row>
    <row r="565" spans="1:59">
      <c r="A565">
        <v>1115</v>
      </c>
      <c r="B565">
        <v>1115</v>
      </c>
      <c r="C565">
        <v>10</v>
      </c>
      <c r="D565">
        <v>2</v>
      </c>
      <c r="E565" t="s">
        <v>152</v>
      </c>
      <c r="F565" t="s">
        <v>153</v>
      </c>
      <c r="G565" t="s">
        <v>154</v>
      </c>
      <c r="H565">
        <v>1526005664</v>
      </c>
      <c r="I565">
        <v>1000005910</v>
      </c>
      <c r="L565" t="s">
        <v>337</v>
      </c>
      <c r="M565">
        <v>5100001227</v>
      </c>
      <c r="N565" t="s">
        <v>155</v>
      </c>
      <c r="O565" t="s">
        <v>156</v>
      </c>
      <c r="P565">
        <v>4110011319</v>
      </c>
      <c r="Q565" t="s">
        <v>175</v>
      </c>
      <c r="R565">
        <v>5000</v>
      </c>
      <c r="S565" t="s">
        <v>166</v>
      </c>
      <c r="V565" t="s">
        <v>167</v>
      </c>
      <c r="W565">
        <v>1502020074</v>
      </c>
      <c r="X565" t="s">
        <v>28</v>
      </c>
      <c r="Y565" t="str">
        <f>VLOOKUP(W565,Sheet4!$A$5:$B$71,2,0)</f>
        <v>MAX UG NEW</v>
      </c>
      <c r="Z565">
        <v>87082900</v>
      </c>
      <c r="AA565">
        <v>10</v>
      </c>
      <c r="AB565" t="s">
        <v>159</v>
      </c>
      <c r="AC565" s="24">
        <v>9397.5</v>
      </c>
      <c r="AD565" t="s">
        <v>160</v>
      </c>
      <c r="AE565" s="24">
        <v>93975</v>
      </c>
      <c r="AF565">
        <v>0</v>
      </c>
      <c r="AG565" s="24">
        <v>93975</v>
      </c>
      <c r="AH565">
        <v>0</v>
      </c>
      <c r="AI565">
        <v>0</v>
      </c>
      <c r="AJ565">
        <v>0</v>
      </c>
      <c r="AK565">
        <v>0</v>
      </c>
      <c r="AL565" s="24">
        <v>93975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s="24">
        <v>93975</v>
      </c>
      <c r="AV565">
        <v>0</v>
      </c>
      <c r="AW565">
        <v>0</v>
      </c>
      <c r="AX565">
        <v>311000</v>
      </c>
      <c r="AY565" t="s">
        <v>161</v>
      </c>
      <c r="AZ565">
        <v>69.5</v>
      </c>
      <c r="BA565">
        <v>69.5</v>
      </c>
      <c r="BB565">
        <v>0</v>
      </c>
      <c r="BC565" t="s">
        <v>176</v>
      </c>
      <c r="BD565">
        <v>1509</v>
      </c>
      <c r="BE565" t="s">
        <v>169</v>
      </c>
      <c r="BF565">
        <v>5094072601</v>
      </c>
      <c r="BG565" t="s">
        <v>337</v>
      </c>
    </row>
    <row r="566" spans="1:59">
      <c r="A566">
        <v>1115</v>
      </c>
      <c r="B566">
        <v>1115</v>
      </c>
      <c r="C566">
        <v>10</v>
      </c>
      <c r="D566">
        <v>2</v>
      </c>
      <c r="E566" t="s">
        <v>152</v>
      </c>
      <c r="F566" t="s">
        <v>153</v>
      </c>
      <c r="G566" t="s">
        <v>154</v>
      </c>
      <c r="H566">
        <v>1526005663</v>
      </c>
      <c r="I566">
        <v>1000005909</v>
      </c>
      <c r="L566" t="s">
        <v>337</v>
      </c>
      <c r="M566">
        <v>5100001955</v>
      </c>
      <c r="N566" t="s">
        <v>155</v>
      </c>
      <c r="O566" t="s">
        <v>156</v>
      </c>
      <c r="P566">
        <v>5500001432</v>
      </c>
      <c r="Q566" t="s">
        <v>320</v>
      </c>
      <c r="R566">
        <v>5356</v>
      </c>
      <c r="S566" t="s">
        <v>158</v>
      </c>
      <c r="W566">
        <v>1104040829</v>
      </c>
      <c r="X566" t="s">
        <v>321</v>
      </c>
      <c r="Y566" t="s">
        <v>339</v>
      </c>
      <c r="Z566">
        <v>87141090</v>
      </c>
      <c r="AA566">
        <v>300</v>
      </c>
      <c r="AB566" t="s">
        <v>159</v>
      </c>
      <c r="AC566">
        <v>136.6</v>
      </c>
      <c r="AD566" t="s">
        <v>160</v>
      </c>
      <c r="AE566" s="24">
        <v>40980</v>
      </c>
      <c r="AF566">
        <v>0</v>
      </c>
      <c r="AG566" s="24">
        <v>40980</v>
      </c>
      <c r="AH566">
        <v>0</v>
      </c>
      <c r="AI566">
        <v>0</v>
      </c>
      <c r="AJ566">
        <v>0</v>
      </c>
      <c r="AK566">
        <v>0</v>
      </c>
      <c r="AL566" s="24">
        <v>40980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 s="24">
        <v>40980</v>
      </c>
      <c r="AV566">
        <v>0</v>
      </c>
      <c r="AW566">
        <v>0</v>
      </c>
      <c r="AX566">
        <v>311003</v>
      </c>
      <c r="AY566" t="s">
        <v>322</v>
      </c>
      <c r="AZ566">
        <v>2.62</v>
      </c>
      <c r="BA566">
        <v>2.62</v>
      </c>
      <c r="BB566">
        <v>0</v>
      </c>
      <c r="BC566">
        <v>2000000894</v>
      </c>
      <c r="BD566">
        <v>1123</v>
      </c>
      <c r="BE566" t="s">
        <v>323</v>
      </c>
      <c r="BF566" t="s">
        <v>163</v>
      </c>
      <c r="BG566" t="s">
        <v>164</v>
      </c>
    </row>
    <row r="567" spans="1:59">
      <c r="A567">
        <v>1115</v>
      </c>
      <c r="B567">
        <v>1115</v>
      </c>
      <c r="C567">
        <v>10</v>
      </c>
      <c r="D567">
        <v>2</v>
      </c>
      <c r="E567" t="s">
        <v>152</v>
      </c>
      <c r="F567" t="s">
        <v>153</v>
      </c>
      <c r="G567" t="s">
        <v>154</v>
      </c>
      <c r="H567">
        <v>1526005662</v>
      </c>
      <c r="I567">
        <v>1000005908</v>
      </c>
      <c r="L567" t="s">
        <v>337</v>
      </c>
      <c r="M567">
        <v>5100001227</v>
      </c>
      <c r="N567" t="s">
        <v>155</v>
      </c>
      <c r="O567" t="s">
        <v>156</v>
      </c>
      <c r="P567">
        <v>4110011319</v>
      </c>
      <c r="Q567" t="s">
        <v>175</v>
      </c>
      <c r="R567">
        <v>5000</v>
      </c>
      <c r="S567" t="s">
        <v>166</v>
      </c>
      <c r="V567" t="s">
        <v>167</v>
      </c>
      <c r="W567">
        <v>1502020074</v>
      </c>
      <c r="X567" t="s">
        <v>28</v>
      </c>
      <c r="Y567" t="str">
        <f>VLOOKUP(W567,Sheet4!$A$5:$B$71,2,0)</f>
        <v>MAX UG NEW</v>
      </c>
      <c r="Z567">
        <v>87082900</v>
      </c>
      <c r="AA567">
        <v>10</v>
      </c>
      <c r="AB567" t="s">
        <v>159</v>
      </c>
      <c r="AC567" s="24">
        <v>9397.5</v>
      </c>
      <c r="AD567" t="s">
        <v>160</v>
      </c>
      <c r="AE567" s="24">
        <v>93975</v>
      </c>
      <c r="AF567">
        <v>0</v>
      </c>
      <c r="AG567" s="24">
        <v>93975</v>
      </c>
      <c r="AH567">
        <v>0</v>
      </c>
      <c r="AI567">
        <v>0</v>
      </c>
      <c r="AJ567">
        <v>0</v>
      </c>
      <c r="AK567">
        <v>0</v>
      </c>
      <c r="AL567" s="24">
        <v>93975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s="24">
        <v>93975</v>
      </c>
      <c r="AV567">
        <v>0</v>
      </c>
      <c r="AW567">
        <v>0</v>
      </c>
      <c r="AX567">
        <v>311000</v>
      </c>
      <c r="AY567" t="s">
        <v>161</v>
      </c>
      <c r="AZ567">
        <v>69.5</v>
      </c>
      <c r="BA567">
        <v>69.5</v>
      </c>
      <c r="BB567">
        <v>0</v>
      </c>
      <c r="BC567" t="s">
        <v>176</v>
      </c>
      <c r="BD567">
        <v>1509</v>
      </c>
      <c r="BE567" t="s">
        <v>169</v>
      </c>
      <c r="BF567">
        <v>5094071465</v>
      </c>
      <c r="BG567" t="s">
        <v>337</v>
      </c>
    </row>
    <row r="568" spans="1:59">
      <c r="A568">
        <v>1115</v>
      </c>
      <c r="B568">
        <v>1115</v>
      </c>
      <c r="C568">
        <v>10</v>
      </c>
      <c r="D568">
        <v>2</v>
      </c>
      <c r="E568" t="s">
        <v>152</v>
      </c>
      <c r="F568" t="s">
        <v>153</v>
      </c>
      <c r="G568" t="s">
        <v>154</v>
      </c>
      <c r="H568">
        <v>1526005661</v>
      </c>
      <c r="I568">
        <v>1000005907</v>
      </c>
      <c r="L568" t="s">
        <v>337</v>
      </c>
      <c r="M568">
        <v>5100001227</v>
      </c>
      <c r="N568" t="s">
        <v>155</v>
      </c>
      <c r="O568" t="s">
        <v>156</v>
      </c>
      <c r="P568">
        <v>4110011319</v>
      </c>
      <c r="Q568" t="s">
        <v>175</v>
      </c>
      <c r="R568">
        <v>5000</v>
      </c>
      <c r="S568" t="s">
        <v>166</v>
      </c>
      <c r="V568" t="s">
        <v>167</v>
      </c>
      <c r="W568">
        <v>1502020074</v>
      </c>
      <c r="X568" t="s">
        <v>28</v>
      </c>
      <c r="Y568" t="str">
        <f>VLOOKUP(W568,Sheet4!$A$5:$B$71,2,0)</f>
        <v>MAX UG NEW</v>
      </c>
      <c r="Z568">
        <v>87082900</v>
      </c>
      <c r="AA568">
        <v>10</v>
      </c>
      <c r="AB568" t="s">
        <v>159</v>
      </c>
      <c r="AC568" s="24">
        <v>9397.5</v>
      </c>
      <c r="AD568" t="s">
        <v>160</v>
      </c>
      <c r="AE568" s="24">
        <v>93975</v>
      </c>
      <c r="AF568">
        <v>0</v>
      </c>
      <c r="AG568" s="24">
        <v>93975</v>
      </c>
      <c r="AH568">
        <v>0</v>
      </c>
      <c r="AI568">
        <v>0</v>
      </c>
      <c r="AJ568">
        <v>0</v>
      </c>
      <c r="AK568">
        <v>0</v>
      </c>
      <c r="AL568" s="24">
        <v>93975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 s="24">
        <v>93975</v>
      </c>
      <c r="AV568">
        <v>0</v>
      </c>
      <c r="AW568">
        <v>0</v>
      </c>
      <c r="AX568">
        <v>311000</v>
      </c>
      <c r="AY568" t="s">
        <v>161</v>
      </c>
      <c r="AZ568">
        <v>69.5</v>
      </c>
      <c r="BA568">
        <v>69.5</v>
      </c>
      <c r="BB568">
        <v>0</v>
      </c>
      <c r="BC568" t="s">
        <v>176</v>
      </c>
      <c r="BD568">
        <v>1509</v>
      </c>
      <c r="BE568" t="s">
        <v>169</v>
      </c>
      <c r="BF568">
        <v>5094072636</v>
      </c>
      <c r="BG568" t="s">
        <v>337</v>
      </c>
    </row>
    <row r="569" spans="1:59">
      <c r="A569">
        <v>1115</v>
      </c>
      <c r="B569">
        <v>1115</v>
      </c>
      <c r="C569">
        <v>10</v>
      </c>
      <c r="D569">
        <v>2</v>
      </c>
      <c r="E569" t="s">
        <v>152</v>
      </c>
      <c r="F569" t="s">
        <v>153</v>
      </c>
      <c r="G569" t="s">
        <v>154</v>
      </c>
      <c r="H569">
        <v>1526005660</v>
      </c>
      <c r="I569">
        <v>1000005906</v>
      </c>
      <c r="L569" t="s">
        <v>337</v>
      </c>
      <c r="M569">
        <v>5100001227</v>
      </c>
      <c r="N569" t="s">
        <v>155</v>
      </c>
      <c r="O569" t="s">
        <v>156</v>
      </c>
      <c r="P569">
        <v>4110011319</v>
      </c>
      <c r="Q569" t="s">
        <v>175</v>
      </c>
      <c r="R569">
        <v>5000</v>
      </c>
      <c r="S569" t="s">
        <v>166</v>
      </c>
      <c r="V569" t="s">
        <v>167</v>
      </c>
      <c r="W569">
        <v>1502020074</v>
      </c>
      <c r="X569" t="s">
        <v>28</v>
      </c>
      <c r="Y569" t="str">
        <f>VLOOKUP(W569,Sheet4!$A$5:$B$71,2,0)</f>
        <v>MAX UG NEW</v>
      </c>
      <c r="Z569">
        <v>87082900</v>
      </c>
      <c r="AA569">
        <v>10</v>
      </c>
      <c r="AB569" t="s">
        <v>159</v>
      </c>
      <c r="AC569" s="24">
        <v>9397.5</v>
      </c>
      <c r="AD569" t="s">
        <v>160</v>
      </c>
      <c r="AE569" s="24">
        <v>93975</v>
      </c>
      <c r="AF569">
        <v>0</v>
      </c>
      <c r="AG569" s="24">
        <v>93975</v>
      </c>
      <c r="AH569">
        <v>0</v>
      </c>
      <c r="AI569">
        <v>0</v>
      </c>
      <c r="AJ569">
        <v>0</v>
      </c>
      <c r="AK569">
        <v>0</v>
      </c>
      <c r="AL569" s="24">
        <v>93975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s="24">
        <v>93975</v>
      </c>
      <c r="AV569">
        <v>0</v>
      </c>
      <c r="AW569">
        <v>0</v>
      </c>
      <c r="AX569">
        <v>311000</v>
      </c>
      <c r="AY569" t="s">
        <v>161</v>
      </c>
      <c r="AZ569">
        <v>69.5</v>
      </c>
      <c r="BA569">
        <v>69.5</v>
      </c>
      <c r="BB569">
        <v>0</v>
      </c>
      <c r="BC569" t="s">
        <v>176</v>
      </c>
      <c r="BD569">
        <v>1509</v>
      </c>
      <c r="BE569" t="s">
        <v>169</v>
      </c>
      <c r="BF569">
        <v>5094071543</v>
      </c>
      <c r="BG569" t="s">
        <v>337</v>
      </c>
    </row>
    <row r="570" spans="1:59">
      <c r="A570">
        <v>1115</v>
      </c>
      <c r="B570">
        <v>1115</v>
      </c>
      <c r="C570">
        <v>10</v>
      </c>
      <c r="D570">
        <v>2</v>
      </c>
      <c r="E570" t="s">
        <v>152</v>
      </c>
      <c r="F570" t="s">
        <v>153</v>
      </c>
      <c r="G570" t="s">
        <v>154</v>
      </c>
      <c r="H570">
        <v>1526005659</v>
      </c>
      <c r="I570">
        <v>1000005905</v>
      </c>
      <c r="L570" t="s">
        <v>337</v>
      </c>
      <c r="M570">
        <v>5100001227</v>
      </c>
      <c r="N570" t="s">
        <v>155</v>
      </c>
      <c r="O570" t="s">
        <v>156</v>
      </c>
      <c r="P570">
        <v>4110011319</v>
      </c>
      <c r="Q570" t="s">
        <v>175</v>
      </c>
      <c r="R570">
        <v>5000</v>
      </c>
      <c r="S570" t="s">
        <v>166</v>
      </c>
      <c r="V570" t="s">
        <v>167</v>
      </c>
      <c r="W570">
        <v>1502020074</v>
      </c>
      <c r="X570" t="s">
        <v>28</v>
      </c>
      <c r="Y570" t="str">
        <f>VLOOKUP(W570,Sheet4!$A$5:$B$71,2,0)</f>
        <v>MAX UG NEW</v>
      </c>
      <c r="Z570">
        <v>87082900</v>
      </c>
      <c r="AA570">
        <v>10</v>
      </c>
      <c r="AB570" t="s">
        <v>159</v>
      </c>
      <c r="AC570" s="24">
        <v>9397.5</v>
      </c>
      <c r="AD570" t="s">
        <v>160</v>
      </c>
      <c r="AE570" s="24">
        <v>93975</v>
      </c>
      <c r="AF570">
        <v>0</v>
      </c>
      <c r="AG570" s="24">
        <v>93975</v>
      </c>
      <c r="AH570">
        <v>0</v>
      </c>
      <c r="AI570">
        <v>0</v>
      </c>
      <c r="AJ570">
        <v>0</v>
      </c>
      <c r="AK570">
        <v>0</v>
      </c>
      <c r="AL570" s="24">
        <v>93975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 s="24">
        <v>93975</v>
      </c>
      <c r="AV570">
        <v>0</v>
      </c>
      <c r="AW570">
        <v>0</v>
      </c>
      <c r="AX570">
        <v>311000</v>
      </c>
      <c r="AY570" t="s">
        <v>161</v>
      </c>
      <c r="AZ570">
        <v>69.5</v>
      </c>
      <c r="BA570">
        <v>69.5</v>
      </c>
      <c r="BB570">
        <v>0</v>
      </c>
      <c r="BC570" t="s">
        <v>176</v>
      </c>
      <c r="BD570">
        <v>1509</v>
      </c>
      <c r="BE570" t="s">
        <v>169</v>
      </c>
      <c r="BF570">
        <v>5094071528</v>
      </c>
      <c r="BG570" t="s">
        <v>337</v>
      </c>
    </row>
    <row r="571" spans="1:59">
      <c r="A571">
        <v>1115</v>
      </c>
      <c r="B571">
        <v>1115</v>
      </c>
      <c r="C571">
        <v>10</v>
      </c>
      <c r="D571">
        <v>2</v>
      </c>
      <c r="E571" t="s">
        <v>152</v>
      </c>
      <c r="F571" t="s">
        <v>153</v>
      </c>
      <c r="G571" t="s">
        <v>154</v>
      </c>
      <c r="H571">
        <v>1526005658</v>
      </c>
      <c r="I571">
        <v>1000005904</v>
      </c>
      <c r="L571" t="s">
        <v>337</v>
      </c>
      <c r="M571">
        <v>5100001666</v>
      </c>
      <c r="N571" t="s">
        <v>155</v>
      </c>
      <c r="O571" t="s">
        <v>156</v>
      </c>
      <c r="P571">
        <v>4110027035</v>
      </c>
      <c r="Q571" t="s">
        <v>225</v>
      </c>
      <c r="R571">
        <v>5000</v>
      </c>
      <c r="S571" t="s">
        <v>166</v>
      </c>
      <c r="V571" t="s">
        <v>167</v>
      </c>
      <c r="W571">
        <v>1502020105</v>
      </c>
      <c r="X571" t="s">
        <v>226</v>
      </c>
      <c r="Y571" t="str">
        <f>VLOOKUP(W571,Sheet4!$A$5:$B$71,2,0)</f>
        <v>RE STYLING</v>
      </c>
      <c r="Z571">
        <v>87082900</v>
      </c>
      <c r="AA571">
        <v>15</v>
      </c>
      <c r="AB571" t="s">
        <v>159</v>
      </c>
      <c r="AC571" s="24">
        <v>6570.77</v>
      </c>
      <c r="AD571" t="s">
        <v>160</v>
      </c>
      <c r="AE571" s="24">
        <v>98561.55</v>
      </c>
      <c r="AF571">
        <v>0</v>
      </c>
      <c r="AG571" s="24">
        <v>98561.55</v>
      </c>
      <c r="AH571">
        <v>0</v>
      </c>
      <c r="AI571">
        <v>0</v>
      </c>
      <c r="AJ571">
        <v>0</v>
      </c>
      <c r="AK571">
        <v>0</v>
      </c>
      <c r="AL571" s="24">
        <v>98561.55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 s="24">
        <v>98561.55</v>
      </c>
      <c r="AV571">
        <v>0</v>
      </c>
      <c r="AW571">
        <v>0</v>
      </c>
      <c r="AX571">
        <v>311000</v>
      </c>
      <c r="AY571" t="s">
        <v>161</v>
      </c>
      <c r="AZ571">
        <v>49.75</v>
      </c>
      <c r="BA571">
        <v>49.75</v>
      </c>
      <c r="BB571">
        <v>0</v>
      </c>
      <c r="BC571" t="s">
        <v>227</v>
      </c>
      <c r="BD571">
        <v>1509</v>
      </c>
      <c r="BE571" t="s">
        <v>169</v>
      </c>
      <c r="BF571">
        <v>5094071521</v>
      </c>
      <c r="BG571" t="s">
        <v>337</v>
      </c>
    </row>
    <row r="572" spans="1:59">
      <c r="A572">
        <v>1115</v>
      </c>
      <c r="B572">
        <v>1115</v>
      </c>
      <c r="C572">
        <v>10</v>
      </c>
      <c r="D572">
        <v>2</v>
      </c>
      <c r="E572" t="s">
        <v>152</v>
      </c>
      <c r="F572" t="s">
        <v>153</v>
      </c>
      <c r="G572" t="s">
        <v>154</v>
      </c>
      <c r="H572">
        <v>1526005657</v>
      </c>
      <c r="I572">
        <v>1000005903</v>
      </c>
      <c r="L572" t="s">
        <v>337</v>
      </c>
      <c r="M572">
        <v>5100001666</v>
      </c>
      <c r="N572" t="s">
        <v>155</v>
      </c>
      <c r="O572" t="s">
        <v>156</v>
      </c>
      <c r="P572">
        <v>4110027035</v>
      </c>
      <c r="Q572" t="s">
        <v>225</v>
      </c>
      <c r="R572">
        <v>5000</v>
      </c>
      <c r="S572" t="s">
        <v>166</v>
      </c>
      <c r="V572" t="s">
        <v>167</v>
      </c>
      <c r="W572">
        <v>1502020105</v>
      </c>
      <c r="X572" t="s">
        <v>226</v>
      </c>
      <c r="Y572" t="str">
        <f>VLOOKUP(W572,Sheet4!$A$5:$B$71,2,0)</f>
        <v>RE STYLING</v>
      </c>
      <c r="Z572">
        <v>87082900</v>
      </c>
      <c r="AA572">
        <v>15</v>
      </c>
      <c r="AB572" t="s">
        <v>159</v>
      </c>
      <c r="AC572" s="24">
        <v>6570.77</v>
      </c>
      <c r="AD572" t="s">
        <v>160</v>
      </c>
      <c r="AE572" s="24">
        <v>98561.55</v>
      </c>
      <c r="AF572">
        <v>0</v>
      </c>
      <c r="AG572" s="24">
        <v>98561.55</v>
      </c>
      <c r="AH572">
        <v>0</v>
      </c>
      <c r="AI572">
        <v>0</v>
      </c>
      <c r="AJ572">
        <v>0</v>
      </c>
      <c r="AK572">
        <v>0</v>
      </c>
      <c r="AL572" s="24">
        <v>98561.55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 s="24">
        <v>98561.55</v>
      </c>
      <c r="AV572">
        <v>0</v>
      </c>
      <c r="AW572">
        <v>0</v>
      </c>
      <c r="AX572">
        <v>311000</v>
      </c>
      <c r="AY572" t="s">
        <v>161</v>
      </c>
      <c r="AZ572">
        <v>49.75</v>
      </c>
      <c r="BA572">
        <v>49.75</v>
      </c>
      <c r="BB572">
        <v>0</v>
      </c>
      <c r="BC572" t="s">
        <v>227</v>
      </c>
      <c r="BD572">
        <v>1509</v>
      </c>
      <c r="BE572" t="s">
        <v>169</v>
      </c>
      <c r="BF572">
        <v>5094074950</v>
      </c>
      <c r="BG572" t="s">
        <v>337</v>
      </c>
    </row>
    <row r="573" spans="1:59">
      <c r="A573">
        <v>1115</v>
      </c>
      <c r="B573">
        <v>1115</v>
      </c>
      <c r="C573">
        <v>10</v>
      </c>
      <c r="D573">
        <v>2</v>
      </c>
      <c r="E573" t="s">
        <v>152</v>
      </c>
      <c r="F573" t="s">
        <v>153</v>
      </c>
      <c r="G573" t="s">
        <v>154</v>
      </c>
      <c r="H573">
        <v>1526005656</v>
      </c>
      <c r="I573">
        <v>1000005902</v>
      </c>
      <c r="L573" t="s">
        <v>337</v>
      </c>
      <c r="M573">
        <v>5100001666</v>
      </c>
      <c r="N573" t="s">
        <v>155</v>
      </c>
      <c r="O573" t="s">
        <v>156</v>
      </c>
      <c r="P573">
        <v>4110027035</v>
      </c>
      <c r="Q573" t="s">
        <v>225</v>
      </c>
      <c r="R573">
        <v>5000</v>
      </c>
      <c r="S573" t="s">
        <v>166</v>
      </c>
      <c r="V573" t="s">
        <v>167</v>
      </c>
      <c r="W573">
        <v>1502020105</v>
      </c>
      <c r="X573" t="s">
        <v>226</v>
      </c>
      <c r="Y573" t="str">
        <f>VLOOKUP(W573,Sheet4!$A$5:$B$71,2,0)</f>
        <v>RE STYLING</v>
      </c>
      <c r="Z573">
        <v>87082900</v>
      </c>
      <c r="AA573">
        <v>15</v>
      </c>
      <c r="AB573" t="s">
        <v>159</v>
      </c>
      <c r="AC573" s="24">
        <v>6570.77</v>
      </c>
      <c r="AD573" t="s">
        <v>160</v>
      </c>
      <c r="AE573" s="24">
        <v>98561.55</v>
      </c>
      <c r="AF573">
        <v>0</v>
      </c>
      <c r="AG573" s="24">
        <v>98561.55</v>
      </c>
      <c r="AH573">
        <v>0</v>
      </c>
      <c r="AI573">
        <v>0</v>
      </c>
      <c r="AJ573">
        <v>0</v>
      </c>
      <c r="AK573">
        <v>0</v>
      </c>
      <c r="AL573" s="24">
        <v>98561.55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s="24">
        <v>98561.55</v>
      </c>
      <c r="AV573">
        <v>0</v>
      </c>
      <c r="AW573">
        <v>0</v>
      </c>
      <c r="AX573">
        <v>311000</v>
      </c>
      <c r="AY573" t="s">
        <v>161</v>
      </c>
      <c r="AZ573">
        <v>49.75</v>
      </c>
      <c r="BA573">
        <v>49.75</v>
      </c>
      <c r="BB573">
        <v>0</v>
      </c>
      <c r="BC573" t="s">
        <v>227</v>
      </c>
      <c r="BD573">
        <v>1509</v>
      </c>
      <c r="BE573" t="s">
        <v>169</v>
      </c>
      <c r="BF573">
        <v>5094071500</v>
      </c>
      <c r="BG573" t="s">
        <v>337</v>
      </c>
    </row>
    <row r="574" spans="1:59">
      <c r="A574">
        <v>1115</v>
      </c>
      <c r="B574">
        <v>1115</v>
      </c>
      <c r="C574">
        <v>10</v>
      </c>
      <c r="D574">
        <v>2</v>
      </c>
      <c r="E574" t="s">
        <v>152</v>
      </c>
      <c r="F574" t="s">
        <v>153</v>
      </c>
      <c r="G574" t="s">
        <v>154</v>
      </c>
      <c r="H574">
        <v>1526005655</v>
      </c>
      <c r="I574">
        <v>1000005901</v>
      </c>
      <c r="L574" t="s">
        <v>337</v>
      </c>
      <c r="M574">
        <v>5100001666</v>
      </c>
      <c r="N574" t="s">
        <v>155</v>
      </c>
      <c r="O574" t="s">
        <v>156</v>
      </c>
      <c r="P574">
        <v>4110027035</v>
      </c>
      <c r="Q574" t="s">
        <v>225</v>
      </c>
      <c r="R574">
        <v>5000</v>
      </c>
      <c r="S574" t="s">
        <v>166</v>
      </c>
      <c r="V574" t="s">
        <v>167</v>
      </c>
      <c r="W574">
        <v>1502020105</v>
      </c>
      <c r="X574" t="s">
        <v>226</v>
      </c>
      <c r="Y574" t="str">
        <f>VLOOKUP(W574,Sheet4!$A$5:$B$71,2,0)</f>
        <v>RE STYLING</v>
      </c>
      <c r="Z574">
        <v>87082900</v>
      </c>
      <c r="AA574">
        <v>15</v>
      </c>
      <c r="AB574" t="s">
        <v>159</v>
      </c>
      <c r="AC574" s="24">
        <v>6570.77</v>
      </c>
      <c r="AD574" t="s">
        <v>160</v>
      </c>
      <c r="AE574" s="24">
        <v>98561.55</v>
      </c>
      <c r="AF574">
        <v>0</v>
      </c>
      <c r="AG574" s="24">
        <v>98561.55</v>
      </c>
      <c r="AH574">
        <v>0</v>
      </c>
      <c r="AI574">
        <v>0</v>
      </c>
      <c r="AJ574">
        <v>0</v>
      </c>
      <c r="AK574">
        <v>0</v>
      </c>
      <c r="AL574" s="24">
        <v>98561.55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s="24">
        <v>98561.55</v>
      </c>
      <c r="AV574">
        <v>0</v>
      </c>
      <c r="AW574">
        <v>0</v>
      </c>
      <c r="AX574">
        <v>311000</v>
      </c>
      <c r="AY574" t="s">
        <v>161</v>
      </c>
      <c r="AZ574">
        <v>49.75</v>
      </c>
      <c r="BA574">
        <v>49.75</v>
      </c>
      <c r="BB574">
        <v>0</v>
      </c>
      <c r="BC574" t="s">
        <v>227</v>
      </c>
      <c r="BD574">
        <v>1509</v>
      </c>
      <c r="BE574" t="s">
        <v>169</v>
      </c>
      <c r="BF574">
        <v>5094075002</v>
      </c>
      <c r="BG574" t="s">
        <v>337</v>
      </c>
    </row>
    <row r="575" spans="1:59">
      <c r="A575">
        <v>1115</v>
      </c>
      <c r="B575">
        <v>1115</v>
      </c>
      <c r="C575">
        <v>10</v>
      </c>
      <c r="D575">
        <v>2</v>
      </c>
      <c r="E575" t="s">
        <v>152</v>
      </c>
      <c r="F575" t="s">
        <v>153</v>
      </c>
      <c r="G575" t="s">
        <v>154</v>
      </c>
      <c r="H575">
        <v>1526005654</v>
      </c>
      <c r="I575">
        <v>1000005900</v>
      </c>
      <c r="L575" t="s">
        <v>337</v>
      </c>
      <c r="M575">
        <v>5100001666</v>
      </c>
      <c r="N575" t="s">
        <v>155</v>
      </c>
      <c r="O575" t="s">
        <v>156</v>
      </c>
      <c r="P575">
        <v>4110027035</v>
      </c>
      <c r="Q575" t="s">
        <v>225</v>
      </c>
      <c r="R575">
        <v>5000</v>
      </c>
      <c r="S575" t="s">
        <v>166</v>
      </c>
      <c r="V575" t="s">
        <v>167</v>
      </c>
      <c r="W575">
        <v>1502020105</v>
      </c>
      <c r="X575" t="s">
        <v>226</v>
      </c>
      <c r="Y575" t="str">
        <f>VLOOKUP(W575,Sheet4!$A$5:$B$71,2,0)</f>
        <v>RE STYLING</v>
      </c>
      <c r="Z575">
        <v>87082900</v>
      </c>
      <c r="AA575">
        <v>15</v>
      </c>
      <c r="AB575" t="s">
        <v>159</v>
      </c>
      <c r="AC575" s="24">
        <v>6570.77</v>
      </c>
      <c r="AD575" t="s">
        <v>160</v>
      </c>
      <c r="AE575" s="24">
        <v>98561.55</v>
      </c>
      <c r="AF575">
        <v>0</v>
      </c>
      <c r="AG575" s="24">
        <v>98561.55</v>
      </c>
      <c r="AH575">
        <v>0</v>
      </c>
      <c r="AI575">
        <v>0</v>
      </c>
      <c r="AJ575">
        <v>0</v>
      </c>
      <c r="AK575">
        <v>0</v>
      </c>
      <c r="AL575" s="24">
        <v>98561.55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s="24">
        <v>98561.55</v>
      </c>
      <c r="AV575">
        <v>0</v>
      </c>
      <c r="AW575">
        <v>0</v>
      </c>
      <c r="AX575">
        <v>311000</v>
      </c>
      <c r="AY575" t="s">
        <v>161</v>
      </c>
      <c r="AZ575">
        <v>49.75</v>
      </c>
      <c r="BA575">
        <v>49.75</v>
      </c>
      <c r="BB575">
        <v>0</v>
      </c>
      <c r="BC575" t="s">
        <v>227</v>
      </c>
      <c r="BD575">
        <v>1509</v>
      </c>
      <c r="BE575" t="s">
        <v>169</v>
      </c>
      <c r="BF575">
        <v>5094071463</v>
      </c>
      <c r="BG575" t="s">
        <v>337</v>
      </c>
    </row>
    <row r="576" spans="1:59">
      <c r="A576">
        <v>1115</v>
      </c>
      <c r="B576">
        <v>1115</v>
      </c>
      <c r="C576">
        <v>10</v>
      </c>
      <c r="D576">
        <v>2</v>
      </c>
      <c r="E576" t="s">
        <v>152</v>
      </c>
      <c r="F576" t="s">
        <v>153</v>
      </c>
      <c r="G576" t="s">
        <v>154</v>
      </c>
      <c r="H576">
        <v>1526005653</v>
      </c>
      <c r="I576">
        <v>1000005899</v>
      </c>
      <c r="L576" t="s">
        <v>337</v>
      </c>
      <c r="M576">
        <v>5100001636</v>
      </c>
      <c r="N576" t="s">
        <v>155</v>
      </c>
      <c r="O576" t="s">
        <v>156</v>
      </c>
      <c r="P576">
        <v>4110026445</v>
      </c>
      <c r="Q576" t="s">
        <v>170</v>
      </c>
      <c r="R576">
        <v>5000</v>
      </c>
      <c r="S576" t="s">
        <v>166</v>
      </c>
      <c r="V576" t="s">
        <v>167</v>
      </c>
      <c r="W576">
        <v>1502020104</v>
      </c>
      <c r="X576" t="s">
        <v>26</v>
      </c>
      <c r="Y576" t="str">
        <f>VLOOKUP(W576,Sheet4!$A$5:$B$71,2,0)</f>
        <v>RE STYLING</v>
      </c>
      <c r="Z576">
        <v>87082900</v>
      </c>
      <c r="AA576">
        <v>15</v>
      </c>
      <c r="AB576" t="s">
        <v>159</v>
      </c>
      <c r="AC576" s="24">
        <v>6585.55</v>
      </c>
      <c r="AD576" t="s">
        <v>160</v>
      </c>
      <c r="AE576" s="24">
        <v>98783.25</v>
      </c>
      <c r="AF576">
        <v>0</v>
      </c>
      <c r="AG576" s="24">
        <v>98783.25</v>
      </c>
      <c r="AH576">
        <v>0</v>
      </c>
      <c r="AI576">
        <v>0</v>
      </c>
      <c r="AJ576">
        <v>0</v>
      </c>
      <c r="AK576">
        <v>0</v>
      </c>
      <c r="AL576" s="24">
        <v>98783.25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s="24">
        <v>98783.25</v>
      </c>
      <c r="AV576">
        <v>0</v>
      </c>
      <c r="AW576">
        <v>0</v>
      </c>
      <c r="AX576">
        <v>311000</v>
      </c>
      <c r="AY576" t="s">
        <v>161</v>
      </c>
      <c r="AZ576">
        <v>49.75</v>
      </c>
      <c r="BA576">
        <v>49.75</v>
      </c>
      <c r="BB576">
        <v>0</v>
      </c>
      <c r="BC576" t="s">
        <v>171</v>
      </c>
      <c r="BD576">
        <v>1509</v>
      </c>
      <c r="BE576" t="s">
        <v>169</v>
      </c>
      <c r="BF576">
        <v>5094078992</v>
      </c>
      <c r="BG576" t="s">
        <v>337</v>
      </c>
    </row>
    <row r="577" spans="1:59">
      <c r="A577">
        <v>1115</v>
      </c>
      <c r="B577">
        <v>1115</v>
      </c>
      <c r="C577">
        <v>10</v>
      </c>
      <c r="D577">
        <v>2</v>
      </c>
      <c r="E577" t="s">
        <v>152</v>
      </c>
      <c r="F577" t="s">
        <v>153</v>
      </c>
      <c r="G577" t="s">
        <v>154</v>
      </c>
      <c r="H577">
        <v>1526005652</v>
      </c>
      <c r="I577">
        <v>1000005898</v>
      </c>
      <c r="L577" t="s">
        <v>337</v>
      </c>
      <c r="M577">
        <v>5100001636</v>
      </c>
      <c r="N577" t="s">
        <v>155</v>
      </c>
      <c r="O577" t="s">
        <v>156</v>
      </c>
      <c r="P577">
        <v>4110026445</v>
      </c>
      <c r="Q577" t="s">
        <v>170</v>
      </c>
      <c r="R577">
        <v>5000</v>
      </c>
      <c r="S577" t="s">
        <v>166</v>
      </c>
      <c r="V577" t="s">
        <v>167</v>
      </c>
      <c r="W577">
        <v>1502020104</v>
      </c>
      <c r="X577" t="s">
        <v>26</v>
      </c>
      <c r="Y577" t="str">
        <f>VLOOKUP(W577,Sheet4!$A$5:$B$71,2,0)</f>
        <v>RE STYLING</v>
      </c>
      <c r="Z577">
        <v>87082900</v>
      </c>
      <c r="AA577">
        <v>15</v>
      </c>
      <c r="AB577" t="s">
        <v>159</v>
      </c>
      <c r="AC577" s="24">
        <v>6585.55</v>
      </c>
      <c r="AD577" t="s">
        <v>160</v>
      </c>
      <c r="AE577" s="24">
        <v>98783.25</v>
      </c>
      <c r="AF577">
        <v>0</v>
      </c>
      <c r="AG577" s="24">
        <v>98783.25</v>
      </c>
      <c r="AH577">
        <v>0</v>
      </c>
      <c r="AI577">
        <v>0</v>
      </c>
      <c r="AJ577">
        <v>0</v>
      </c>
      <c r="AK577">
        <v>0</v>
      </c>
      <c r="AL577" s="24">
        <v>98783.25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s="24">
        <v>98783.25</v>
      </c>
      <c r="AV577">
        <v>0</v>
      </c>
      <c r="AW577">
        <v>0</v>
      </c>
      <c r="AX577">
        <v>311000</v>
      </c>
      <c r="AY577" t="s">
        <v>161</v>
      </c>
      <c r="AZ577">
        <v>49.75</v>
      </c>
      <c r="BA577">
        <v>49.75</v>
      </c>
      <c r="BB577">
        <v>0</v>
      </c>
      <c r="BC577" t="s">
        <v>171</v>
      </c>
      <c r="BD577">
        <v>1509</v>
      </c>
      <c r="BE577" t="s">
        <v>169</v>
      </c>
      <c r="BF577">
        <v>5094078988</v>
      </c>
      <c r="BG577" t="s">
        <v>337</v>
      </c>
    </row>
    <row r="578" spans="1:59">
      <c r="A578">
        <v>1115</v>
      </c>
      <c r="B578">
        <v>1115</v>
      </c>
      <c r="C578">
        <v>10</v>
      </c>
      <c r="D578">
        <v>2</v>
      </c>
      <c r="E578" t="s">
        <v>152</v>
      </c>
      <c r="F578" t="s">
        <v>153</v>
      </c>
      <c r="G578" t="s">
        <v>154</v>
      </c>
      <c r="H578">
        <v>1526005651</v>
      </c>
      <c r="I578">
        <v>1000005897</v>
      </c>
      <c r="L578" t="s">
        <v>337</v>
      </c>
      <c r="M578">
        <v>5100001636</v>
      </c>
      <c r="N578" t="s">
        <v>155</v>
      </c>
      <c r="O578" t="s">
        <v>156</v>
      </c>
      <c r="P578">
        <v>4110026445</v>
      </c>
      <c r="Q578" t="s">
        <v>170</v>
      </c>
      <c r="R578">
        <v>5000</v>
      </c>
      <c r="S578" t="s">
        <v>166</v>
      </c>
      <c r="V578" t="s">
        <v>167</v>
      </c>
      <c r="W578">
        <v>1502020104</v>
      </c>
      <c r="X578" t="s">
        <v>26</v>
      </c>
      <c r="Y578" t="str">
        <f>VLOOKUP(W578,Sheet4!$A$5:$B$71,2,0)</f>
        <v>RE STYLING</v>
      </c>
      <c r="Z578">
        <v>87082900</v>
      </c>
      <c r="AA578">
        <v>15</v>
      </c>
      <c r="AB578" t="s">
        <v>159</v>
      </c>
      <c r="AC578" s="24">
        <v>6585.55</v>
      </c>
      <c r="AD578" t="s">
        <v>160</v>
      </c>
      <c r="AE578" s="24">
        <v>98783.25</v>
      </c>
      <c r="AF578">
        <v>0</v>
      </c>
      <c r="AG578" s="24">
        <v>98783.25</v>
      </c>
      <c r="AH578">
        <v>0</v>
      </c>
      <c r="AI578">
        <v>0</v>
      </c>
      <c r="AJ578">
        <v>0</v>
      </c>
      <c r="AK578">
        <v>0</v>
      </c>
      <c r="AL578" s="24">
        <v>98783.25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s="24">
        <v>98783.25</v>
      </c>
      <c r="AV578">
        <v>0</v>
      </c>
      <c r="AW578">
        <v>0</v>
      </c>
      <c r="AX578">
        <v>311000</v>
      </c>
      <c r="AY578" t="s">
        <v>161</v>
      </c>
      <c r="AZ578">
        <v>49.75</v>
      </c>
      <c r="BA578">
        <v>49.75</v>
      </c>
      <c r="BB578">
        <v>0</v>
      </c>
      <c r="BC578" t="s">
        <v>171</v>
      </c>
      <c r="BD578">
        <v>1509</v>
      </c>
      <c r="BE578" t="s">
        <v>169</v>
      </c>
      <c r="BF578">
        <v>5094079568</v>
      </c>
      <c r="BG578" t="s">
        <v>337</v>
      </c>
    </row>
    <row r="579" spans="1:59">
      <c r="A579">
        <v>1115</v>
      </c>
      <c r="B579">
        <v>1115</v>
      </c>
      <c r="C579">
        <v>10</v>
      </c>
      <c r="D579">
        <v>2</v>
      </c>
      <c r="E579" t="s">
        <v>152</v>
      </c>
      <c r="F579" t="s">
        <v>153</v>
      </c>
      <c r="G579" t="s">
        <v>154</v>
      </c>
      <c r="H579">
        <v>1526005650</v>
      </c>
      <c r="I579">
        <v>1000005896</v>
      </c>
      <c r="L579" t="s">
        <v>337</v>
      </c>
      <c r="M579">
        <v>5100001636</v>
      </c>
      <c r="N579" t="s">
        <v>155</v>
      </c>
      <c r="O579" t="s">
        <v>156</v>
      </c>
      <c r="P579">
        <v>4110026445</v>
      </c>
      <c r="Q579" t="s">
        <v>170</v>
      </c>
      <c r="R579">
        <v>5000</v>
      </c>
      <c r="S579" t="s">
        <v>166</v>
      </c>
      <c r="V579" t="s">
        <v>167</v>
      </c>
      <c r="W579">
        <v>1502020104</v>
      </c>
      <c r="X579" t="s">
        <v>26</v>
      </c>
      <c r="Y579" t="str">
        <f>VLOOKUP(W579,Sheet4!$A$5:$B$71,2,0)</f>
        <v>RE STYLING</v>
      </c>
      <c r="Z579">
        <v>87082900</v>
      </c>
      <c r="AA579">
        <v>15</v>
      </c>
      <c r="AB579" t="s">
        <v>159</v>
      </c>
      <c r="AC579" s="24">
        <v>6585.55</v>
      </c>
      <c r="AD579" t="s">
        <v>160</v>
      </c>
      <c r="AE579" s="24">
        <v>98783.25</v>
      </c>
      <c r="AF579">
        <v>0</v>
      </c>
      <c r="AG579" s="24">
        <v>98783.25</v>
      </c>
      <c r="AH579">
        <v>0</v>
      </c>
      <c r="AI579">
        <v>0</v>
      </c>
      <c r="AJ579">
        <v>0</v>
      </c>
      <c r="AK579">
        <v>0</v>
      </c>
      <c r="AL579" s="24">
        <v>98783.25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 s="24">
        <v>98783.25</v>
      </c>
      <c r="AV579">
        <v>0</v>
      </c>
      <c r="AW579">
        <v>0</v>
      </c>
      <c r="AX579">
        <v>311000</v>
      </c>
      <c r="AY579" t="s">
        <v>161</v>
      </c>
      <c r="AZ579">
        <v>49.75</v>
      </c>
      <c r="BA579">
        <v>49.75</v>
      </c>
      <c r="BB579">
        <v>0</v>
      </c>
      <c r="BC579" t="s">
        <v>171</v>
      </c>
      <c r="BD579">
        <v>1509</v>
      </c>
      <c r="BE579" t="s">
        <v>169</v>
      </c>
      <c r="BF579">
        <v>5094084315</v>
      </c>
      <c r="BG579" t="s">
        <v>337</v>
      </c>
    </row>
    <row r="580" spans="1:59">
      <c r="A580">
        <v>1115</v>
      </c>
      <c r="B580">
        <v>1115</v>
      </c>
      <c r="C580">
        <v>10</v>
      </c>
      <c r="D580">
        <v>2</v>
      </c>
      <c r="E580" t="s">
        <v>152</v>
      </c>
      <c r="F580" t="s">
        <v>153</v>
      </c>
      <c r="G580" t="s">
        <v>154</v>
      </c>
      <c r="H580">
        <v>1526005649</v>
      </c>
      <c r="I580">
        <v>1000005895</v>
      </c>
      <c r="L580" t="s">
        <v>337</v>
      </c>
      <c r="M580">
        <v>5100001666</v>
      </c>
      <c r="N580" t="s">
        <v>155</v>
      </c>
      <c r="O580" t="s">
        <v>156</v>
      </c>
      <c r="P580">
        <v>4110027035</v>
      </c>
      <c r="Q580" t="s">
        <v>225</v>
      </c>
      <c r="R580">
        <v>5000</v>
      </c>
      <c r="S580" t="s">
        <v>166</v>
      </c>
      <c r="V580" t="s">
        <v>167</v>
      </c>
      <c r="W580">
        <v>1502020105</v>
      </c>
      <c r="X580" t="s">
        <v>226</v>
      </c>
      <c r="Y580" t="str">
        <f>VLOOKUP(W580,Sheet4!$A$5:$B$71,2,0)</f>
        <v>RE STYLING</v>
      </c>
      <c r="Z580">
        <v>87082900</v>
      </c>
      <c r="AA580">
        <v>15</v>
      </c>
      <c r="AB580" t="s">
        <v>159</v>
      </c>
      <c r="AC580" s="24">
        <v>6570.77</v>
      </c>
      <c r="AD580" t="s">
        <v>160</v>
      </c>
      <c r="AE580" s="24">
        <v>98561.55</v>
      </c>
      <c r="AF580">
        <v>0</v>
      </c>
      <c r="AG580" s="24">
        <v>98561.55</v>
      </c>
      <c r="AH580">
        <v>0</v>
      </c>
      <c r="AI580">
        <v>0</v>
      </c>
      <c r="AJ580">
        <v>0</v>
      </c>
      <c r="AK580">
        <v>0</v>
      </c>
      <c r="AL580" s="24">
        <v>98561.55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 s="24">
        <v>98561.55</v>
      </c>
      <c r="AV580">
        <v>0</v>
      </c>
      <c r="AW580">
        <v>0</v>
      </c>
      <c r="AX580">
        <v>311000</v>
      </c>
      <c r="AY580" t="s">
        <v>161</v>
      </c>
      <c r="AZ580">
        <v>49.75</v>
      </c>
      <c r="BA580">
        <v>49.75</v>
      </c>
      <c r="BB580">
        <v>0</v>
      </c>
      <c r="BC580" t="s">
        <v>227</v>
      </c>
      <c r="BD580">
        <v>1509</v>
      </c>
      <c r="BE580" t="s">
        <v>169</v>
      </c>
      <c r="BF580">
        <v>5094071969</v>
      </c>
      <c r="BG580" t="s">
        <v>337</v>
      </c>
    </row>
    <row r="581" spans="1:59">
      <c r="A581">
        <v>1115</v>
      </c>
      <c r="B581">
        <v>1115</v>
      </c>
      <c r="C581">
        <v>10</v>
      </c>
      <c r="D581">
        <v>2</v>
      </c>
      <c r="E581" t="s">
        <v>152</v>
      </c>
      <c r="F581" t="s">
        <v>153</v>
      </c>
      <c r="G581" t="s">
        <v>154</v>
      </c>
      <c r="H581">
        <v>1526005648</v>
      </c>
      <c r="I581">
        <v>1000005894</v>
      </c>
      <c r="L581" t="s">
        <v>337</v>
      </c>
      <c r="M581">
        <v>5100001666</v>
      </c>
      <c r="N581" t="s">
        <v>155</v>
      </c>
      <c r="O581" t="s">
        <v>156</v>
      </c>
      <c r="P581">
        <v>4110027035</v>
      </c>
      <c r="Q581" t="s">
        <v>225</v>
      </c>
      <c r="R581">
        <v>5000</v>
      </c>
      <c r="S581" t="s">
        <v>166</v>
      </c>
      <c r="V581" t="s">
        <v>167</v>
      </c>
      <c r="W581">
        <v>1502020105</v>
      </c>
      <c r="X581" t="s">
        <v>226</v>
      </c>
      <c r="Y581" t="str">
        <f>VLOOKUP(W581,Sheet4!$A$5:$B$71,2,0)</f>
        <v>RE STYLING</v>
      </c>
      <c r="Z581">
        <v>87082900</v>
      </c>
      <c r="AA581">
        <v>15</v>
      </c>
      <c r="AB581" t="s">
        <v>159</v>
      </c>
      <c r="AC581" s="24">
        <v>6570.77</v>
      </c>
      <c r="AD581" t="s">
        <v>160</v>
      </c>
      <c r="AE581" s="24">
        <v>98561.55</v>
      </c>
      <c r="AF581">
        <v>0</v>
      </c>
      <c r="AG581" s="24">
        <v>98561.55</v>
      </c>
      <c r="AH581">
        <v>0</v>
      </c>
      <c r="AI581">
        <v>0</v>
      </c>
      <c r="AJ581">
        <v>0</v>
      </c>
      <c r="AK581">
        <v>0</v>
      </c>
      <c r="AL581" s="24">
        <v>98561.55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 s="24">
        <v>98561.55</v>
      </c>
      <c r="AV581">
        <v>0</v>
      </c>
      <c r="AW581">
        <v>0</v>
      </c>
      <c r="AX581">
        <v>311000</v>
      </c>
      <c r="AY581" t="s">
        <v>161</v>
      </c>
      <c r="AZ581">
        <v>49.75</v>
      </c>
      <c r="BA581">
        <v>49.75</v>
      </c>
      <c r="BB581">
        <v>0</v>
      </c>
      <c r="BC581" t="s">
        <v>227</v>
      </c>
      <c r="BD581">
        <v>1509</v>
      </c>
      <c r="BE581" t="s">
        <v>169</v>
      </c>
      <c r="BF581">
        <v>5094071983</v>
      </c>
      <c r="BG581" t="s">
        <v>337</v>
      </c>
    </row>
    <row r="582" spans="1:59">
      <c r="A582">
        <v>1115</v>
      </c>
      <c r="B582">
        <v>1115</v>
      </c>
      <c r="C582">
        <v>10</v>
      </c>
      <c r="D582">
        <v>2</v>
      </c>
      <c r="E582" t="s">
        <v>152</v>
      </c>
      <c r="F582" t="s">
        <v>153</v>
      </c>
      <c r="G582" t="s">
        <v>154</v>
      </c>
      <c r="H582">
        <v>1526005647</v>
      </c>
      <c r="I582">
        <v>1000005893</v>
      </c>
      <c r="L582" t="s">
        <v>337</v>
      </c>
      <c r="M582">
        <v>5100001666</v>
      </c>
      <c r="N582" t="s">
        <v>155</v>
      </c>
      <c r="O582" t="s">
        <v>156</v>
      </c>
      <c r="P582">
        <v>4110027035</v>
      </c>
      <c r="Q582" t="s">
        <v>225</v>
      </c>
      <c r="R582">
        <v>5000</v>
      </c>
      <c r="S582" t="s">
        <v>166</v>
      </c>
      <c r="V582" t="s">
        <v>167</v>
      </c>
      <c r="W582">
        <v>1502020105</v>
      </c>
      <c r="X582" t="s">
        <v>226</v>
      </c>
      <c r="Y582" t="str">
        <f>VLOOKUP(W582,Sheet4!$A$5:$B$71,2,0)</f>
        <v>RE STYLING</v>
      </c>
      <c r="Z582">
        <v>87082900</v>
      </c>
      <c r="AA582">
        <v>15</v>
      </c>
      <c r="AB582" t="s">
        <v>159</v>
      </c>
      <c r="AC582" s="24">
        <v>6570.77</v>
      </c>
      <c r="AD582" t="s">
        <v>160</v>
      </c>
      <c r="AE582" s="24">
        <v>98561.55</v>
      </c>
      <c r="AF582">
        <v>0</v>
      </c>
      <c r="AG582" s="24">
        <v>98561.55</v>
      </c>
      <c r="AH582">
        <v>0</v>
      </c>
      <c r="AI582">
        <v>0</v>
      </c>
      <c r="AJ582">
        <v>0</v>
      </c>
      <c r="AK582">
        <v>0</v>
      </c>
      <c r="AL582" s="24">
        <v>98561.55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 s="24">
        <v>98561.55</v>
      </c>
      <c r="AV582">
        <v>0</v>
      </c>
      <c r="AW582">
        <v>0</v>
      </c>
      <c r="AX582">
        <v>311000</v>
      </c>
      <c r="AY582" t="s">
        <v>161</v>
      </c>
      <c r="AZ582">
        <v>49.75</v>
      </c>
      <c r="BA582">
        <v>49.75</v>
      </c>
      <c r="BB582">
        <v>0</v>
      </c>
      <c r="BC582" t="s">
        <v>227</v>
      </c>
      <c r="BD582">
        <v>1509</v>
      </c>
      <c r="BE582" t="s">
        <v>169</v>
      </c>
      <c r="BF582">
        <v>5094071868</v>
      </c>
      <c r="BG582" t="s">
        <v>337</v>
      </c>
    </row>
    <row r="583" spans="1:59">
      <c r="A583">
        <v>1115</v>
      </c>
      <c r="B583">
        <v>1115</v>
      </c>
      <c r="C583">
        <v>10</v>
      </c>
      <c r="D583">
        <v>2</v>
      </c>
      <c r="E583" t="s">
        <v>152</v>
      </c>
      <c r="F583" t="s">
        <v>153</v>
      </c>
      <c r="G583" t="s">
        <v>154</v>
      </c>
      <c r="H583">
        <v>1526005646</v>
      </c>
      <c r="I583">
        <v>1000005892</v>
      </c>
      <c r="L583" t="s">
        <v>337</v>
      </c>
      <c r="M583">
        <v>5100001666</v>
      </c>
      <c r="N583" t="s">
        <v>155</v>
      </c>
      <c r="O583" t="s">
        <v>156</v>
      </c>
      <c r="P583">
        <v>4110027035</v>
      </c>
      <c r="Q583" t="s">
        <v>225</v>
      </c>
      <c r="R583">
        <v>5000</v>
      </c>
      <c r="S583" t="s">
        <v>166</v>
      </c>
      <c r="V583" t="s">
        <v>167</v>
      </c>
      <c r="W583">
        <v>1502020105</v>
      </c>
      <c r="X583" t="s">
        <v>226</v>
      </c>
      <c r="Y583" t="str">
        <f>VLOOKUP(W583,Sheet4!$A$5:$B$71,2,0)</f>
        <v>RE STYLING</v>
      </c>
      <c r="Z583">
        <v>87082900</v>
      </c>
      <c r="AA583">
        <v>15</v>
      </c>
      <c r="AB583" t="s">
        <v>159</v>
      </c>
      <c r="AC583" s="24">
        <v>6570.77</v>
      </c>
      <c r="AD583" t="s">
        <v>160</v>
      </c>
      <c r="AE583" s="24">
        <v>98561.55</v>
      </c>
      <c r="AF583">
        <v>0</v>
      </c>
      <c r="AG583" s="24">
        <v>98561.55</v>
      </c>
      <c r="AH583">
        <v>0</v>
      </c>
      <c r="AI583">
        <v>0</v>
      </c>
      <c r="AJ583">
        <v>0</v>
      </c>
      <c r="AK583">
        <v>0</v>
      </c>
      <c r="AL583" s="24">
        <v>98561.55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s="24">
        <v>98561.55</v>
      </c>
      <c r="AV583">
        <v>0</v>
      </c>
      <c r="AW583">
        <v>0</v>
      </c>
      <c r="AX583">
        <v>311000</v>
      </c>
      <c r="AY583" t="s">
        <v>161</v>
      </c>
      <c r="AZ583">
        <v>49.75</v>
      </c>
      <c r="BA583">
        <v>49.75</v>
      </c>
      <c r="BB583">
        <v>0</v>
      </c>
      <c r="BC583" t="s">
        <v>227</v>
      </c>
      <c r="BD583">
        <v>1509</v>
      </c>
      <c r="BE583" t="s">
        <v>169</v>
      </c>
      <c r="BF583">
        <v>5094071457</v>
      </c>
      <c r="BG583" t="s">
        <v>337</v>
      </c>
    </row>
    <row r="584" spans="1:59">
      <c r="A584">
        <v>1115</v>
      </c>
      <c r="B584">
        <v>1115</v>
      </c>
      <c r="C584">
        <v>10</v>
      </c>
      <c r="D584">
        <v>2</v>
      </c>
      <c r="E584" t="s">
        <v>152</v>
      </c>
      <c r="F584" t="s">
        <v>153</v>
      </c>
      <c r="G584" t="s">
        <v>154</v>
      </c>
      <c r="H584">
        <v>1526005645</v>
      </c>
      <c r="I584">
        <v>1000005891</v>
      </c>
      <c r="L584" t="s">
        <v>337</v>
      </c>
      <c r="M584">
        <v>5100001928</v>
      </c>
      <c r="N584" t="s">
        <v>155</v>
      </c>
      <c r="O584" t="s">
        <v>156</v>
      </c>
      <c r="P584">
        <v>4110057393</v>
      </c>
      <c r="Q584" t="s">
        <v>192</v>
      </c>
      <c r="R584">
        <v>5000</v>
      </c>
      <c r="S584" t="s">
        <v>166</v>
      </c>
      <c r="V584" t="s">
        <v>167</v>
      </c>
      <c r="W584">
        <v>1502020122</v>
      </c>
      <c r="X584" t="s">
        <v>70</v>
      </c>
      <c r="Y584" t="str">
        <f>VLOOKUP(W584,Sheet4!$A$5:$B$71,2,0)</f>
        <v>MAX UG NEW EV</v>
      </c>
      <c r="Z584">
        <v>87082900</v>
      </c>
      <c r="AA584">
        <v>10</v>
      </c>
      <c r="AB584" t="s">
        <v>159</v>
      </c>
      <c r="AC584" s="24">
        <v>9566.51</v>
      </c>
      <c r="AD584" t="s">
        <v>160</v>
      </c>
      <c r="AE584" s="24">
        <v>95665.1</v>
      </c>
      <c r="AF584">
        <v>0</v>
      </c>
      <c r="AG584" s="24">
        <v>95665.1</v>
      </c>
      <c r="AH584">
        <v>0</v>
      </c>
      <c r="AI584">
        <v>0</v>
      </c>
      <c r="AJ584">
        <v>0</v>
      </c>
      <c r="AK584">
        <v>0</v>
      </c>
      <c r="AL584" s="24">
        <v>95665.1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s="24">
        <v>95665.1</v>
      </c>
      <c r="AV584">
        <v>0</v>
      </c>
      <c r="AW584">
        <v>0</v>
      </c>
      <c r="AX584">
        <v>311000</v>
      </c>
      <c r="AY584" t="s">
        <v>161</v>
      </c>
      <c r="AZ584">
        <v>0</v>
      </c>
      <c r="BA584">
        <v>61</v>
      </c>
      <c r="BB584">
        <v>-61</v>
      </c>
      <c r="BC584" t="s">
        <v>193</v>
      </c>
      <c r="BD584">
        <v>1509</v>
      </c>
      <c r="BE584" t="s">
        <v>169</v>
      </c>
      <c r="BF584">
        <v>5094071525</v>
      </c>
      <c r="BG584" t="s">
        <v>337</v>
      </c>
    </row>
    <row r="585" spans="1:59">
      <c r="A585">
        <v>1115</v>
      </c>
      <c r="B585">
        <v>1115</v>
      </c>
      <c r="C585">
        <v>10</v>
      </c>
      <c r="D585">
        <v>2</v>
      </c>
      <c r="E585" t="s">
        <v>152</v>
      </c>
      <c r="F585" t="s">
        <v>153</v>
      </c>
      <c r="G585" t="s">
        <v>154</v>
      </c>
      <c r="H585">
        <v>1526005644</v>
      </c>
      <c r="I585">
        <v>1000005890</v>
      </c>
      <c r="L585" t="s">
        <v>337</v>
      </c>
      <c r="M585">
        <v>5100001928</v>
      </c>
      <c r="N585" t="s">
        <v>155</v>
      </c>
      <c r="O585" t="s">
        <v>156</v>
      </c>
      <c r="P585">
        <v>4110057393</v>
      </c>
      <c r="Q585" t="s">
        <v>192</v>
      </c>
      <c r="R585">
        <v>5000</v>
      </c>
      <c r="S585" t="s">
        <v>166</v>
      </c>
      <c r="V585" t="s">
        <v>167</v>
      </c>
      <c r="W585">
        <v>1502020122</v>
      </c>
      <c r="X585" t="s">
        <v>70</v>
      </c>
      <c r="Y585" t="str">
        <f>VLOOKUP(W585,Sheet4!$A$5:$B$71,2,0)</f>
        <v>MAX UG NEW EV</v>
      </c>
      <c r="Z585">
        <v>87082900</v>
      </c>
      <c r="AA585">
        <v>10</v>
      </c>
      <c r="AB585" t="s">
        <v>159</v>
      </c>
      <c r="AC585" s="24">
        <v>9566.51</v>
      </c>
      <c r="AD585" t="s">
        <v>160</v>
      </c>
      <c r="AE585" s="24">
        <v>95665.1</v>
      </c>
      <c r="AF585">
        <v>0</v>
      </c>
      <c r="AG585" s="24">
        <v>95665.1</v>
      </c>
      <c r="AH585">
        <v>0</v>
      </c>
      <c r="AI585">
        <v>0</v>
      </c>
      <c r="AJ585">
        <v>0</v>
      </c>
      <c r="AK585">
        <v>0</v>
      </c>
      <c r="AL585" s="24">
        <v>95665.1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s="24">
        <v>95665.1</v>
      </c>
      <c r="AV585">
        <v>0</v>
      </c>
      <c r="AW585">
        <v>0</v>
      </c>
      <c r="AX585">
        <v>311000</v>
      </c>
      <c r="AY585" t="s">
        <v>161</v>
      </c>
      <c r="AZ585">
        <v>0</v>
      </c>
      <c r="BA585">
        <v>61</v>
      </c>
      <c r="BB585">
        <v>-61</v>
      </c>
      <c r="BC585" t="s">
        <v>193</v>
      </c>
      <c r="BD585">
        <v>1509</v>
      </c>
      <c r="BE585" t="s">
        <v>169</v>
      </c>
      <c r="BF585">
        <v>5094071415</v>
      </c>
      <c r="BG585" t="s">
        <v>337</v>
      </c>
    </row>
    <row r="586" spans="1:59">
      <c r="A586">
        <v>1115</v>
      </c>
      <c r="B586">
        <v>1115</v>
      </c>
      <c r="C586">
        <v>10</v>
      </c>
      <c r="D586">
        <v>2</v>
      </c>
      <c r="E586" t="s">
        <v>152</v>
      </c>
      <c r="F586" t="s">
        <v>153</v>
      </c>
      <c r="G586" t="s">
        <v>154</v>
      </c>
      <c r="H586">
        <v>1526005643</v>
      </c>
      <c r="I586">
        <v>1000005889</v>
      </c>
      <c r="L586" t="s">
        <v>337</v>
      </c>
      <c r="M586">
        <v>5100001928</v>
      </c>
      <c r="N586" t="s">
        <v>155</v>
      </c>
      <c r="O586" t="s">
        <v>156</v>
      </c>
      <c r="P586">
        <v>4110057393</v>
      </c>
      <c r="Q586" t="s">
        <v>192</v>
      </c>
      <c r="R586">
        <v>5000</v>
      </c>
      <c r="S586" t="s">
        <v>166</v>
      </c>
      <c r="V586" t="s">
        <v>167</v>
      </c>
      <c r="W586">
        <v>1502020122</v>
      </c>
      <c r="X586" t="s">
        <v>70</v>
      </c>
      <c r="Y586" t="str">
        <f>VLOOKUP(W586,Sheet4!$A$5:$B$71,2,0)</f>
        <v>MAX UG NEW EV</v>
      </c>
      <c r="Z586">
        <v>87082900</v>
      </c>
      <c r="AA586">
        <v>10</v>
      </c>
      <c r="AB586" t="s">
        <v>159</v>
      </c>
      <c r="AC586" s="24">
        <v>9566.51</v>
      </c>
      <c r="AD586" t="s">
        <v>160</v>
      </c>
      <c r="AE586" s="24">
        <v>95665.1</v>
      </c>
      <c r="AF586">
        <v>0</v>
      </c>
      <c r="AG586" s="24">
        <v>95665.1</v>
      </c>
      <c r="AH586">
        <v>0</v>
      </c>
      <c r="AI586">
        <v>0</v>
      </c>
      <c r="AJ586">
        <v>0</v>
      </c>
      <c r="AK586">
        <v>0</v>
      </c>
      <c r="AL586" s="24">
        <v>95665.1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s="24">
        <v>95665.1</v>
      </c>
      <c r="AV586">
        <v>0</v>
      </c>
      <c r="AW586">
        <v>0</v>
      </c>
      <c r="AX586">
        <v>311000</v>
      </c>
      <c r="AY586" t="s">
        <v>161</v>
      </c>
      <c r="AZ586">
        <v>0</v>
      </c>
      <c r="BA586">
        <v>61</v>
      </c>
      <c r="BB586">
        <v>-61</v>
      </c>
      <c r="BC586" t="s">
        <v>193</v>
      </c>
      <c r="BD586">
        <v>1509</v>
      </c>
      <c r="BE586" t="s">
        <v>169</v>
      </c>
      <c r="BF586">
        <v>5094079703</v>
      </c>
      <c r="BG586" t="s">
        <v>337</v>
      </c>
    </row>
    <row r="587" spans="1:59">
      <c r="A587">
        <v>1115</v>
      </c>
      <c r="B587">
        <v>1115</v>
      </c>
      <c r="C587">
        <v>10</v>
      </c>
      <c r="D587">
        <v>2</v>
      </c>
      <c r="E587" t="s">
        <v>152</v>
      </c>
      <c r="F587" t="s">
        <v>153</v>
      </c>
      <c r="G587" t="s">
        <v>154</v>
      </c>
      <c r="H587">
        <v>1526005642</v>
      </c>
      <c r="I587">
        <v>1000005888</v>
      </c>
      <c r="L587" t="s">
        <v>337</v>
      </c>
      <c r="M587">
        <v>5100001928</v>
      </c>
      <c r="N587" t="s">
        <v>155</v>
      </c>
      <c r="O587" t="s">
        <v>156</v>
      </c>
      <c r="P587">
        <v>4110057393</v>
      </c>
      <c r="Q587" t="s">
        <v>192</v>
      </c>
      <c r="R587">
        <v>5000</v>
      </c>
      <c r="S587" t="s">
        <v>166</v>
      </c>
      <c r="V587" t="s">
        <v>167</v>
      </c>
      <c r="W587">
        <v>1502020122</v>
      </c>
      <c r="X587" t="s">
        <v>70</v>
      </c>
      <c r="Y587" t="str">
        <f>VLOOKUP(W587,Sheet4!$A$5:$B$71,2,0)</f>
        <v>MAX UG NEW EV</v>
      </c>
      <c r="Z587">
        <v>87082900</v>
      </c>
      <c r="AA587">
        <v>10</v>
      </c>
      <c r="AB587" t="s">
        <v>159</v>
      </c>
      <c r="AC587" s="24">
        <v>9566.51</v>
      </c>
      <c r="AD587" t="s">
        <v>160</v>
      </c>
      <c r="AE587" s="24">
        <v>95665.1</v>
      </c>
      <c r="AF587">
        <v>0</v>
      </c>
      <c r="AG587" s="24">
        <v>95665.1</v>
      </c>
      <c r="AH587">
        <v>0</v>
      </c>
      <c r="AI587">
        <v>0</v>
      </c>
      <c r="AJ587">
        <v>0</v>
      </c>
      <c r="AK587">
        <v>0</v>
      </c>
      <c r="AL587" s="24">
        <v>95665.1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s="24">
        <v>95665.1</v>
      </c>
      <c r="AV587">
        <v>0</v>
      </c>
      <c r="AW587">
        <v>0</v>
      </c>
      <c r="AX587">
        <v>311000</v>
      </c>
      <c r="AY587" t="s">
        <v>161</v>
      </c>
      <c r="AZ587">
        <v>0</v>
      </c>
      <c r="BA587">
        <v>61</v>
      </c>
      <c r="BB587">
        <v>-61</v>
      </c>
      <c r="BC587" t="s">
        <v>193</v>
      </c>
      <c r="BD587">
        <v>1509</v>
      </c>
      <c r="BE587" t="s">
        <v>169</v>
      </c>
      <c r="BF587">
        <v>5094082544</v>
      </c>
      <c r="BG587" t="s">
        <v>337</v>
      </c>
    </row>
    <row r="588" spans="1:59">
      <c r="A588">
        <v>1115</v>
      </c>
      <c r="B588">
        <v>1115</v>
      </c>
      <c r="C588">
        <v>10</v>
      </c>
      <c r="D588">
        <v>2</v>
      </c>
      <c r="E588" t="s">
        <v>152</v>
      </c>
      <c r="F588" t="s">
        <v>153</v>
      </c>
      <c r="G588" t="s">
        <v>154</v>
      </c>
      <c r="H588">
        <v>1526005640</v>
      </c>
      <c r="I588">
        <v>1000005887</v>
      </c>
      <c r="L588" t="s">
        <v>336</v>
      </c>
      <c r="M588">
        <v>5100001666</v>
      </c>
      <c r="N588" t="s">
        <v>155</v>
      </c>
      <c r="O588" t="s">
        <v>156</v>
      </c>
      <c r="P588">
        <v>4110027035</v>
      </c>
      <c r="Q588" t="s">
        <v>225</v>
      </c>
      <c r="R588">
        <v>5000</v>
      </c>
      <c r="S588" t="s">
        <v>166</v>
      </c>
      <c r="V588" t="s">
        <v>167</v>
      </c>
      <c r="W588">
        <v>1502020105</v>
      </c>
      <c r="X588" t="s">
        <v>226</v>
      </c>
      <c r="Y588" t="str">
        <f>VLOOKUP(W588,Sheet4!$A$5:$B$71,2,0)</f>
        <v>RE STYLING</v>
      </c>
      <c r="Z588">
        <v>87082900</v>
      </c>
      <c r="AA588">
        <v>15</v>
      </c>
      <c r="AB588" t="s">
        <v>159</v>
      </c>
      <c r="AC588" s="24">
        <v>6570.77</v>
      </c>
      <c r="AD588" t="s">
        <v>160</v>
      </c>
      <c r="AE588" s="24">
        <v>98561.55</v>
      </c>
      <c r="AF588">
        <v>0</v>
      </c>
      <c r="AG588" s="24">
        <v>98561.55</v>
      </c>
      <c r="AH588">
        <v>0</v>
      </c>
      <c r="AI588">
        <v>0</v>
      </c>
      <c r="AJ588">
        <v>0</v>
      </c>
      <c r="AK588">
        <v>0</v>
      </c>
      <c r="AL588" s="24">
        <v>98561.55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s="24">
        <v>98561.55</v>
      </c>
      <c r="AV588">
        <v>0</v>
      </c>
      <c r="AW588">
        <v>0</v>
      </c>
      <c r="AX588">
        <v>311000</v>
      </c>
      <c r="AY588" t="s">
        <v>161</v>
      </c>
      <c r="AZ588">
        <v>49.75</v>
      </c>
      <c r="BA588">
        <v>49.75</v>
      </c>
      <c r="BB588">
        <v>0</v>
      </c>
      <c r="BC588" t="s">
        <v>227</v>
      </c>
      <c r="BD588">
        <v>1509</v>
      </c>
      <c r="BE588" t="s">
        <v>169</v>
      </c>
      <c r="BF588">
        <v>5094071737</v>
      </c>
      <c r="BG588" t="s">
        <v>337</v>
      </c>
    </row>
    <row r="589" spans="1:59">
      <c r="A589">
        <v>1115</v>
      </c>
      <c r="B589">
        <v>1115</v>
      </c>
      <c r="C589">
        <v>10</v>
      </c>
      <c r="D589">
        <v>2</v>
      </c>
      <c r="E589" t="s">
        <v>152</v>
      </c>
      <c r="F589" t="s">
        <v>153</v>
      </c>
      <c r="G589" t="s">
        <v>154</v>
      </c>
      <c r="H589">
        <v>1526005639</v>
      </c>
      <c r="I589">
        <v>1000005886</v>
      </c>
      <c r="L589" t="s">
        <v>336</v>
      </c>
      <c r="M589">
        <v>5100001666</v>
      </c>
      <c r="N589" t="s">
        <v>155</v>
      </c>
      <c r="O589" t="s">
        <v>156</v>
      </c>
      <c r="P589">
        <v>4110027035</v>
      </c>
      <c r="Q589" t="s">
        <v>225</v>
      </c>
      <c r="R589">
        <v>5000</v>
      </c>
      <c r="S589" t="s">
        <v>166</v>
      </c>
      <c r="V589" t="s">
        <v>167</v>
      </c>
      <c r="W589">
        <v>1502020105</v>
      </c>
      <c r="X589" t="s">
        <v>226</v>
      </c>
      <c r="Y589" t="str">
        <f>VLOOKUP(W589,Sheet4!$A$5:$B$71,2,0)</f>
        <v>RE STYLING</v>
      </c>
      <c r="Z589">
        <v>87082900</v>
      </c>
      <c r="AA589">
        <v>15</v>
      </c>
      <c r="AB589" t="s">
        <v>159</v>
      </c>
      <c r="AC589" s="24">
        <v>6570.77</v>
      </c>
      <c r="AD589" t="s">
        <v>160</v>
      </c>
      <c r="AE589" s="24">
        <v>98561.55</v>
      </c>
      <c r="AF589">
        <v>0</v>
      </c>
      <c r="AG589" s="24">
        <v>98561.55</v>
      </c>
      <c r="AH589">
        <v>0</v>
      </c>
      <c r="AI589">
        <v>0</v>
      </c>
      <c r="AJ589">
        <v>0</v>
      </c>
      <c r="AK589">
        <v>0</v>
      </c>
      <c r="AL589" s="24">
        <v>98561.55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 s="24">
        <v>98561.55</v>
      </c>
      <c r="AV589">
        <v>0</v>
      </c>
      <c r="AW589">
        <v>0</v>
      </c>
      <c r="AX589">
        <v>311000</v>
      </c>
      <c r="AY589" t="s">
        <v>161</v>
      </c>
      <c r="AZ589">
        <v>49.75</v>
      </c>
      <c r="BA589">
        <v>49.75</v>
      </c>
      <c r="BB589">
        <v>0</v>
      </c>
      <c r="BC589" t="s">
        <v>227</v>
      </c>
      <c r="BD589">
        <v>1509</v>
      </c>
      <c r="BE589" t="s">
        <v>169</v>
      </c>
      <c r="BF589">
        <v>5094071889</v>
      </c>
      <c r="BG589" t="s">
        <v>337</v>
      </c>
    </row>
    <row r="590" spans="1:59">
      <c r="A590">
        <v>1115</v>
      </c>
      <c r="B590">
        <v>1115</v>
      </c>
      <c r="C590">
        <v>10</v>
      </c>
      <c r="D590">
        <v>2</v>
      </c>
      <c r="E590" t="s">
        <v>152</v>
      </c>
      <c r="F590" t="s">
        <v>153</v>
      </c>
      <c r="G590" t="s">
        <v>154</v>
      </c>
      <c r="H590">
        <v>1526005638</v>
      </c>
      <c r="I590">
        <v>1000005885</v>
      </c>
      <c r="L590" t="s">
        <v>336</v>
      </c>
      <c r="M590">
        <v>5100001666</v>
      </c>
      <c r="N590" t="s">
        <v>155</v>
      </c>
      <c r="O590" t="s">
        <v>156</v>
      </c>
      <c r="P590">
        <v>4110027035</v>
      </c>
      <c r="Q590" t="s">
        <v>225</v>
      </c>
      <c r="R590">
        <v>5000</v>
      </c>
      <c r="S590" t="s">
        <v>166</v>
      </c>
      <c r="V590" t="s">
        <v>167</v>
      </c>
      <c r="W590">
        <v>1502020105</v>
      </c>
      <c r="X590" t="s">
        <v>226</v>
      </c>
      <c r="Y590" t="str">
        <f>VLOOKUP(W590,Sheet4!$A$5:$B$71,2,0)</f>
        <v>RE STYLING</v>
      </c>
      <c r="Z590">
        <v>87082900</v>
      </c>
      <c r="AA590">
        <v>15</v>
      </c>
      <c r="AB590" t="s">
        <v>159</v>
      </c>
      <c r="AC590" s="24">
        <v>6570.77</v>
      </c>
      <c r="AD590" t="s">
        <v>160</v>
      </c>
      <c r="AE590" s="24">
        <v>98561.55</v>
      </c>
      <c r="AF590">
        <v>0</v>
      </c>
      <c r="AG590" s="24">
        <v>98561.55</v>
      </c>
      <c r="AH590">
        <v>0</v>
      </c>
      <c r="AI590">
        <v>0</v>
      </c>
      <c r="AJ590">
        <v>0</v>
      </c>
      <c r="AK590">
        <v>0</v>
      </c>
      <c r="AL590" s="24">
        <v>98561.55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s="24">
        <v>98561.55</v>
      </c>
      <c r="AV590">
        <v>0</v>
      </c>
      <c r="AW590">
        <v>0</v>
      </c>
      <c r="AX590">
        <v>311000</v>
      </c>
      <c r="AY590" t="s">
        <v>161</v>
      </c>
      <c r="AZ590">
        <v>49.75</v>
      </c>
      <c r="BA590">
        <v>49.75</v>
      </c>
      <c r="BB590">
        <v>0</v>
      </c>
      <c r="BC590" t="s">
        <v>227</v>
      </c>
      <c r="BD590">
        <v>1509</v>
      </c>
      <c r="BE590" t="s">
        <v>169</v>
      </c>
      <c r="BF590">
        <v>5094071893</v>
      </c>
      <c r="BG590" t="s">
        <v>337</v>
      </c>
    </row>
    <row r="591" spans="1:59">
      <c r="A591">
        <v>1115</v>
      </c>
      <c r="B591">
        <v>1115</v>
      </c>
      <c r="C591">
        <v>10</v>
      </c>
      <c r="D591">
        <v>2</v>
      </c>
      <c r="E591" t="s">
        <v>152</v>
      </c>
      <c r="F591" t="s">
        <v>153</v>
      </c>
      <c r="G591" t="s">
        <v>154</v>
      </c>
      <c r="H591">
        <v>1526005637</v>
      </c>
      <c r="I591">
        <v>1000005884</v>
      </c>
      <c r="L591" t="s">
        <v>336</v>
      </c>
      <c r="M591">
        <v>5100001666</v>
      </c>
      <c r="N591" t="s">
        <v>155</v>
      </c>
      <c r="O591" t="s">
        <v>156</v>
      </c>
      <c r="P591">
        <v>4110027035</v>
      </c>
      <c r="Q591" t="s">
        <v>225</v>
      </c>
      <c r="R591">
        <v>5000</v>
      </c>
      <c r="S591" t="s">
        <v>166</v>
      </c>
      <c r="V591" t="s">
        <v>167</v>
      </c>
      <c r="W591">
        <v>1502020105</v>
      </c>
      <c r="X591" t="s">
        <v>226</v>
      </c>
      <c r="Y591" t="str">
        <f>VLOOKUP(W591,Sheet4!$A$5:$B$71,2,0)</f>
        <v>RE STYLING</v>
      </c>
      <c r="Z591">
        <v>87082900</v>
      </c>
      <c r="AA591">
        <v>15</v>
      </c>
      <c r="AB591" t="s">
        <v>159</v>
      </c>
      <c r="AC591" s="24">
        <v>6570.77</v>
      </c>
      <c r="AD591" t="s">
        <v>160</v>
      </c>
      <c r="AE591" s="24">
        <v>98561.55</v>
      </c>
      <c r="AF591">
        <v>0</v>
      </c>
      <c r="AG591" s="24">
        <v>98561.55</v>
      </c>
      <c r="AH591">
        <v>0</v>
      </c>
      <c r="AI591">
        <v>0</v>
      </c>
      <c r="AJ591">
        <v>0</v>
      </c>
      <c r="AK591">
        <v>0</v>
      </c>
      <c r="AL591" s="24">
        <v>98561.55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s="24">
        <v>98561.55</v>
      </c>
      <c r="AV591">
        <v>0</v>
      </c>
      <c r="AW591">
        <v>0</v>
      </c>
      <c r="AX591">
        <v>311000</v>
      </c>
      <c r="AY591" t="s">
        <v>161</v>
      </c>
      <c r="AZ591">
        <v>49.75</v>
      </c>
      <c r="BA591">
        <v>49.75</v>
      </c>
      <c r="BB591">
        <v>0</v>
      </c>
      <c r="BC591" t="s">
        <v>227</v>
      </c>
      <c r="BD591">
        <v>1509</v>
      </c>
      <c r="BE591" t="s">
        <v>169</v>
      </c>
      <c r="BF591">
        <v>5094071738</v>
      </c>
      <c r="BG591" t="s">
        <v>337</v>
      </c>
    </row>
    <row r="592" spans="1:59">
      <c r="A592">
        <v>1115</v>
      </c>
      <c r="B592">
        <v>1115</v>
      </c>
      <c r="C592">
        <v>10</v>
      </c>
      <c r="D592">
        <v>2</v>
      </c>
      <c r="E592" t="s">
        <v>152</v>
      </c>
      <c r="F592" t="s">
        <v>153</v>
      </c>
      <c r="G592" t="s">
        <v>154</v>
      </c>
      <c r="H592">
        <v>1526005636</v>
      </c>
      <c r="I592">
        <v>1000005883</v>
      </c>
      <c r="L592" t="s">
        <v>336</v>
      </c>
      <c r="M592">
        <v>5100001603</v>
      </c>
      <c r="N592" t="s">
        <v>155</v>
      </c>
      <c r="O592" t="s">
        <v>156</v>
      </c>
      <c r="P592">
        <v>4110025468</v>
      </c>
      <c r="Q592" t="s">
        <v>165</v>
      </c>
      <c r="R592">
        <v>5000</v>
      </c>
      <c r="S592" t="s">
        <v>166</v>
      </c>
      <c r="V592" t="s">
        <v>167</v>
      </c>
      <c r="W592">
        <v>1502020102</v>
      </c>
      <c r="X592" t="s">
        <v>58</v>
      </c>
      <c r="Y592" t="str">
        <f>VLOOKUP(W592,Sheet4!$A$5:$B$71,2,0)</f>
        <v>MAXIMA HD</v>
      </c>
      <c r="Z592">
        <v>87082900</v>
      </c>
      <c r="AA592">
        <v>8</v>
      </c>
      <c r="AB592" t="s">
        <v>159</v>
      </c>
      <c r="AC592" s="24">
        <v>8593.51</v>
      </c>
      <c r="AD592" t="s">
        <v>160</v>
      </c>
      <c r="AE592" s="24">
        <v>68748.08</v>
      </c>
      <c r="AF592">
        <v>0</v>
      </c>
      <c r="AG592" s="24">
        <v>68748.08</v>
      </c>
      <c r="AH592">
        <v>0</v>
      </c>
      <c r="AI592">
        <v>0</v>
      </c>
      <c r="AJ592">
        <v>0</v>
      </c>
      <c r="AK592">
        <v>0</v>
      </c>
      <c r="AL592" s="24">
        <v>68748.08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s="24">
        <v>68748.08</v>
      </c>
      <c r="AV592">
        <v>0</v>
      </c>
      <c r="AW592">
        <v>0</v>
      </c>
      <c r="AX592">
        <v>311000</v>
      </c>
      <c r="AY592" t="s">
        <v>161</v>
      </c>
      <c r="AZ592">
        <v>93.34</v>
      </c>
      <c r="BA592">
        <v>75.430000000000007</v>
      </c>
      <c r="BB592">
        <v>17.91</v>
      </c>
      <c r="BC592" t="s">
        <v>168</v>
      </c>
      <c r="BD592">
        <v>1509</v>
      </c>
      <c r="BE592" t="s">
        <v>169</v>
      </c>
      <c r="BF592">
        <v>5094071253</v>
      </c>
      <c r="BG592" t="s">
        <v>337</v>
      </c>
    </row>
    <row r="593" spans="1:59">
      <c r="A593">
        <v>1115</v>
      </c>
      <c r="B593">
        <v>1115</v>
      </c>
      <c r="C593">
        <v>10</v>
      </c>
      <c r="D593">
        <v>2</v>
      </c>
      <c r="E593" t="s">
        <v>152</v>
      </c>
      <c r="F593" t="s">
        <v>153</v>
      </c>
      <c r="G593" t="s">
        <v>154</v>
      </c>
      <c r="H593">
        <v>1526005635</v>
      </c>
      <c r="I593">
        <v>1000005882</v>
      </c>
      <c r="L593" t="s">
        <v>336</v>
      </c>
      <c r="M593">
        <v>5100001603</v>
      </c>
      <c r="N593" t="s">
        <v>155</v>
      </c>
      <c r="O593" t="s">
        <v>156</v>
      </c>
      <c r="P593">
        <v>4110025468</v>
      </c>
      <c r="Q593" t="s">
        <v>165</v>
      </c>
      <c r="R593">
        <v>5000</v>
      </c>
      <c r="S593" t="s">
        <v>166</v>
      </c>
      <c r="V593" t="s">
        <v>167</v>
      </c>
      <c r="W593">
        <v>1502020102</v>
      </c>
      <c r="X593" t="s">
        <v>58</v>
      </c>
      <c r="Y593" t="str">
        <f>VLOOKUP(W593,Sheet4!$A$5:$B$71,2,0)</f>
        <v>MAXIMA HD</v>
      </c>
      <c r="Z593">
        <v>87082900</v>
      </c>
      <c r="AA593">
        <v>8</v>
      </c>
      <c r="AB593" t="s">
        <v>159</v>
      </c>
      <c r="AC593" s="24">
        <v>8593.51</v>
      </c>
      <c r="AD593" t="s">
        <v>160</v>
      </c>
      <c r="AE593" s="24">
        <v>68748.08</v>
      </c>
      <c r="AF593">
        <v>0</v>
      </c>
      <c r="AG593" s="24">
        <v>68748.08</v>
      </c>
      <c r="AH593">
        <v>0</v>
      </c>
      <c r="AI593">
        <v>0</v>
      </c>
      <c r="AJ593">
        <v>0</v>
      </c>
      <c r="AK593">
        <v>0</v>
      </c>
      <c r="AL593" s="24">
        <v>68748.08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s="24">
        <v>68748.08</v>
      </c>
      <c r="AV593">
        <v>0</v>
      </c>
      <c r="AW593">
        <v>0</v>
      </c>
      <c r="AX593">
        <v>311000</v>
      </c>
      <c r="AY593" t="s">
        <v>161</v>
      </c>
      <c r="AZ593">
        <v>93.34</v>
      </c>
      <c r="BA593">
        <v>75.430000000000007</v>
      </c>
      <c r="BB593">
        <v>17.91</v>
      </c>
      <c r="BC593" t="s">
        <v>168</v>
      </c>
      <c r="BD593">
        <v>1509</v>
      </c>
      <c r="BE593" t="s">
        <v>169</v>
      </c>
      <c r="BF593">
        <v>5094090048</v>
      </c>
      <c r="BG593" t="s">
        <v>333</v>
      </c>
    </row>
    <row r="594" spans="1:59">
      <c r="A594">
        <v>1115</v>
      </c>
      <c r="B594">
        <v>1115</v>
      </c>
      <c r="C594">
        <v>10</v>
      </c>
      <c r="D594">
        <v>2</v>
      </c>
      <c r="E594" t="s">
        <v>152</v>
      </c>
      <c r="F594" t="s">
        <v>153</v>
      </c>
      <c r="G594" t="s">
        <v>154</v>
      </c>
      <c r="H594">
        <v>1526005634</v>
      </c>
      <c r="I594">
        <v>1000005881</v>
      </c>
      <c r="L594" t="s">
        <v>336</v>
      </c>
      <c r="M594">
        <v>5100001603</v>
      </c>
      <c r="N594" t="s">
        <v>155</v>
      </c>
      <c r="O594" t="s">
        <v>156</v>
      </c>
      <c r="P594">
        <v>4110025468</v>
      </c>
      <c r="Q594" t="s">
        <v>165</v>
      </c>
      <c r="R594">
        <v>5000</v>
      </c>
      <c r="S594" t="s">
        <v>166</v>
      </c>
      <c r="V594" t="s">
        <v>167</v>
      </c>
      <c r="W594">
        <v>1502020102</v>
      </c>
      <c r="X594" t="s">
        <v>58</v>
      </c>
      <c r="Y594" t="str">
        <f>VLOOKUP(W594,Sheet4!$A$5:$B$71,2,0)</f>
        <v>MAXIMA HD</v>
      </c>
      <c r="Z594">
        <v>87082900</v>
      </c>
      <c r="AA594">
        <v>8</v>
      </c>
      <c r="AB594" t="s">
        <v>159</v>
      </c>
      <c r="AC594" s="24">
        <v>8593.51</v>
      </c>
      <c r="AD594" t="s">
        <v>160</v>
      </c>
      <c r="AE594" s="24">
        <v>68748.08</v>
      </c>
      <c r="AF594">
        <v>0</v>
      </c>
      <c r="AG594" s="24">
        <v>68748.08</v>
      </c>
      <c r="AH594">
        <v>0</v>
      </c>
      <c r="AI594">
        <v>0</v>
      </c>
      <c r="AJ594">
        <v>0</v>
      </c>
      <c r="AK594">
        <v>0</v>
      </c>
      <c r="AL594" s="24">
        <v>68748.08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s="24">
        <v>68748.08</v>
      </c>
      <c r="AV594">
        <v>0</v>
      </c>
      <c r="AW594">
        <v>0</v>
      </c>
      <c r="AX594">
        <v>311000</v>
      </c>
      <c r="AY594" t="s">
        <v>161</v>
      </c>
      <c r="AZ594">
        <v>93.34</v>
      </c>
      <c r="BA594">
        <v>75.430000000000007</v>
      </c>
      <c r="BB594">
        <v>17.91</v>
      </c>
      <c r="BC594" t="s">
        <v>168</v>
      </c>
      <c r="BD594">
        <v>1509</v>
      </c>
      <c r="BE594" t="s">
        <v>169</v>
      </c>
      <c r="BF594">
        <v>5094073669</v>
      </c>
      <c r="BG594" t="s">
        <v>337</v>
      </c>
    </row>
    <row r="595" spans="1:59">
      <c r="A595">
        <v>1115</v>
      </c>
      <c r="B595">
        <v>1115</v>
      </c>
      <c r="C595">
        <v>10</v>
      </c>
      <c r="D595">
        <v>2</v>
      </c>
      <c r="E595" t="s">
        <v>152</v>
      </c>
      <c r="F595" t="s">
        <v>153</v>
      </c>
      <c r="G595" t="s">
        <v>154</v>
      </c>
      <c r="H595">
        <v>1526005633</v>
      </c>
      <c r="I595">
        <v>1000005880</v>
      </c>
      <c r="L595" t="s">
        <v>336</v>
      </c>
      <c r="M595">
        <v>5100001603</v>
      </c>
      <c r="N595" t="s">
        <v>155</v>
      </c>
      <c r="O595" t="s">
        <v>156</v>
      </c>
      <c r="P595">
        <v>4110025468</v>
      </c>
      <c r="Q595" t="s">
        <v>165</v>
      </c>
      <c r="R595">
        <v>5000</v>
      </c>
      <c r="S595" t="s">
        <v>166</v>
      </c>
      <c r="V595" t="s">
        <v>167</v>
      </c>
      <c r="W595">
        <v>1502020102</v>
      </c>
      <c r="X595" t="s">
        <v>58</v>
      </c>
      <c r="Y595" t="str">
        <f>VLOOKUP(W595,Sheet4!$A$5:$B$71,2,0)</f>
        <v>MAXIMA HD</v>
      </c>
      <c r="Z595">
        <v>87082900</v>
      </c>
      <c r="AA595">
        <v>8</v>
      </c>
      <c r="AB595" t="s">
        <v>159</v>
      </c>
      <c r="AC595" s="24">
        <v>8593.51</v>
      </c>
      <c r="AD595" t="s">
        <v>160</v>
      </c>
      <c r="AE595" s="24">
        <v>68748.08</v>
      </c>
      <c r="AF595">
        <v>0</v>
      </c>
      <c r="AG595" s="24">
        <v>68748.08</v>
      </c>
      <c r="AH595">
        <v>0</v>
      </c>
      <c r="AI595">
        <v>0</v>
      </c>
      <c r="AJ595">
        <v>0</v>
      </c>
      <c r="AK595">
        <v>0</v>
      </c>
      <c r="AL595" s="24">
        <v>68748.08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s="24">
        <v>68748.08</v>
      </c>
      <c r="AV595">
        <v>0</v>
      </c>
      <c r="AW595">
        <v>0</v>
      </c>
      <c r="AX595">
        <v>311000</v>
      </c>
      <c r="AY595" t="s">
        <v>161</v>
      </c>
      <c r="AZ595">
        <v>93.34</v>
      </c>
      <c r="BA595">
        <v>75.430000000000007</v>
      </c>
      <c r="BB595">
        <v>17.91</v>
      </c>
      <c r="BC595" t="s">
        <v>168</v>
      </c>
      <c r="BD595">
        <v>1509</v>
      </c>
      <c r="BE595" t="s">
        <v>169</v>
      </c>
      <c r="BF595">
        <v>5094076507</v>
      </c>
      <c r="BG595" t="s">
        <v>337</v>
      </c>
    </row>
    <row r="596" spans="1:59">
      <c r="A596">
        <v>1115</v>
      </c>
      <c r="B596">
        <v>1115</v>
      </c>
      <c r="C596">
        <v>10</v>
      </c>
      <c r="D596">
        <v>2</v>
      </c>
      <c r="E596" t="s">
        <v>152</v>
      </c>
      <c r="F596" t="s">
        <v>153</v>
      </c>
      <c r="G596" t="s">
        <v>154</v>
      </c>
      <c r="H596">
        <v>1526005673</v>
      </c>
      <c r="I596">
        <v>1000005919</v>
      </c>
      <c r="L596" t="s">
        <v>337</v>
      </c>
      <c r="M596">
        <v>5100001666</v>
      </c>
      <c r="N596" t="s">
        <v>155</v>
      </c>
      <c r="O596" t="s">
        <v>156</v>
      </c>
      <c r="P596">
        <v>4110027035</v>
      </c>
      <c r="Q596" t="s">
        <v>225</v>
      </c>
      <c r="R596">
        <v>5000</v>
      </c>
      <c r="S596" t="s">
        <v>166</v>
      </c>
      <c r="V596" t="s">
        <v>167</v>
      </c>
      <c r="W596">
        <v>1502020105</v>
      </c>
      <c r="X596" t="s">
        <v>226</v>
      </c>
      <c r="Y596" t="str">
        <f>VLOOKUP(W596,Sheet4!$A$5:$B$71,2,0)</f>
        <v>RE STYLING</v>
      </c>
      <c r="Z596">
        <v>87082900</v>
      </c>
      <c r="AA596">
        <v>15</v>
      </c>
      <c r="AB596" t="s">
        <v>159</v>
      </c>
      <c r="AC596" s="24">
        <v>6570.77</v>
      </c>
      <c r="AD596" t="s">
        <v>160</v>
      </c>
      <c r="AE596" s="24">
        <v>98561.55</v>
      </c>
      <c r="AF596">
        <v>0</v>
      </c>
      <c r="AG596" s="24">
        <v>98561.55</v>
      </c>
      <c r="AH596">
        <v>0</v>
      </c>
      <c r="AI596">
        <v>0</v>
      </c>
      <c r="AJ596">
        <v>0</v>
      </c>
      <c r="AK596">
        <v>0</v>
      </c>
      <c r="AL596" s="24">
        <v>98561.55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s="24">
        <v>98561.55</v>
      </c>
      <c r="AV596">
        <v>0</v>
      </c>
      <c r="AW596">
        <v>0</v>
      </c>
      <c r="AX596">
        <v>311000</v>
      </c>
      <c r="AY596" t="s">
        <v>161</v>
      </c>
      <c r="AZ596">
        <v>49.75</v>
      </c>
      <c r="BA596">
        <v>49.75</v>
      </c>
      <c r="BB596">
        <v>0</v>
      </c>
      <c r="BC596" t="s">
        <v>227</v>
      </c>
      <c r="BD596">
        <v>1509</v>
      </c>
      <c r="BE596" t="s">
        <v>169</v>
      </c>
      <c r="BF596">
        <v>5094074734</v>
      </c>
      <c r="BG596" t="s">
        <v>337</v>
      </c>
    </row>
    <row r="597" spans="1:59">
      <c r="A597">
        <v>1115</v>
      </c>
      <c r="B597">
        <v>1115</v>
      </c>
      <c r="C597">
        <v>10</v>
      </c>
      <c r="D597">
        <v>2</v>
      </c>
      <c r="E597" t="s">
        <v>152</v>
      </c>
      <c r="F597" t="s">
        <v>153</v>
      </c>
      <c r="G597" t="s">
        <v>154</v>
      </c>
      <c r="H597">
        <v>1526005721</v>
      </c>
      <c r="I597">
        <v>1000005978</v>
      </c>
      <c r="L597" t="s">
        <v>337</v>
      </c>
      <c r="M597">
        <v>5100001928</v>
      </c>
      <c r="N597" t="s">
        <v>155</v>
      </c>
      <c r="O597" t="s">
        <v>156</v>
      </c>
      <c r="P597">
        <v>4110057393</v>
      </c>
      <c r="Q597" t="s">
        <v>192</v>
      </c>
      <c r="R597">
        <v>5000</v>
      </c>
      <c r="S597" t="s">
        <v>166</v>
      </c>
      <c r="V597" t="s">
        <v>167</v>
      </c>
      <c r="W597">
        <v>1502020122</v>
      </c>
      <c r="X597" t="s">
        <v>70</v>
      </c>
      <c r="Y597" t="str">
        <f>VLOOKUP(W597,Sheet4!$A$5:$B$71,2,0)</f>
        <v>MAX UG NEW EV</v>
      </c>
      <c r="Z597">
        <v>87082900</v>
      </c>
      <c r="AA597">
        <v>10</v>
      </c>
      <c r="AB597" t="s">
        <v>159</v>
      </c>
      <c r="AC597" s="24">
        <v>9566.51</v>
      </c>
      <c r="AD597" t="s">
        <v>160</v>
      </c>
      <c r="AE597" s="24">
        <v>95665.1</v>
      </c>
      <c r="AF597">
        <v>0</v>
      </c>
      <c r="AG597" s="24">
        <v>95665.1</v>
      </c>
      <c r="AH597">
        <v>0</v>
      </c>
      <c r="AI597">
        <v>0</v>
      </c>
      <c r="AJ597">
        <v>0</v>
      </c>
      <c r="AK597">
        <v>0</v>
      </c>
      <c r="AL597" s="24">
        <v>95665.1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s="24">
        <v>95665.1</v>
      </c>
      <c r="AV597">
        <v>0</v>
      </c>
      <c r="AW597">
        <v>0</v>
      </c>
      <c r="AX597">
        <v>311000</v>
      </c>
      <c r="AY597" t="s">
        <v>161</v>
      </c>
      <c r="AZ597">
        <v>0</v>
      </c>
      <c r="BA597">
        <v>61</v>
      </c>
      <c r="BB597">
        <v>-61</v>
      </c>
      <c r="BC597" t="s">
        <v>193</v>
      </c>
      <c r="BD597">
        <v>1509</v>
      </c>
      <c r="BE597" t="s">
        <v>169</v>
      </c>
      <c r="BF597">
        <v>5094079820</v>
      </c>
      <c r="BG597" t="s">
        <v>337</v>
      </c>
    </row>
    <row r="598" spans="1:59">
      <c r="A598">
        <v>1115</v>
      </c>
      <c r="B598">
        <v>1115</v>
      </c>
      <c r="C598">
        <v>10</v>
      </c>
      <c r="D598">
        <v>2</v>
      </c>
      <c r="E598" t="s">
        <v>152</v>
      </c>
      <c r="F598" t="s">
        <v>153</v>
      </c>
      <c r="G598" t="s">
        <v>154</v>
      </c>
      <c r="H598">
        <v>1526005720</v>
      </c>
      <c r="I598">
        <v>1000005977</v>
      </c>
      <c r="L598" t="s">
        <v>337</v>
      </c>
      <c r="M598">
        <v>5100001928</v>
      </c>
      <c r="N598" t="s">
        <v>155</v>
      </c>
      <c r="O598" t="s">
        <v>156</v>
      </c>
      <c r="P598">
        <v>4110057393</v>
      </c>
      <c r="Q598" t="s">
        <v>192</v>
      </c>
      <c r="R598">
        <v>5000</v>
      </c>
      <c r="S598" t="s">
        <v>166</v>
      </c>
      <c r="V598" t="s">
        <v>167</v>
      </c>
      <c r="W598">
        <v>1502020122</v>
      </c>
      <c r="X598" t="s">
        <v>70</v>
      </c>
      <c r="Y598" t="str">
        <f>VLOOKUP(W598,Sheet4!$A$5:$B$71,2,0)</f>
        <v>MAX UG NEW EV</v>
      </c>
      <c r="Z598">
        <v>87082900</v>
      </c>
      <c r="AA598">
        <v>10</v>
      </c>
      <c r="AB598" t="s">
        <v>159</v>
      </c>
      <c r="AC598" s="24">
        <v>9566.51</v>
      </c>
      <c r="AD598" t="s">
        <v>160</v>
      </c>
      <c r="AE598" s="24">
        <v>95665.1</v>
      </c>
      <c r="AF598">
        <v>0</v>
      </c>
      <c r="AG598" s="24">
        <v>95665.1</v>
      </c>
      <c r="AH598">
        <v>0</v>
      </c>
      <c r="AI598">
        <v>0</v>
      </c>
      <c r="AJ598">
        <v>0</v>
      </c>
      <c r="AK598">
        <v>0</v>
      </c>
      <c r="AL598" s="24">
        <v>95665.1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 s="24">
        <v>95665.1</v>
      </c>
      <c r="AV598">
        <v>0</v>
      </c>
      <c r="AW598">
        <v>0</v>
      </c>
      <c r="AX598">
        <v>311000</v>
      </c>
      <c r="AY598" t="s">
        <v>161</v>
      </c>
      <c r="AZ598">
        <v>0</v>
      </c>
      <c r="BA598">
        <v>61</v>
      </c>
      <c r="BB598">
        <v>-61</v>
      </c>
      <c r="BC598" t="s">
        <v>193</v>
      </c>
      <c r="BD598">
        <v>1509</v>
      </c>
      <c r="BE598" t="s">
        <v>169</v>
      </c>
      <c r="BF598">
        <v>5094079819</v>
      </c>
      <c r="BG598" t="s">
        <v>337</v>
      </c>
    </row>
    <row r="599" spans="1:59">
      <c r="A599">
        <v>1115</v>
      </c>
      <c r="B599">
        <v>1115</v>
      </c>
      <c r="C599">
        <v>10</v>
      </c>
      <c r="D599">
        <v>2</v>
      </c>
      <c r="E599" t="s">
        <v>152</v>
      </c>
      <c r="F599" t="s">
        <v>153</v>
      </c>
      <c r="G599" t="s">
        <v>154</v>
      </c>
      <c r="H599">
        <v>1526005717</v>
      </c>
      <c r="I599">
        <v>1000005968</v>
      </c>
      <c r="L599" t="s">
        <v>337</v>
      </c>
      <c r="M599">
        <v>5100001636</v>
      </c>
      <c r="N599" t="s">
        <v>155</v>
      </c>
      <c r="O599" t="s">
        <v>156</v>
      </c>
      <c r="P599">
        <v>4110026445</v>
      </c>
      <c r="Q599" t="s">
        <v>170</v>
      </c>
      <c r="R599">
        <v>5000</v>
      </c>
      <c r="S599" t="s">
        <v>166</v>
      </c>
      <c r="V599" t="s">
        <v>167</v>
      </c>
      <c r="W599">
        <v>1502020104</v>
      </c>
      <c r="X599" t="s">
        <v>26</v>
      </c>
      <c r="Y599" t="str">
        <f>VLOOKUP(W599,Sheet4!$A$5:$B$71,2,0)</f>
        <v>RE STYLING</v>
      </c>
      <c r="Z599">
        <v>87082900</v>
      </c>
      <c r="AA599">
        <v>15</v>
      </c>
      <c r="AB599" t="s">
        <v>159</v>
      </c>
      <c r="AC599" s="24">
        <v>6585.55</v>
      </c>
      <c r="AD599" t="s">
        <v>160</v>
      </c>
      <c r="AE599" s="24">
        <v>98783.25</v>
      </c>
      <c r="AF599">
        <v>0</v>
      </c>
      <c r="AG599" s="24">
        <v>98783.25</v>
      </c>
      <c r="AH599">
        <v>0</v>
      </c>
      <c r="AI599">
        <v>0</v>
      </c>
      <c r="AJ599">
        <v>0</v>
      </c>
      <c r="AK599">
        <v>0</v>
      </c>
      <c r="AL599" s="24">
        <v>98783.25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s="24">
        <v>98783.25</v>
      </c>
      <c r="AV599">
        <v>0</v>
      </c>
      <c r="AW599">
        <v>0</v>
      </c>
      <c r="AX599">
        <v>311000</v>
      </c>
      <c r="AY599" t="s">
        <v>161</v>
      </c>
      <c r="AZ599">
        <v>49.75</v>
      </c>
      <c r="BA599">
        <v>49.75</v>
      </c>
      <c r="BB599">
        <v>0</v>
      </c>
      <c r="BC599" t="s">
        <v>171</v>
      </c>
      <c r="BD599">
        <v>1509</v>
      </c>
      <c r="BE599" t="s">
        <v>169</v>
      </c>
      <c r="BF599">
        <v>5094083334</v>
      </c>
      <c r="BG599" t="s">
        <v>337</v>
      </c>
    </row>
    <row r="600" spans="1:59">
      <c r="A600">
        <v>1115</v>
      </c>
      <c r="B600">
        <v>1115</v>
      </c>
      <c r="C600">
        <v>10</v>
      </c>
      <c r="D600">
        <v>2</v>
      </c>
      <c r="E600" t="s">
        <v>152</v>
      </c>
      <c r="F600" t="s">
        <v>153</v>
      </c>
      <c r="G600" t="s">
        <v>154</v>
      </c>
      <c r="H600">
        <v>1526005716</v>
      </c>
      <c r="I600">
        <v>1000005967</v>
      </c>
      <c r="L600" t="s">
        <v>337</v>
      </c>
      <c r="M600">
        <v>5100001913</v>
      </c>
      <c r="N600" t="s">
        <v>155</v>
      </c>
      <c r="O600" t="s">
        <v>156</v>
      </c>
      <c r="P600">
        <v>4110050475</v>
      </c>
      <c r="Q600" t="s">
        <v>178</v>
      </c>
      <c r="R600">
        <v>5000</v>
      </c>
      <c r="S600" t="s">
        <v>166</v>
      </c>
      <c r="V600" t="s">
        <v>167</v>
      </c>
      <c r="W600">
        <v>1502040289</v>
      </c>
      <c r="X600" t="s">
        <v>49</v>
      </c>
      <c r="Y600" t="str">
        <f>VLOOKUP(W600,Sheet4!$A$5:$B$71,2,0)</f>
        <v>SUPPORT TOP</v>
      </c>
      <c r="Z600">
        <v>87082900</v>
      </c>
      <c r="AA600">
        <v>288</v>
      </c>
      <c r="AB600" t="s">
        <v>159</v>
      </c>
      <c r="AC600">
        <v>174.61</v>
      </c>
      <c r="AD600" t="s">
        <v>160</v>
      </c>
      <c r="AE600" s="24">
        <v>50287.68</v>
      </c>
      <c r="AF600">
        <v>0</v>
      </c>
      <c r="AG600" s="24">
        <v>50287.68</v>
      </c>
      <c r="AH600">
        <v>0</v>
      </c>
      <c r="AI600">
        <v>0</v>
      </c>
      <c r="AJ600">
        <v>0</v>
      </c>
      <c r="AK600">
        <v>0</v>
      </c>
      <c r="AL600" s="24">
        <v>50287.68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 s="24">
        <v>50287.68</v>
      </c>
      <c r="AV600">
        <v>0</v>
      </c>
      <c r="AW600">
        <v>0</v>
      </c>
      <c r="AX600">
        <v>311000</v>
      </c>
      <c r="AY600" t="s">
        <v>161</v>
      </c>
      <c r="AZ600">
        <v>0</v>
      </c>
      <c r="BA600">
        <v>0</v>
      </c>
      <c r="BB600">
        <v>0</v>
      </c>
      <c r="BC600" t="s">
        <v>179</v>
      </c>
      <c r="BD600">
        <v>1511</v>
      </c>
      <c r="BE600" t="s">
        <v>174</v>
      </c>
      <c r="BF600">
        <v>5094077888</v>
      </c>
      <c r="BG600" t="s">
        <v>337</v>
      </c>
    </row>
    <row r="601" spans="1:59">
      <c r="A601">
        <v>1115</v>
      </c>
      <c r="B601">
        <v>1115</v>
      </c>
      <c r="C601">
        <v>10</v>
      </c>
      <c r="D601">
        <v>2</v>
      </c>
      <c r="E601" t="s">
        <v>152</v>
      </c>
      <c r="F601" t="s">
        <v>153</v>
      </c>
      <c r="G601" t="s">
        <v>154</v>
      </c>
      <c r="H601">
        <v>1526005715</v>
      </c>
      <c r="I601">
        <v>1000005966</v>
      </c>
      <c r="L601" t="s">
        <v>337</v>
      </c>
      <c r="M601">
        <v>5100001913</v>
      </c>
      <c r="N601" t="s">
        <v>155</v>
      </c>
      <c r="O601" t="s">
        <v>156</v>
      </c>
      <c r="P601">
        <v>4110050475</v>
      </c>
      <c r="Q601" t="s">
        <v>178</v>
      </c>
      <c r="R601">
        <v>5000</v>
      </c>
      <c r="S601" t="s">
        <v>166</v>
      </c>
      <c r="V601" t="s">
        <v>167</v>
      </c>
      <c r="W601">
        <v>1502040289</v>
      </c>
      <c r="X601" t="s">
        <v>49</v>
      </c>
      <c r="Y601" t="str">
        <f>VLOOKUP(W601,Sheet4!$A$5:$B$71,2,0)</f>
        <v>SUPPORT TOP</v>
      </c>
      <c r="Z601">
        <v>87082900</v>
      </c>
      <c r="AA601">
        <v>200</v>
      </c>
      <c r="AB601" t="s">
        <v>159</v>
      </c>
      <c r="AC601">
        <v>174.61</v>
      </c>
      <c r="AD601" t="s">
        <v>160</v>
      </c>
      <c r="AE601" s="24">
        <v>34922</v>
      </c>
      <c r="AF601">
        <v>0</v>
      </c>
      <c r="AG601" s="24">
        <v>34922</v>
      </c>
      <c r="AH601">
        <v>0</v>
      </c>
      <c r="AI601">
        <v>0</v>
      </c>
      <c r="AJ601">
        <v>0</v>
      </c>
      <c r="AK601">
        <v>0</v>
      </c>
      <c r="AL601" s="24">
        <v>34922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s="24">
        <v>34922</v>
      </c>
      <c r="AV601">
        <v>0</v>
      </c>
      <c r="AW601">
        <v>0</v>
      </c>
      <c r="AX601">
        <v>311000</v>
      </c>
      <c r="AY601" t="s">
        <v>161</v>
      </c>
      <c r="AZ601">
        <v>0</v>
      </c>
      <c r="BA601">
        <v>0</v>
      </c>
      <c r="BB601">
        <v>0</v>
      </c>
      <c r="BC601" t="s">
        <v>179</v>
      </c>
      <c r="BD601">
        <v>1511</v>
      </c>
      <c r="BE601" t="s">
        <v>174</v>
      </c>
      <c r="BF601">
        <v>5094075720</v>
      </c>
      <c r="BG601" t="s">
        <v>337</v>
      </c>
    </row>
    <row r="602" spans="1:59">
      <c r="A602">
        <v>1115</v>
      </c>
      <c r="B602">
        <v>1115</v>
      </c>
      <c r="C602">
        <v>10</v>
      </c>
      <c r="D602">
        <v>2</v>
      </c>
      <c r="E602" t="s">
        <v>152</v>
      </c>
      <c r="F602" t="s">
        <v>153</v>
      </c>
      <c r="G602" t="s">
        <v>154</v>
      </c>
      <c r="H602">
        <v>1526005714</v>
      </c>
      <c r="I602">
        <v>1000005965</v>
      </c>
      <c r="L602" t="s">
        <v>337</v>
      </c>
      <c r="M602">
        <v>5100001636</v>
      </c>
      <c r="N602" t="s">
        <v>155</v>
      </c>
      <c r="O602" t="s">
        <v>156</v>
      </c>
      <c r="P602">
        <v>4110026445</v>
      </c>
      <c r="Q602" t="s">
        <v>170</v>
      </c>
      <c r="R602">
        <v>5000</v>
      </c>
      <c r="S602" t="s">
        <v>166</v>
      </c>
      <c r="V602" t="s">
        <v>167</v>
      </c>
      <c r="W602">
        <v>1502020104</v>
      </c>
      <c r="X602" t="s">
        <v>26</v>
      </c>
      <c r="Y602" t="str">
        <f>VLOOKUP(W602,Sheet4!$A$5:$B$71,2,0)</f>
        <v>RE STYLING</v>
      </c>
      <c r="Z602">
        <v>87082900</v>
      </c>
      <c r="AA602">
        <v>15</v>
      </c>
      <c r="AB602" t="s">
        <v>159</v>
      </c>
      <c r="AC602" s="24">
        <v>6585.55</v>
      </c>
      <c r="AD602" t="s">
        <v>160</v>
      </c>
      <c r="AE602" s="24">
        <v>98783.25</v>
      </c>
      <c r="AF602">
        <v>0</v>
      </c>
      <c r="AG602" s="24">
        <v>98783.25</v>
      </c>
      <c r="AH602">
        <v>0</v>
      </c>
      <c r="AI602">
        <v>0</v>
      </c>
      <c r="AJ602">
        <v>0</v>
      </c>
      <c r="AK602">
        <v>0</v>
      </c>
      <c r="AL602" s="24">
        <v>98783.25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 s="24">
        <v>98783.25</v>
      </c>
      <c r="AV602">
        <v>0</v>
      </c>
      <c r="AW602">
        <v>0</v>
      </c>
      <c r="AX602">
        <v>311000</v>
      </c>
      <c r="AY602" t="s">
        <v>161</v>
      </c>
      <c r="AZ602">
        <v>49.75</v>
      </c>
      <c r="BA602">
        <v>49.75</v>
      </c>
      <c r="BB602">
        <v>0</v>
      </c>
      <c r="BC602" t="s">
        <v>171</v>
      </c>
      <c r="BD602">
        <v>1509</v>
      </c>
      <c r="BE602" t="s">
        <v>169</v>
      </c>
      <c r="BF602">
        <v>5094079372</v>
      </c>
      <c r="BG602" t="s">
        <v>337</v>
      </c>
    </row>
    <row r="603" spans="1:59">
      <c r="A603">
        <v>1115</v>
      </c>
      <c r="B603">
        <v>1115</v>
      </c>
      <c r="C603">
        <v>10</v>
      </c>
      <c r="D603">
        <v>2</v>
      </c>
      <c r="E603" t="s">
        <v>152</v>
      </c>
      <c r="F603" t="s">
        <v>153</v>
      </c>
      <c r="G603" t="s">
        <v>154</v>
      </c>
      <c r="H603">
        <v>1526005713</v>
      </c>
      <c r="I603">
        <v>1000005964</v>
      </c>
      <c r="L603" t="s">
        <v>337</v>
      </c>
      <c r="M603">
        <v>5100001636</v>
      </c>
      <c r="N603" t="s">
        <v>155</v>
      </c>
      <c r="O603" t="s">
        <v>156</v>
      </c>
      <c r="P603">
        <v>4110026445</v>
      </c>
      <c r="Q603" t="s">
        <v>170</v>
      </c>
      <c r="R603">
        <v>5000</v>
      </c>
      <c r="S603" t="s">
        <v>166</v>
      </c>
      <c r="V603" t="s">
        <v>167</v>
      </c>
      <c r="W603">
        <v>1502020104</v>
      </c>
      <c r="X603" t="s">
        <v>26</v>
      </c>
      <c r="Y603" t="str">
        <f>VLOOKUP(W603,Sheet4!$A$5:$B$71,2,0)</f>
        <v>RE STYLING</v>
      </c>
      <c r="Z603">
        <v>87082900</v>
      </c>
      <c r="AA603">
        <v>15</v>
      </c>
      <c r="AB603" t="s">
        <v>159</v>
      </c>
      <c r="AC603" s="24">
        <v>6585.55</v>
      </c>
      <c r="AD603" t="s">
        <v>160</v>
      </c>
      <c r="AE603" s="24">
        <v>98783.25</v>
      </c>
      <c r="AF603">
        <v>0</v>
      </c>
      <c r="AG603" s="24">
        <v>98783.25</v>
      </c>
      <c r="AH603">
        <v>0</v>
      </c>
      <c r="AI603">
        <v>0</v>
      </c>
      <c r="AJ603">
        <v>0</v>
      </c>
      <c r="AK603">
        <v>0</v>
      </c>
      <c r="AL603" s="24">
        <v>98783.25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 s="24">
        <v>98783.25</v>
      </c>
      <c r="AV603">
        <v>0</v>
      </c>
      <c r="AW603">
        <v>0</v>
      </c>
      <c r="AX603">
        <v>311000</v>
      </c>
      <c r="AY603" t="s">
        <v>161</v>
      </c>
      <c r="AZ603">
        <v>49.75</v>
      </c>
      <c r="BA603">
        <v>49.75</v>
      </c>
      <c r="BB603">
        <v>0</v>
      </c>
      <c r="BC603" t="s">
        <v>171</v>
      </c>
      <c r="BD603">
        <v>1509</v>
      </c>
      <c r="BE603" t="s">
        <v>169</v>
      </c>
      <c r="BF603">
        <v>5094079072</v>
      </c>
      <c r="BG603" t="s">
        <v>337</v>
      </c>
    </row>
    <row r="604" spans="1:59">
      <c r="A604">
        <v>1115</v>
      </c>
      <c r="B604">
        <v>1115</v>
      </c>
      <c r="C604">
        <v>10</v>
      </c>
      <c r="D604">
        <v>2</v>
      </c>
      <c r="E604" t="s">
        <v>152</v>
      </c>
      <c r="F604" t="s">
        <v>153</v>
      </c>
      <c r="G604" t="s">
        <v>154</v>
      </c>
      <c r="H604">
        <v>1526005712</v>
      </c>
      <c r="I604">
        <v>1000005963</v>
      </c>
      <c r="L604" t="s">
        <v>337</v>
      </c>
      <c r="M604">
        <v>5100001227</v>
      </c>
      <c r="N604" t="s">
        <v>155</v>
      </c>
      <c r="O604" t="s">
        <v>156</v>
      </c>
      <c r="P604">
        <v>4110011319</v>
      </c>
      <c r="Q604" t="s">
        <v>175</v>
      </c>
      <c r="R604">
        <v>5000</v>
      </c>
      <c r="S604" t="s">
        <v>166</v>
      </c>
      <c r="V604" t="s">
        <v>167</v>
      </c>
      <c r="W604">
        <v>1502020074</v>
      </c>
      <c r="X604" t="s">
        <v>28</v>
      </c>
      <c r="Y604" t="str">
        <f>VLOOKUP(W604,Sheet4!$A$5:$B$71,2,0)</f>
        <v>MAX UG NEW</v>
      </c>
      <c r="Z604">
        <v>87082900</v>
      </c>
      <c r="AA604">
        <v>10</v>
      </c>
      <c r="AB604" t="s">
        <v>159</v>
      </c>
      <c r="AC604" s="24">
        <v>9397.5</v>
      </c>
      <c r="AD604" t="s">
        <v>160</v>
      </c>
      <c r="AE604" s="24">
        <v>93975</v>
      </c>
      <c r="AF604">
        <v>0</v>
      </c>
      <c r="AG604" s="24">
        <v>93975</v>
      </c>
      <c r="AH604">
        <v>0</v>
      </c>
      <c r="AI604">
        <v>0</v>
      </c>
      <c r="AJ604">
        <v>0</v>
      </c>
      <c r="AK604">
        <v>0</v>
      </c>
      <c r="AL604" s="24">
        <v>93975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 s="24">
        <v>93975</v>
      </c>
      <c r="AV604">
        <v>0</v>
      </c>
      <c r="AW604">
        <v>0</v>
      </c>
      <c r="AX604">
        <v>311000</v>
      </c>
      <c r="AY604" t="s">
        <v>161</v>
      </c>
      <c r="AZ604">
        <v>69.5</v>
      </c>
      <c r="BA604">
        <v>69.5</v>
      </c>
      <c r="BB604">
        <v>0</v>
      </c>
      <c r="BC604" t="s">
        <v>176</v>
      </c>
      <c r="BD604">
        <v>1509</v>
      </c>
      <c r="BE604" t="s">
        <v>169</v>
      </c>
      <c r="BF604">
        <v>5094076339</v>
      </c>
      <c r="BG604" t="s">
        <v>337</v>
      </c>
    </row>
    <row r="605" spans="1:59">
      <c r="A605">
        <v>1115</v>
      </c>
      <c r="B605">
        <v>1115</v>
      </c>
      <c r="C605">
        <v>10</v>
      </c>
      <c r="D605">
        <v>2</v>
      </c>
      <c r="E605" t="s">
        <v>152</v>
      </c>
      <c r="F605" t="s">
        <v>153</v>
      </c>
      <c r="G605" t="s">
        <v>154</v>
      </c>
      <c r="H605">
        <v>1526005711</v>
      </c>
      <c r="I605">
        <v>1000005962</v>
      </c>
      <c r="L605" t="s">
        <v>337</v>
      </c>
      <c r="M605">
        <v>5100001227</v>
      </c>
      <c r="N605" t="s">
        <v>155</v>
      </c>
      <c r="O605" t="s">
        <v>156</v>
      </c>
      <c r="P605">
        <v>4110011319</v>
      </c>
      <c r="Q605" t="s">
        <v>175</v>
      </c>
      <c r="R605">
        <v>5000</v>
      </c>
      <c r="S605" t="s">
        <v>166</v>
      </c>
      <c r="V605" t="s">
        <v>167</v>
      </c>
      <c r="W605">
        <v>1502020074</v>
      </c>
      <c r="X605" t="s">
        <v>28</v>
      </c>
      <c r="Y605" t="str">
        <f>VLOOKUP(W605,Sheet4!$A$5:$B$71,2,0)</f>
        <v>MAX UG NEW</v>
      </c>
      <c r="Z605">
        <v>87082900</v>
      </c>
      <c r="AA605">
        <v>10</v>
      </c>
      <c r="AB605" t="s">
        <v>159</v>
      </c>
      <c r="AC605" s="24">
        <v>9397.5</v>
      </c>
      <c r="AD605" t="s">
        <v>160</v>
      </c>
      <c r="AE605" s="24">
        <v>93975</v>
      </c>
      <c r="AF605">
        <v>0</v>
      </c>
      <c r="AG605" s="24">
        <v>93975</v>
      </c>
      <c r="AH605">
        <v>0</v>
      </c>
      <c r="AI605">
        <v>0</v>
      </c>
      <c r="AJ605">
        <v>0</v>
      </c>
      <c r="AK605">
        <v>0</v>
      </c>
      <c r="AL605" s="24">
        <v>93975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 s="24">
        <v>93975</v>
      </c>
      <c r="AV605">
        <v>0</v>
      </c>
      <c r="AW605">
        <v>0</v>
      </c>
      <c r="AX605">
        <v>311000</v>
      </c>
      <c r="AY605" t="s">
        <v>161</v>
      </c>
      <c r="AZ605">
        <v>69.5</v>
      </c>
      <c r="BA605">
        <v>69.5</v>
      </c>
      <c r="BB605">
        <v>0</v>
      </c>
      <c r="BC605" t="s">
        <v>176</v>
      </c>
      <c r="BD605">
        <v>1509</v>
      </c>
      <c r="BE605" t="s">
        <v>169</v>
      </c>
      <c r="BF605">
        <v>5094079708</v>
      </c>
      <c r="BG605" t="s">
        <v>337</v>
      </c>
    </row>
    <row r="606" spans="1:59">
      <c r="A606">
        <v>1115</v>
      </c>
      <c r="B606">
        <v>1115</v>
      </c>
      <c r="C606">
        <v>10</v>
      </c>
      <c r="D606">
        <v>2</v>
      </c>
      <c r="E606" t="s">
        <v>152</v>
      </c>
      <c r="F606" t="s">
        <v>153</v>
      </c>
      <c r="G606" t="s">
        <v>154</v>
      </c>
      <c r="H606">
        <v>1526005710</v>
      </c>
      <c r="I606">
        <v>1000005961</v>
      </c>
      <c r="L606" t="s">
        <v>337</v>
      </c>
      <c r="M606">
        <v>5100001227</v>
      </c>
      <c r="N606" t="s">
        <v>155</v>
      </c>
      <c r="O606" t="s">
        <v>156</v>
      </c>
      <c r="P606">
        <v>4110011319</v>
      </c>
      <c r="Q606" t="s">
        <v>175</v>
      </c>
      <c r="R606">
        <v>5000</v>
      </c>
      <c r="S606" t="s">
        <v>166</v>
      </c>
      <c r="V606" t="s">
        <v>167</v>
      </c>
      <c r="W606">
        <v>1502020074</v>
      </c>
      <c r="X606" t="s">
        <v>28</v>
      </c>
      <c r="Y606" t="str">
        <f>VLOOKUP(W606,Sheet4!$A$5:$B$71,2,0)</f>
        <v>MAX UG NEW</v>
      </c>
      <c r="Z606">
        <v>87082900</v>
      </c>
      <c r="AA606">
        <v>8</v>
      </c>
      <c r="AB606" t="s">
        <v>159</v>
      </c>
      <c r="AC606" s="24">
        <v>9397.5</v>
      </c>
      <c r="AD606" t="s">
        <v>160</v>
      </c>
      <c r="AE606" s="24">
        <v>75180</v>
      </c>
      <c r="AF606">
        <v>0</v>
      </c>
      <c r="AG606" s="24">
        <v>75180</v>
      </c>
      <c r="AH606">
        <v>0</v>
      </c>
      <c r="AI606">
        <v>0</v>
      </c>
      <c r="AJ606">
        <v>0</v>
      </c>
      <c r="AK606">
        <v>0</v>
      </c>
      <c r="AL606" s="24">
        <v>75180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s="24">
        <v>75180</v>
      </c>
      <c r="AV606">
        <v>0</v>
      </c>
      <c r="AW606">
        <v>0</v>
      </c>
      <c r="AX606">
        <v>311000</v>
      </c>
      <c r="AY606" t="s">
        <v>161</v>
      </c>
      <c r="AZ606">
        <v>69.5</v>
      </c>
      <c r="BA606">
        <v>69.5</v>
      </c>
      <c r="BB606">
        <v>0</v>
      </c>
      <c r="BC606" t="s">
        <v>176</v>
      </c>
      <c r="BD606">
        <v>1509</v>
      </c>
      <c r="BE606" t="s">
        <v>169</v>
      </c>
      <c r="BF606">
        <v>5094076948</v>
      </c>
      <c r="BG606" t="s">
        <v>337</v>
      </c>
    </row>
    <row r="607" spans="1:59">
      <c r="A607">
        <v>1115</v>
      </c>
      <c r="B607">
        <v>1115</v>
      </c>
      <c r="C607">
        <v>10</v>
      </c>
      <c r="D607">
        <v>2</v>
      </c>
      <c r="E607" t="s">
        <v>152</v>
      </c>
      <c r="F607" t="s">
        <v>153</v>
      </c>
      <c r="G607" t="s">
        <v>154</v>
      </c>
      <c r="H607">
        <v>1526005709</v>
      </c>
      <c r="I607">
        <v>1000005960</v>
      </c>
      <c r="L607" t="s">
        <v>337</v>
      </c>
      <c r="M607">
        <v>5100001934</v>
      </c>
      <c r="N607" t="s">
        <v>155</v>
      </c>
      <c r="O607" t="s">
        <v>156</v>
      </c>
      <c r="P607">
        <v>4110058649</v>
      </c>
      <c r="Q607" t="s">
        <v>196</v>
      </c>
      <c r="R607">
        <v>5000</v>
      </c>
      <c r="S607" t="s">
        <v>166</v>
      </c>
      <c r="V607" t="s">
        <v>167</v>
      </c>
      <c r="W607">
        <v>1502040217</v>
      </c>
      <c r="X607" t="s">
        <v>197</v>
      </c>
      <c r="Y607" t="str">
        <f>VLOOKUP(W607,Sheet4!$A$5:$B$71,2,0)</f>
        <v>FRONT MUDGARD GOGO</v>
      </c>
      <c r="Z607">
        <v>87082900</v>
      </c>
      <c r="AA607">
        <v>80</v>
      </c>
      <c r="AB607" t="s">
        <v>159</v>
      </c>
      <c r="AC607">
        <v>380.93</v>
      </c>
      <c r="AD607" t="s">
        <v>160</v>
      </c>
      <c r="AE607" s="24">
        <v>30474.400000000001</v>
      </c>
      <c r="AF607">
        <v>0</v>
      </c>
      <c r="AG607" s="24">
        <v>30474.400000000001</v>
      </c>
      <c r="AH607">
        <v>0</v>
      </c>
      <c r="AI607">
        <v>0</v>
      </c>
      <c r="AJ607">
        <v>0</v>
      </c>
      <c r="AK607">
        <v>0</v>
      </c>
      <c r="AL607" s="24">
        <v>30474.400000000001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s="24">
        <v>30474.400000000001</v>
      </c>
      <c r="AV607">
        <v>0</v>
      </c>
      <c r="AW607">
        <v>0</v>
      </c>
      <c r="AX607">
        <v>311000</v>
      </c>
      <c r="AY607" t="s">
        <v>161</v>
      </c>
      <c r="AZ607">
        <v>2.13</v>
      </c>
      <c r="BA607">
        <v>2.13</v>
      </c>
      <c r="BB607">
        <v>0</v>
      </c>
      <c r="BC607" t="s">
        <v>198</v>
      </c>
      <c r="BD607">
        <v>1511</v>
      </c>
      <c r="BE607" t="s">
        <v>174</v>
      </c>
      <c r="BF607">
        <v>5094076290</v>
      </c>
      <c r="BG607" t="s">
        <v>337</v>
      </c>
    </row>
    <row r="608" spans="1:59">
      <c r="A608">
        <v>1115</v>
      </c>
      <c r="B608">
        <v>1115</v>
      </c>
      <c r="C608">
        <v>10</v>
      </c>
      <c r="D608">
        <v>2</v>
      </c>
      <c r="E608" t="s">
        <v>152</v>
      </c>
      <c r="F608" t="s">
        <v>153</v>
      </c>
      <c r="G608" t="s">
        <v>154</v>
      </c>
      <c r="H608">
        <v>1526005708</v>
      </c>
      <c r="I608">
        <v>1000005959</v>
      </c>
      <c r="L608" t="s">
        <v>337</v>
      </c>
      <c r="M608">
        <v>5100001588</v>
      </c>
      <c r="N608" t="s">
        <v>155</v>
      </c>
      <c r="O608" t="s">
        <v>156</v>
      </c>
      <c r="P608">
        <v>4110025058</v>
      </c>
      <c r="Q608" t="s">
        <v>180</v>
      </c>
      <c r="R608">
        <v>5000</v>
      </c>
      <c r="S608" t="s">
        <v>166</v>
      </c>
      <c r="V608" t="s">
        <v>167</v>
      </c>
      <c r="W608">
        <v>1502040235</v>
      </c>
      <c r="X608" t="s">
        <v>47</v>
      </c>
      <c r="Y608" t="str">
        <f>VLOOKUP(W608,Sheet4!$A$5:$B$71,2,0)</f>
        <v>STARTING HANDLE</v>
      </c>
      <c r="Z608">
        <v>87082900</v>
      </c>
      <c r="AA608">
        <v>540</v>
      </c>
      <c r="AB608" t="s">
        <v>159</v>
      </c>
      <c r="AC608">
        <v>217.33</v>
      </c>
      <c r="AD608" t="s">
        <v>160</v>
      </c>
      <c r="AE608" s="24">
        <v>117358.2</v>
      </c>
      <c r="AF608">
        <v>0</v>
      </c>
      <c r="AG608" s="24">
        <v>117358.2</v>
      </c>
      <c r="AH608">
        <v>0</v>
      </c>
      <c r="AI608">
        <v>0</v>
      </c>
      <c r="AJ608">
        <v>0</v>
      </c>
      <c r="AK608">
        <v>0</v>
      </c>
      <c r="AL608" s="24">
        <v>117358.2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s="24">
        <v>117358.2</v>
      </c>
      <c r="AV608">
        <v>0</v>
      </c>
      <c r="AW608">
        <v>0</v>
      </c>
      <c r="AX608">
        <v>311000</v>
      </c>
      <c r="AY608" t="s">
        <v>161</v>
      </c>
      <c r="AZ608">
        <v>1.19</v>
      </c>
      <c r="BA608">
        <v>1.19</v>
      </c>
      <c r="BB608">
        <v>0</v>
      </c>
      <c r="BC608" t="s">
        <v>181</v>
      </c>
      <c r="BD608">
        <v>1511</v>
      </c>
      <c r="BE608" t="s">
        <v>174</v>
      </c>
      <c r="BF608">
        <v>5094080014</v>
      </c>
      <c r="BG608" t="s">
        <v>337</v>
      </c>
    </row>
    <row r="609" spans="1:59">
      <c r="A609">
        <v>1115</v>
      </c>
      <c r="B609">
        <v>1115</v>
      </c>
      <c r="C609">
        <v>10</v>
      </c>
      <c r="D609">
        <v>2</v>
      </c>
      <c r="E609" t="s">
        <v>152</v>
      </c>
      <c r="F609" t="s">
        <v>153</v>
      </c>
      <c r="G609" t="s">
        <v>154</v>
      </c>
      <c r="H609">
        <v>1526005706</v>
      </c>
      <c r="I609">
        <v>1000005956</v>
      </c>
      <c r="L609" t="s">
        <v>337</v>
      </c>
      <c r="M609">
        <v>5100001588</v>
      </c>
      <c r="N609" t="s">
        <v>155</v>
      </c>
      <c r="O609" t="s">
        <v>156</v>
      </c>
      <c r="P609">
        <v>4110025058</v>
      </c>
      <c r="Q609" t="s">
        <v>180</v>
      </c>
      <c r="R609">
        <v>5000</v>
      </c>
      <c r="S609" t="s">
        <v>166</v>
      </c>
      <c r="V609" t="s">
        <v>167</v>
      </c>
      <c r="W609">
        <v>1502040235</v>
      </c>
      <c r="X609" t="s">
        <v>47</v>
      </c>
      <c r="Y609" t="str">
        <f>VLOOKUP(W609,Sheet4!$A$5:$B$71,2,0)</f>
        <v>STARTING HANDLE</v>
      </c>
      <c r="Z609">
        <v>87082900</v>
      </c>
      <c r="AA609">
        <v>180</v>
      </c>
      <c r="AB609" t="s">
        <v>159</v>
      </c>
      <c r="AC609">
        <v>217.33</v>
      </c>
      <c r="AD609" t="s">
        <v>160</v>
      </c>
      <c r="AE609" s="24">
        <v>39119.4</v>
      </c>
      <c r="AF609">
        <v>0</v>
      </c>
      <c r="AG609" s="24">
        <v>39119.4</v>
      </c>
      <c r="AH609">
        <v>0</v>
      </c>
      <c r="AI609">
        <v>0</v>
      </c>
      <c r="AJ609">
        <v>0</v>
      </c>
      <c r="AK609">
        <v>0</v>
      </c>
      <c r="AL609" s="24">
        <v>39119.4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s="24">
        <v>39119.4</v>
      </c>
      <c r="AV609">
        <v>0</v>
      </c>
      <c r="AW609">
        <v>0</v>
      </c>
      <c r="AX609">
        <v>311000</v>
      </c>
      <c r="AY609" t="s">
        <v>161</v>
      </c>
      <c r="AZ609">
        <v>1.19</v>
      </c>
      <c r="BA609">
        <v>1.19</v>
      </c>
      <c r="BB609">
        <v>0</v>
      </c>
      <c r="BC609" t="s">
        <v>181</v>
      </c>
      <c r="BD609">
        <v>1511</v>
      </c>
      <c r="BE609" t="s">
        <v>174</v>
      </c>
      <c r="BF609">
        <v>5094076453</v>
      </c>
      <c r="BG609" t="s">
        <v>337</v>
      </c>
    </row>
    <row r="610" spans="1:59">
      <c r="A610">
        <v>1115</v>
      </c>
      <c r="B610">
        <v>1115</v>
      </c>
      <c r="C610">
        <v>10</v>
      </c>
      <c r="D610">
        <v>2</v>
      </c>
      <c r="E610" t="s">
        <v>152</v>
      </c>
      <c r="F610" t="s">
        <v>153</v>
      </c>
      <c r="G610" t="s">
        <v>154</v>
      </c>
      <c r="H610">
        <v>1526005702</v>
      </c>
      <c r="I610">
        <v>1000005946</v>
      </c>
      <c r="L610" t="s">
        <v>337</v>
      </c>
      <c r="M610">
        <v>5100001925</v>
      </c>
      <c r="N610" t="s">
        <v>155</v>
      </c>
      <c r="O610" t="s">
        <v>156</v>
      </c>
      <c r="P610">
        <v>4110055667</v>
      </c>
      <c r="Q610" t="s">
        <v>185</v>
      </c>
      <c r="R610">
        <v>5000</v>
      </c>
      <c r="S610" t="s">
        <v>166</v>
      </c>
      <c r="V610" t="s">
        <v>167</v>
      </c>
      <c r="W610">
        <v>1502040317</v>
      </c>
      <c r="X610" t="s">
        <v>73</v>
      </c>
      <c r="Y610" t="str">
        <f>VLOOKUP(W610,Sheet4!$A$5:$B$71,2,0)</f>
        <v>Re Side Door</v>
      </c>
      <c r="Z610">
        <v>87082900</v>
      </c>
      <c r="AA610">
        <v>100</v>
      </c>
      <c r="AB610" t="s">
        <v>159</v>
      </c>
      <c r="AC610">
        <v>506.59</v>
      </c>
      <c r="AD610" t="s">
        <v>160</v>
      </c>
      <c r="AE610" s="24">
        <v>50659</v>
      </c>
      <c r="AF610">
        <v>0</v>
      </c>
      <c r="AG610" s="24">
        <v>50659</v>
      </c>
      <c r="AH610">
        <v>0</v>
      </c>
      <c r="AI610">
        <v>0</v>
      </c>
      <c r="AJ610">
        <v>0</v>
      </c>
      <c r="AK610">
        <v>0</v>
      </c>
      <c r="AL610" s="24">
        <v>50659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s="24">
        <v>50659</v>
      </c>
      <c r="AV610">
        <v>0</v>
      </c>
      <c r="AW610">
        <v>0</v>
      </c>
      <c r="AX610">
        <v>311000</v>
      </c>
      <c r="AY610" t="s">
        <v>161</v>
      </c>
      <c r="AZ610">
        <v>2.27</v>
      </c>
      <c r="BA610">
        <v>2.27</v>
      </c>
      <c r="BB610">
        <v>0</v>
      </c>
      <c r="BC610" t="s">
        <v>186</v>
      </c>
      <c r="BD610">
        <v>1511</v>
      </c>
      <c r="BE610" t="s">
        <v>174</v>
      </c>
      <c r="BF610">
        <v>5094084719</v>
      </c>
      <c r="BG610" t="s">
        <v>337</v>
      </c>
    </row>
    <row r="611" spans="1:59">
      <c r="A611">
        <v>1115</v>
      </c>
      <c r="B611">
        <v>1115</v>
      </c>
      <c r="C611">
        <v>10</v>
      </c>
      <c r="D611">
        <v>2</v>
      </c>
      <c r="E611" t="s">
        <v>152</v>
      </c>
      <c r="F611" t="s">
        <v>153</v>
      </c>
      <c r="G611" t="s">
        <v>154</v>
      </c>
      <c r="H611">
        <v>1526005701</v>
      </c>
      <c r="I611">
        <v>1000005945</v>
      </c>
      <c r="L611" t="s">
        <v>337</v>
      </c>
      <c r="M611">
        <v>5100001925</v>
      </c>
      <c r="N611" t="s">
        <v>155</v>
      </c>
      <c r="O611" t="s">
        <v>156</v>
      </c>
      <c r="P611">
        <v>4110055667</v>
      </c>
      <c r="Q611" t="s">
        <v>185</v>
      </c>
      <c r="R611">
        <v>5000</v>
      </c>
      <c r="S611" t="s">
        <v>166</v>
      </c>
      <c r="V611" t="s">
        <v>167</v>
      </c>
      <c r="W611">
        <v>1502040318</v>
      </c>
      <c r="X611" t="s">
        <v>72</v>
      </c>
      <c r="Y611" t="str">
        <f>VLOOKUP(W611,Sheet4!$A$5:$B$71,2,0)</f>
        <v>Re Side Door</v>
      </c>
      <c r="Z611">
        <v>87082900</v>
      </c>
      <c r="AA611">
        <v>120</v>
      </c>
      <c r="AB611" t="s">
        <v>159</v>
      </c>
      <c r="AC611">
        <v>506.59</v>
      </c>
      <c r="AD611" t="s">
        <v>160</v>
      </c>
      <c r="AE611" s="24">
        <v>60790.8</v>
      </c>
      <c r="AF611">
        <v>0</v>
      </c>
      <c r="AG611" s="24">
        <v>60790.8</v>
      </c>
      <c r="AH611">
        <v>0</v>
      </c>
      <c r="AI611">
        <v>0</v>
      </c>
      <c r="AJ611">
        <v>0</v>
      </c>
      <c r="AK611">
        <v>0</v>
      </c>
      <c r="AL611" s="24">
        <v>60790.8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 s="24">
        <v>60790.8</v>
      </c>
      <c r="AV611">
        <v>0</v>
      </c>
      <c r="AW611">
        <v>0</v>
      </c>
      <c r="AX611">
        <v>311000</v>
      </c>
      <c r="AY611" t="s">
        <v>161</v>
      </c>
      <c r="AZ611">
        <v>2.27</v>
      </c>
      <c r="BA611">
        <v>2.27</v>
      </c>
      <c r="BB611">
        <v>0</v>
      </c>
      <c r="BC611" t="s">
        <v>187</v>
      </c>
      <c r="BD611">
        <v>1511</v>
      </c>
      <c r="BE611" t="s">
        <v>174</v>
      </c>
      <c r="BF611">
        <v>5094084698</v>
      </c>
      <c r="BG611" t="s">
        <v>337</v>
      </c>
    </row>
    <row r="612" spans="1:59">
      <c r="A612">
        <v>1115</v>
      </c>
      <c r="B612">
        <v>1115</v>
      </c>
      <c r="C612">
        <v>10</v>
      </c>
      <c r="D612">
        <v>2</v>
      </c>
      <c r="E612" t="s">
        <v>152</v>
      </c>
      <c r="F612" t="s">
        <v>153</v>
      </c>
      <c r="G612" t="s">
        <v>154</v>
      </c>
      <c r="H612">
        <v>1526005700</v>
      </c>
      <c r="I612">
        <v>1000005944</v>
      </c>
      <c r="L612" t="s">
        <v>337</v>
      </c>
      <c r="M612">
        <v>5100001925</v>
      </c>
      <c r="N612" t="s">
        <v>155</v>
      </c>
      <c r="O612" t="s">
        <v>156</v>
      </c>
      <c r="P612">
        <v>4110055667</v>
      </c>
      <c r="Q612" t="s">
        <v>185</v>
      </c>
      <c r="R612">
        <v>5000</v>
      </c>
      <c r="S612" t="s">
        <v>166</v>
      </c>
      <c r="V612" t="s">
        <v>167</v>
      </c>
      <c r="W612">
        <v>1502040317</v>
      </c>
      <c r="X612" t="s">
        <v>73</v>
      </c>
      <c r="Y612" t="str">
        <f>VLOOKUP(W612,Sheet4!$A$5:$B$71,2,0)</f>
        <v>Re Side Door</v>
      </c>
      <c r="Z612">
        <v>87082900</v>
      </c>
      <c r="AA612">
        <v>20</v>
      </c>
      <c r="AB612" t="s">
        <v>159</v>
      </c>
      <c r="AC612">
        <v>506.59</v>
      </c>
      <c r="AD612" t="s">
        <v>160</v>
      </c>
      <c r="AE612" s="24">
        <v>10131.799999999999</v>
      </c>
      <c r="AF612">
        <v>0</v>
      </c>
      <c r="AG612" s="24">
        <v>10131.799999999999</v>
      </c>
      <c r="AH612">
        <v>0</v>
      </c>
      <c r="AI612">
        <v>0</v>
      </c>
      <c r="AJ612">
        <v>0</v>
      </c>
      <c r="AK612">
        <v>0</v>
      </c>
      <c r="AL612" s="24">
        <v>10131.799999999999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 s="24">
        <v>10131.799999999999</v>
      </c>
      <c r="AV612">
        <v>0</v>
      </c>
      <c r="AW612">
        <v>0</v>
      </c>
      <c r="AX612">
        <v>311000</v>
      </c>
      <c r="AY612" t="s">
        <v>161</v>
      </c>
      <c r="AZ612">
        <v>2.27</v>
      </c>
      <c r="BA612">
        <v>2.27</v>
      </c>
      <c r="BB612">
        <v>0</v>
      </c>
      <c r="BC612" t="s">
        <v>186</v>
      </c>
      <c r="BD612">
        <v>1511</v>
      </c>
      <c r="BE612" t="s">
        <v>174</v>
      </c>
      <c r="BF612">
        <v>5094084690</v>
      </c>
      <c r="BG612" t="s">
        <v>337</v>
      </c>
    </row>
    <row r="613" spans="1:59">
      <c r="A613">
        <v>1115</v>
      </c>
      <c r="B613">
        <v>1115</v>
      </c>
      <c r="C613">
        <v>10</v>
      </c>
      <c r="D613">
        <v>2</v>
      </c>
      <c r="E613" t="s">
        <v>152</v>
      </c>
      <c r="F613" t="s">
        <v>153</v>
      </c>
      <c r="G613" t="s">
        <v>154</v>
      </c>
      <c r="H613">
        <v>1526005699</v>
      </c>
      <c r="I613">
        <v>1000005943</v>
      </c>
      <c r="L613" t="s">
        <v>337</v>
      </c>
      <c r="M613">
        <v>5100001913</v>
      </c>
      <c r="N613" t="s">
        <v>155</v>
      </c>
      <c r="O613" t="s">
        <v>156</v>
      </c>
      <c r="P613">
        <v>4110050475</v>
      </c>
      <c r="Q613" t="s">
        <v>178</v>
      </c>
      <c r="R613">
        <v>5000</v>
      </c>
      <c r="S613" t="s">
        <v>166</v>
      </c>
      <c r="V613" t="s">
        <v>167</v>
      </c>
      <c r="W613">
        <v>1502040289</v>
      </c>
      <c r="X613" t="s">
        <v>49</v>
      </c>
      <c r="Y613" t="str">
        <f>VLOOKUP(W613,Sheet4!$A$5:$B$71,2,0)</f>
        <v>SUPPORT TOP</v>
      </c>
      <c r="Z613">
        <v>87082900</v>
      </c>
      <c r="AA613">
        <v>480</v>
      </c>
      <c r="AB613" t="s">
        <v>159</v>
      </c>
      <c r="AC613">
        <v>174.61</v>
      </c>
      <c r="AD613" t="s">
        <v>160</v>
      </c>
      <c r="AE613" s="24">
        <v>83812.800000000003</v>
      </c>
      <c r="AF613">
        <v>0</v>
      </c>
      <c r="AG613" s="24">
        <v>83812.800000000003</v>
      </c>
      <c r="AH613">
        <v>0</v>
      </c>
      <c r="AI613">
        <v>0</v>
      </c>
      <c r="AJ613">
        <v>0</v>
      </c>
      <c r="AK613">
        <v>0</v>
      </c>
      <c r="AL613" s="24">
        <v>83812.800000000003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 s="24">
        <v>83812.800000000003</v>
      </c>
      <c r="AV613">
        <v>0</v>
      </c>
      <c r="AW613">
        <v>0</v>
      </c>
      <c r="AX613">
        <v>311000</v>
      </c>
      <c r="AY613" t="s">
        <v>161</v>
      </c>
      <c r="AZ613">
        <v>0</v>
      </c>
      <c r="BA613">
        <v>0</v>
      </c>
      <c r="BB613">
        <v>0</v>
      </c>
      <c r="BC613" t="s">
        <v>179</v>
      </c>
      <c r="BD613">
        <v>1511</v>
      </c>
      <c r="BE613" t="s">
        <v>174</v>
      </c>
      <c r="BF613">
        <v>5094074508</v>
      </c>
      <c r="BG613" t="s">
        <v>337</v>
      </c>
    </row>
    <row r="614" spans="1:59">
      <c r="A614">
        <v>1115</v>
      </c>
      <c r="B614">
        <v>1115</v>
      </c>
      <c r="C614">
        <v>10</v>
      </c>
      <c r="D614">
        <v>2</v>
      </c>
      <c r="E614" t="s">
        <v>152</v>
      </c>
      <c r="F614" t="s">
        <v>153</v>
      </c>
      <c r="G614" t="s">
        <v>154</v>
      </c>
      <c r="H614">
        <v>1526005697</v>
      </c>
      <c r="I614">
        <v>1000005942</v>
      </c>
      <c r="L614" t="s">
        <v>337</v>
      </c>
      <c r="M614">
        <v>5100001928</v>
      </c>
      <c r="N614" t="s">
        <v>155</v>
      </c>
      <c r="O614" t="s">
        <v>156</v>
      </c>
      <c r="P614">
        <v>4110057393</v>
      </c>
      <c r="Q614" t="s">
        <v>192</v>
      </c>
      <c r="R614">
        <v>5000</v>
      </c>
      <c r="S614" t="s">
        <v>166</v>
      </c>
      <c r="V614" t="s">
        <v>167</v>
      </c>
      <c r="W614">
        <v>1502020122</v>
      </c>
      <c r="X614" t="s">
        <v>70</v>
      </c>
      <c r="Y614" t="str">
        <f>VLOOKUP(W614,Sheet4!$A$5:$B$71,2,0)</f>
        <v>MAX UG NEW EV</v>
      </c>
      <c r="Z614">
        <v>87082900</v>
      </c>
      <c r="AA614">
        <v>10</v>
      </c>
      <c r="AB614" t="s">
        <v>159</v>
      </c>
      <c r="AC614" s="24">
        <v>9566.51</v>
      </c>
      <c r="AD614" t="s">
        <v>160</v>
      </c>
      <c r="AE614" s="24">
        <v>95665.1</v>
      </c>
      <c r="AF614">
        <v>0</v>
      </c>
      <c r="AG614" s="24">
        <v>95665.1</v>
      </c>
      <c r="AH614">
        <v>0</v>
      </c>
      <c r="AI614">
        <v>0</v>
      </c>
      <c r="AJ614">
        <v>0</v>
      </c>
      <c r="AK614">
        <v>0</v>
      </c>
      <c r="AL614" s="24">
        <v>95665.1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s="24">
        <v>95665.1</v>
      </c>
      <c r="AV614">
        <v>0</v>
      </c>
      <c r="AW614">
        <v>0</v>
      </c>
      <c r="AX614">
        <v>311000</v>
      </c>
      <c r="AY614" t="s">
        <v>161</v>
      </c>
      <c r="AZ614">
        <v>0</v>
      </c>
      <c r="BA614">
        <v>61</v>
      </c>
      <c r="BB614">
        <v>-61</v>
      </c>
      <c r="BC614" t="s">
        <v>193</v>
      </c>
      <c r="BD614">
        <v>1509</v>
      </c>
      <c r="BE614" t="s">
        <v>169</v>
      </c>
      <c r="BF614">
        <v>5094083467</v>
      </c>
      <c r="BG614" t="s">
        <v>337</v>
      </c>
    </row>
    <row r="615" spans="1:59">
      <c r="A615">
        <v>1115</v>
      </c>
      <c r="B615">
        <v>1115</v>
      </c>
      <c r="C615">
        <v>10</v>
      </c>
      <c r="D615">
        <v>2</v>
      </c>
      <c r="E615" t="s">
        <v>152</v>
      </c>
      <c r="F615" t="s">
        <v>153</v>
      </c>
      <c r="G615" t="s">
        <v>154</v>
      </c>
      <c r="H615">
        <v>1526005696</v>
      </c>
      <c r="I615">
        <v>1000005941</v>
      </c>
      <c r="L615" t="s">
        <v>337</v>
      </c>
      <c r="M615">
        <v>5100001928</v>
      </c>
      <c r="N615" t="s">
        <v>155</v>
      </c>
      <c r="O615" t="s">
        <v>156</v>
      </c>
      <c r="P615">
        <v>4110057393</v>
      </c>
      <c r="Q615" t="s">
        <v>192</v>
      </c>
      <c r="R615">
        <v>5000</v>
      </c>
      <c r="S615" t="s">
        <v>166</v>
      </c>
      <c r="V615" t="s">
        <v>167</v>
      </c>
      <c r="W615">
        <v>1502020122</v>
      </c>
      <c r="X615" t="s">
        <v>70</v>
      </c>
      <c r="Y615" t="str">
        <f>VLOOKUP(W615,Sheet4!$A$5:$B$71,2,0)</f>
        <v>MAX UG NEW EV</v>
      </c>
      <c r="Z615">
        <v>87082900</v>
      </c>
      <c r="AA615">
        <v>10</v>
      </c>
      <c r="AB615" t="s">
        <v>159</v>
      </c>
      <c r="AC615" s="24">
        <v>9566.51</v>
      </c>
      <c r="AD615" t="s">
        <v>160</v>
      </c>
      <c r="AE615" s="24">
        <v>95665.1</v>
      </c>
      <c r="AF615">
        <v>0</v>
      </c>
      <c r="AG615" s="24">
        <v>95665.1</v>
      </c>
      <c r="AH615">
        <v>0</v>
      </c>
      <c r="AI615">
        <v>0</v>
      </c>
      <c r="AJ615">
        <v>0</v>
      </c>
      <c r="AK615">
        <v>0</v>
      </c>
      <c r="AL615" s="24">
        <v>95665.1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s="24">
        <v>95665.1</v>
      </c>
      <c r="AV615">
        <v>0</v>
      </c>
      <c r="AW615">
        <v>0</v>
      </c>
      <c r="AX615">
        <v>311000</v>
      </c>
      <c r="AY615" t="s">
        <v>161</v>
      </c>
      <c r="AZ615">
        <v>0</v>
      </c>
      <c r="BA615">
        <v>61</v>
      </c>
      <c r="BB615">
        <v>-61</v>
      </c>
      <c r="BC615" t="s">
        <v>193</v>
      </c>
      <c r="BD615">
        <v>1509</v>
      </c>
      <c r="BE615" t="s">
        <v>169</v>
      </c>
      <c r="BF615">
        <v>5094079705</v>
      </c>
      <c r="BG615" t="s">
        <v>337</v>
      </c>
    </row>
    <row r="616" spans="1:59">
      <c r="A616">
        <v>1115</v>
      </c>
      <c r="B616">
        <v>1115</v>
      </c>
      <c r="C616">
        <v>10</v>
      </c>
      <c r="D616">
        <v>2</v>
      </c>
      <c r="E616" t="s">
        <v>152</v>
      </c>
      <c r="F616" t="s">
        <v>153</v>
      </c>
      <c r="G616" t="s">
        <v>154</v>
      </c>
      <c r="H616">
        <v>1526005695</v>
      </c>
      <c r="I616">
        <v>1000005940</v>
      </c>
      <c r="L616" t="s">
        <v>337</v>
      </c>
      <c r="M616">
        <v>5100001603</v>
      </c>
      <c r="N616" t="s">
        <v>155</v>
      </c>
      <c r="O616" t="s">
        <v>156</v>
      </c>
      <c r="P616">
        <v>4110025468</v>
      </c>
      <c r="Q616" t="s">
        <v>165</v>
      </c>
      <c r="R616">
        <v>5000</v>
      </c>
      <c r="S616" t="s">
        <v>166</v>
      </c>
      <c r="V616" t="s">
        <v>167</v>
      </c>
      <c r="W616">
        <v>1502020102</v>
      </c>
      <c r="X616" t="s">
        <v>58</v>
      </c>
      <c r="Y616" t="str">
        <f>VLOOKUP(W616,Sheet4!$A$5:$B$71,2,0)</f>
        <v>MAXIMA HD</v>
      </c>
      <c r="Z616">
        <v>87082900</v>
      </c>
      <c r="AA616">
        <v>8</v>
      </c>
      <c r="AB616" t="s">
        <v>159</v>
      </c>
      <c r="AC616" s="24">
        <v>8593.51</v>
      </c>
      <c r="AD616" t="s">
        <v>160</v>
      </c>
      <c r="AE616" s="24">
        <v>68748.08</v>
      </c>
      <c r="AF616">
        <v>0</v>
      </c>
      <c r="AG616" s="24">
        <v>68748.08</v>
      </c>
      <c r="AH616">
        <v>0</v>
      </c>
      <c r="AI616">
        <v>0</v>
      </c>
      <c r="AJ616">
        <v>0</v>
      </c>
      <c r="AK616">
        <v>0</v>
      </c>
      <c r="AL616" s="24">
        <v>68748.08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s="24">
        <v>68748.08</v>
      </c>
      <c r="AV616">
        <v>0</v>
      </c>
      <c r="AW616">
        <v>0</v>
      </c>
      <c r="AX616">
        <v>311000</v>
      </c>
      <c r="AY616" t="s">
        <v>161</v>
      </c>
      <c r="AZ616">
        <v>93.34</v>
      </c>
      <c r="BA616">
        <v>75.430000000000007</v>
      </c>
      <c r="BB616">
        <v>17.91</v>
      </c>
      <c r="BC616" t="s">
        <v>168</v>
      </c>
      <c r="BD616">
        <v>1509</v>
      </c>
      <c r="BE616" t="s">
        <v>169</v>
      </c>
      <c r="BF616">
        <v>5094096616</v>
      </c>
      <c r="BG616" t="s">
        <v>333</v>
      </c>
    </row>
    <row r="617" spans="1:59">
      <c r="A617">
        <v>1115</v>
      </c>
      <c r="B617">
        <v>1115</v>
      </c>
      <c r="C617">
        <v>10</v>
      </c>
      <c r="D617">
        <v>2</v>
      </c>
      <c r="E617" t="s">
        <v>152</v>
      </c>
      <c r="F617" t="s">
        <v>153</v>
      </c>
      <c r="G617" t="s">
        <v>154</v>
      </c>
      <c r="H617">
        <v>1526005694</v>
      </c>
      <c r="I617">
        <v>1000005939</v>
      </c>
      <c r="L617" t="s">
        <v>337</v>
      </c>
      <c r="M617">
        <v>5100001603</v>
      </c>
      <c r="N617" t="s">
        <v>155</v>
      </c>
      <c r="O617" t="s">
        <v>156</v>
      </c>
      <c r="P617">
        <v>4110025468</v>
      </c>
      <c r="Q617" t="s">
        <v>165</v>
      </c>
      <c r="R617">
        <v>5000</v>
      </c>
      <c r="S617" t="s">
        <v>166</v>
      </c>
      <c r="V617" t="s">
        <v>167</v>
      </c>
      <c r="W617">
        <v>1502020102</v>
      </c>
      <c r="X617" t="s">
        <v>58</v>
      </c>
      <c r="Y617" t="str">
        <f>VLOOKUP(W617,Sheet4!$A$5:$B$71,2,0)</f>
        <v>MAXIMA HD</v>
      </c>
      <c r="Z617">
        <v>87082900</v>
      </c>
      <c r="AA617">
        <v>8</v>
      </c>
      <c r="AB617" t="s">
        <v>159</v>
      </c>
      <c r="AC617" s="24">
        <v>8593.51</v>
      </c>
      <c r="AD617" t="s">
        <v>160</v>
      </c>
      <c r="AE617" s="24">
        <v>68748.08</v>
      </c>
      <c r="AF617">
        <v>0</v>
      </c>
      <c r="AG617" s="24">
        <v>68748.08</v>
      </c>
      <c r="AH617">
        <v>0</v>
      </c>
      <c r="AI617">
        <v>0</v>
      </c>
      <c r="AJ617">
        <v>0</v>
      </c>
      <c r="AK617">
        <v>0</v>
      </c>
      <c r="AL617" s="24">
        <v>68748.08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 s="24">
        <v>68748.08</v>
      </c>
      <c r="AV617">
        <v>0</v>
      </c>
      <c r="AW617">
        <v>0</v>
      </c>
      <c r="AX617">
        <v>311000</v>
      </c>
      <c r="AY617" t="s">
        <v>161</v>
      </c>
      <c r="AZ617">
        <v>93.34</v>
      </c>
      <c r="BA617">
        <v>75.430000000000007</v>
      </c>
      <c r="BB617">
        <v>17.91</v>
      </c>
      <c r="BC617" t="s">
        <v>168</v>
      </c>
      <c r="BD617">
        <v>1509</v>
      </c>
      <c r="BE617" t="s">
        <v>169</v>
      </c>
      <c r="BF617">
        <v>5094101782</v>
      </c>
      <c r="BG617" t="s">
        <v>333</v>
      </c>
    </row>
    <row r="618" spans="1:59">
      <c r="A618">
        <v>1115</v>
      </c>
      <c r="B618">
        <v>1115</v>
      </c>
      <c r="C618">
        <v>10</v>
      </c>
      <c r="D618">
        <v>2</v>
      </c>
      <c r="E618" t="s">
        <v>152</v>
      </c>
      <c r="F618" t="s">
        <v>153</v>
      </c>
      <c r="G618" t="s">
        <v>154</v>
      </c>
      <c r="H618">
        <v>1526005693</v>
      </c>
      <c r="I618">
        <v>1000005938</v>
      </c>
      <c r="L618" t="s">
        <v>337</v>
      </c>
      <c r="M618">
        <v>5100001603</v>
      </c>
      <c r="N618" t="s">
        <v>155</v>
      </c>
      <c r="O618" t="s">
        <v>156</v>
      </c>
      <c r="P618">
        <v>4110025468</v>
      </c>
      <c r="Q618" t="s">
        <v>165</v>
      </c>
      <c r="R618">
        <v>5000</v>
      </c>
      <c r="S618" t="s">
        <v>166</v>
      </c>
      <c r="V618" t="s">
        <v>167</v>
      </c>
      <c r="W618">
        <v>1502020102</v>
      </c>
      <c r="X618" t="s">
        <v>58</v>
      </c>
      <c r="Y618" t="str">
        <f>VLOOKUP(W618,Sheet4!$A$5:$B$71,2,0)</f>
        <v>MAXIMA HD</v>
      </c>
      <c r="Z618">
        <v>87082900</v>
      </c>
      <c r="AA618">
        <v>8</v>
      </c>
      <c r="AB618" t="s">
        <v>159</v>
      </c>
      <c r="AC618" s="24">
        <v>8593.51</v>
      </c>
      <c r="AD618" t="s">
        <v>160</v>
      </c>
      <c r="AE618" s="24">
        <v>68748.08</v>
      </c>
      <c r="AF618">
        <v>0</v>
      </c>
      <c r="AG618" s="24">
        <v>68748.08</v>
      </c>
      <c r="AH618">
        <v>0</v>
      </c>
      <c r="AI618">
        <v>0</v>
      </c>
      <c r="AJ618">
        <v>0</v>
      </c>
      <c r="AK618">
        <v>0</v>
      </c>
      <c r="AL618" s="24">
        <v>68748.08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s="24">
        <v>68748.08</v>
      </c>
      <c r="AV618">
        <v>0</v>
      </c>
      <c r="AW618">
        <v>0</v>
      </c>
      <c r="AX618">
        <v>311000</v>
      </c>
      <c r="AY618" t="s">
        <v>161</v>
      </c>
      <c r="AZ618">
        <v>93.34</v>
      </c>
      <c r="BA618">
        <v>75.430000000000007</v>
      </c>
      <c r="BB618">
        <v>17.91</v>
      </c>
      <c r="BC618" t="s">
        <v>168</v>
      </c>
      <c r="BD618">
        <v>1509</v>
      </c>
      <c r="BE618" t="s">
        <v>169</v>
      </c>
      <c r="BF618">
        <v>5094092874</v>
      </c>
      <c r="BG618" t="s">
        <v>333</v>
      </c>
    </row>
    <row r="619" spans="1:59">
      <c r="A619">
        <v>1115</v>
      </c>
      <c r="B619">
        <v>1115</v>
      </c>
      <c r="C619">
        <v>10</v>
      </c>
      <c r="D619">
        <v>2</v>
      </c>
      <c r="E619" t="s">
        <v>152</v>
      </c>
      <c r="F619" t="s">
        <v>153</v>
      </c>
      <c r="G619" t="s">
        <v>154</v>
      </c>
      <c r="H619">
        <v>1526005691</v>
      </c>
      <c r="I619">
        <v>1000005936</v>
      </c>
      <c r="L619" t="s">
        <v>337</v>
      </c>
      <c r="M619">
        <v>5100001925</v>
      </c>
      <c r="N619" t="s">
        <v>155</v>
      </c>
      <c r="O619" t="s">
        <v>156</v>
      </c>
      <c r="P619">
        <v>4110055667</v>
      </c>
      <c r="Q619" t="s">
        <v>185</v>
      </c>
      <c r="R619">
        <v>5000</v>
      </c>
      <c r="S619" t="s">
        <v>166</v>
      </c>
      <c r="V619" t="s">
        <v>167</v>
      </c>
      <c r="W619">
        <v>1502040318</v>
      </c>
      <c r="X619" t="s">
        <v>72</v>
      </c>
      <c r="Y619" t="str">
        <f>VLOOKUP(W619,Sheet4!$A$5:$B$71,2,0)</f>
        <v>Re Side Door</v>
      </c>
      <c r="Z619">
        <v>87082900</v>
      </c>
      <c r="AA619">
        <v>120</v>
      </c>
      <c r="AB619" t="s">
        <v>159</v>
      </c>
      <c r="AC619">
        <v>506.59</v>
      </c>
      <c r="AD619" t="s">
        <v>160</v>
      </c>
      <c r="AE619" s="24">
        <v>60790.8</v>
      </c>
      <c r="AF619">
        <v>0</v>
      </c>
      <c r="AG619" s="24">
        <v>60790.8</v>
      </c>
      <c r="AH619">
        <v>0</v>
      </c>
      <c r="AI619">
        <v>0</v>
      </c>
      <c r="AJ619">
        <v>0</v>
      </c>
      <c r="AK619">
        <v>0</v>
      </c>
      <c r="AL619" s="24">
        <v>60790.8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s="24">
        <v>60790.8</v>
      </c>
      <c r="AV619">
        <v>0</v>
      </c>
      <c r="AW619">
        <v>0</v>
      </c>
      <c r="AX619">
        <v>311000</v>
      </c>
      <c r="AY619" t="s">
        <v>161</v>
      </c>
      <c r="AZ619">
        <v>2.27</v>
      </c>
      <c r="BA619">
        <v>2.27</v>
      </c>
      <c r="BB619">
        <v>0</v>
      </c>
      <c r="BC619" t="s">
        <v>187</v>
      </c>
      <c r="BD619">
        <v>1511</v>
      </c>
      <c r="BE619" t="s">
        <v>174</v>
      </c>
      <c r="BF619">
        <v>5094084691</v>
      </c>
      <c r="BG619" t="s">
        <v>337</v>
      </c>
    </row>
    <row r="620" spans="1:59">
      <c r="A620">
        <v>1115</v>
      </c>
      <c r="B620">
        <v>1115</v>
      </c>
      <c r="C620">
        <v>10</v>
      </c>
      <c r="D620">
        <v>2</v>
      </c>
      <c r="E620" t="s">
        <v>152</v>
      </c>
      <c r="F620" t="s">
        <v>153</v>
      </c>
      <c r="G620" t="s">
        <v>154</v>
      </c>
      <c r="H620">
        <v>1526005690</v>
      </c>
      <c r="I620">
        <v>1000005935</v>
      </c>
      <c r="L620" t="s">
        <v>337</v>
      </c>
      <c r="M620">
        <v>5100001925</v>
      </c>
      <c r="N620" t="s">
        <v>155</v>
      </c>
      <c r="O620" t="s">
        <v>156</v>
      </c>
      <c r="P620">
        <v>4110055667</v>
      </c>
      <c r="Q620" t="s">
        <v>185</v>
      </c>
      <c r="R620">
        <v>5000</v>
      </c>
      <c r="S620" t="s">
        <v>166</v>
      </c>
      <c r="V620" t="s">
        <v>167</v>
      </c>
      <c r="W620">
        <v>1502040317</v>
      </c>
      <c r="X620" t="s">
        <v>73</v>
      </c>
      <c r="Y620" t="str">
        <f>VLOOKUP(W620,Sheet4!$A$5:$B$71,2,0)</f>
        <v>Re Side Door</v>
      </c>
      <c r="Z620">
        <v>87082900</v>
      </c>
      <c r="AA620">
        <v>120</v>
      </c>
      <c r="AB620" t="s">
        <v>159</v>
      </c>
      <c r="AC620">
        <v>506.59</v>
      </c>
      <c r="AD620" t="s">
        <v>160</v>
      </c>
      <c r="AE620" s="24">
        <v>60790.8</v>
      </c>
      <c r="AF620">
        <v>0</v>
      </c>
      <c r="AG620" s="24">
        <v>60790.8</v>
      </c>
      <c r="AH620">
        <v>0</v>
      </c>
      <c r="AI620">
        <v>0</v>
      </c>
      <c r="AJ620">
        <v>0</v>
      </c>
      <c r="AK620">
        <v>0</v>
      </c>
      <c r="AL620" s="24">
        <v>60790.8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s="24">
        <v>60790.8</v>
      </c>
      <c r="AV620">
        <v>0</v>
      </c>
      <c r="AW620">
        <v>0</v>
      </c>
      <c r="AX620">
        <v>311000</v>
      </c>
      <c r="AY620" t="s">
        <v>161</v>
      </c>
      <c r="AZ620">
        <v>2.27</v>
      </c>
      <c r="BA620">
        <v>2.27</v>
      </c>
      <c r="BB620">
        <v>0</v>
      </c>
      <c r="BC620" t="s">
        <v>186</v>
      </c>
      <c r="BD620">
        <v>1511</v>
      </c>
      <c r="BE620" t="s">
        <v>174</v>
      </c>
      <c r="BF620">
        <v>5094084692</v>
      </c>
      <c r="BG620" t="s">
        <v>337</v>
      </c>
    </row>
    <row r="621" spans="1:59">
      <c r="A621">
        <v>1115</v>
      </c>
      <c r="B621">
        <v>1115</v>
      </c>
      <c r="C621">
        <v>10</v>
      </c>
      <c r="D621">
        <v>2</v>
      </c>
      <c r="E621" t="s">
        <v>152</v>
      </c>
      <c r="F621" t="s">
        <v>153</v>
      </c>
      <c r="G621" t="s">
        <v>154</v>
      </c>
      <c r="H621">
        <v>1526005688</v>
      </c>
      <c r="I621">
        <v>1000005934</v>
      </c>
      <c r="L621" t="s">
        <v>337</v>
      </c>
      <c r="M621">
        <v>5100001096</v>
      </c>
      <c r="N621" t="s">
        <v>155</v>
      </c>
      <c r="O621" t="s">
        <v>156</v>
      </c>
      <c r="P621">
        <v>4110004645</v>
      </c>
      <c r="Q621" t="s">
        <v>177</v>
      </c>
      <c r="R621">
        <v>5000</v>
      </c>
      <c r="S621" t="s">
        <v>166</v>
      </c>
      <c r="V621" t="s">
        <v>167</v>
      </c>
      <c r="W621">
        <v>1502040061</v>
      </c>
      <c r="X621" t="s">
        <v>40</v>
      </c>
      <c r="Y621" t="str">
        <f>VLOOKUP(W621,Sheet4!$A$5:$B$71,2,0)</f>
        <v>LOGISTICS</v>
      </c>
      <c r="Z621">
        <v>87082900</v>
      </c>
      <c r="AA621">
        <v>72</v>
      </c>
      <c r="AB621" t="s">
        <v>159</v>
      </c>
      <c r="AC621">
        <v>228.28</v>
      </c>
      <c r="AD621" t="s">
        <v>160</v>
      </c>
      <c r="AE621" s="24">
        <v>16436.16</v>
      </c>
      <c r="AF621">
        <v>0</v>
      </c>
      <c r="AG621" s="24">
        <v>16436.16</v>
      </c>
      <c r="AH621">
        <v>0</v>
      </c>
      <c r="AI621">
        <v>0</v>
      </c>
      <c r="AJ621">
        <v>0</v>
      </c>
      <c r="AK621">
        <v>0</v>
      </c>
      <c r="AL621" s="24">
        <v>16436.16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s="24">
        <v>16436.16</v>
      </c>
      <c r="AV621">
        <v>0</v>
      </c>
      <c r="AW621">
        <v>0</v>
      </c>
      <c r="AX621">
        <v>311000</v>
      </c>
      <c r="AY621" t="s">
        <v>161</v>
      </c>
      <c r="AZ621">
        <v>1.68</v>
      </c>
      <c r="BA621">
        <v>1.68</v>
      </c>
      <c r="BB621">
        <v>0</v>
      </c>
      <c r="BC621" t="s">
        <v>194</v>
      </c>
      <c r="BD621">
        <v>1511</v>
      </c>
      <c r="BE621" t="s">
        <v>174</v>
      </c>
      <c r="BF621">
        <v>5094074917</v>
      </c>
      <c r="BG621" t="s">
        <v>337</v>
      </c>
    </row>
    <row r="622" spans="1:59">
      <c r="A622">
        <v>1115</v>
      </c>
      <c r="B622">
        <v>1115</v>
      </c>
      <c r="C622">
        <v>10</v>
      </c>
      <c r="D622">
        <v>2</v>
      </c>
      <c r="E622" t="s">
        <v>152</v>
      </c>
      <c r="F622" t="s">
        <v>153</v>
      </c>
      <c r="G622" t="s">
        <v>154</v>
      </c>
      <c r="H622">
        <v>1526005687</v>
      </c>
      <c r="I622">
        <v>1000005933</v>
      </c>
      <c r="L622" t="s">
        <v>337</v>
      </c>
      <c r="M622">
        <v>5100001096</v>
      </c>
      <c r="N622" t="s">
        <v>155</v>
      </c>
      <c r="O622" t="s">
        <v>156</v>
      </c>
      <c r="P622">
        <v>4110004645</v>
      </c>
      <c r="Q622" t="s">
        <v>177</v>
      </c>
      <c r="R622">
        <v>5000</v>
      </c>
      <c r="S622" t="s">
        <v>166</v>
      </c>
      <c r="V622" t="s">
        <v>167</v>
      </c>
      <c r="W622">
        <v>1502040068</v>
      </c>
      <c r="X622" t="s">
        <v>41</v>
      </c>
      <c r="Y622" t="str">
        <f>VLOOKUP(W622,Sheet4!$A$5:$B$71,2,0)</f>
        <v>ENG BKT</v>
      </c>
      <c r="Z622">
        <v>87082900</v>
      </c>
      <c r="AA622">
        <v>72</v>
      </c>
      <c r="AB622" t="s">
        <v>159</v>
      </c>
      <c r="AC622">
        <v>237.64</v>
      </c>
      <c r="AD622" t="s">
        <v>160</v>
      </c>
      <c r="AE622" s="24">
        <v>17110.080000000002</v>
      </c>
      <c r="AF622">
        <v>0</v>
      </c>
      <c r="AG622" s="24">
        <v>17110.080000000002</v>
      </c>
      <c r="AH622">
        <v>0</v>
      </c>
      <c r="AI622">
        <v>0</v>
      </c>
      <c r="AJ622">
        <v>0</v>
      </c>
      <c r="AK622">
        <v>0</v>
      </c>
      <c r="AL622" s="24">
        <v>17110.080000000002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s="24">
        <v>17110.080000000002</v>
      </c>
      <c r="AV622">
        <v>0</v>
      </c>
      <c r="AW622">
        <v>0</v>
      </c>
      <c r="AX622">
        <v>311000</v>
      </c>
      <c r="AY622" t="s">
        <v>161</v>
      </c>
      <c r="AZ622">
        <v>1.68</v>
      </c>
      <c r="BA622">
        <v>1.68</v>
      </c>
      <c r="BB622">
        <v>0</v>
      </c>
      <c r="BC622" t="s">
        <v>195</v>
      </c>
      <c r="BD622">
        <v>1511</v>
      </c>
      <c r="BE622" t="s">
        <v>174</v>
      </c>
      <c r="BF622">
        <v>5094074936</v>
      </c>
      <c r="BG622" t="s">
        <v>337</v>
      </c>
    </row>
    <row r="623" spans="1:59">
      <c r="A623">
        <v>1115</v>
      </c>
      <c r="B623">
        <v>1115</v>
      </c>
      <c r="C623">
        <v>10</v>
      </c>
      <c r="D623">
        <v>2</v>
      </c>
      <c r="E623" t="s">
        <v>152</v>
      </c>
      <c r="F623" t="s">
        <v>153</v>
      </c>
      <c r="G623" t="s">
        <v>154</v>
      </c>
      <c r="H623">
        <v>1526005686</v>
      </c>
      <c r="I623">
        <v>1000005932</v>
      </c>
      <c r="L623" t="s">
        <v>337</v>
      </c>
      <c r="M623">
        <v>5100001899</v>
      </c>
      <c r="N623" t="s">
        <v>155</v>
      </c>
      <c r="O623" t="s">
        <v>156</v>
      </c>
      <c r="P623">
        <v>4110041854</v>
      </c>
      <c r="Q623" t="s">
        <v>172</v>
      </c>
      <c r="R623">
        <v>5000</v>
      </c>
      <c r="S623" t="s">
        <v>166</v>
      </c>
      <c r="V623" t="s">
        <v>167</v>
      </c>
      <c r="W623">
        <v>1502040267</v>
      </c>
      <c r="X623" t="s">
        <v>63</v>
      </c>
      <c r="Y623" t="str">
        <f>VLOOKUP(W623,Sheet4!$A$5:$B$71,2,0)</f>
        <v>DASH BOARD</v>
      </c>
      <c r="Z623">
        <v>87082900</v>
      </c>
      <c r="AA623">
        <v>416</v>
      </c>
      <c r="AB623" t="s">
        <v>159</v>
      </c>
      <c r="AC623">
        <v>290.89999999999998</v>
      </c>
      <c r="AD623" t="s">
        <v>160</v>
      </c>
      <c r="AE623" s="24">
        <v>121014.39999999999</v>
      </c>
      <c r="AF623">
        <v>0</v>
      </c>
      <c r="AG623" s="24">
        <v>121014.39999999999</v>
      </c>
      <c r="AH623">
        <v>0</v>
      </c>
      <c r="AI623">
        <v>0</v>
      </c>
      <c r="AJ623">
        <v>0</v>
      </c>
      <c r="AK623">
        <v>0</v>
      </c>
      <c r="AL623" s="24">
        <v>121014.39999999999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 s="24">
        <v>121014.39999999999</v>
      </c>
      <c r="AV623">
        <v>0</v>
      </c>
      <c r="AW623">
        <v>0</v>
      </c>
      <c r="AX623">
        <v>311000</v>
      </c>
      <c r="AY623" t="s">
        <v>161</v>
      </c>
      <c r="AZ623">
        <v>4.5</v>
      </c>
      <c r="BA623">
        <v>4.5</v>
      </c>
      <c r="BB623">
        <v>0</v>
      </c>
      <c r="BC623" t="s">
        <v>173</v>
      </c>
      <c r="BD623">
        <v>1511</v>
      </c>
      <c r="BE623" t="s">
        <v>174</v>
      </c>
      <c r="BF623">
        <v>5094079669</v>
      </c>
      <c r="BG623" t="s">
        <v>337</v>
      </c>
    </row>
    <row r="624" spans="1:59">
      <c r="A624">
        <v>1115</v>
      </c>
      <c r="B624">
        <v>1115</v>
      </c>
      <c r="C624">
        <v>10</v>
      </c>
      <c r="D624">
        <v>2</v>
      </c>
      <c r="E624" t="s">
        <v>152</v>
      </c>
      <c r="F624" t="s">
        <v>153</v>
      </c>
      <c r="G624" t="s">
        <v>154</v>
      </c>
      <c r="H624">
        <v>1526005685</v>
      </c>
      <c r="I624">
        <v>1000005931</v>
      </c>
      <c r="L624" t="s">
        <v>337</v>
      </c>
      <c r="M624">
        <v>5100001101</v>
      </c>
      <c r="N624" t="s">
        <v>155</v>
      </c>
      <c r="O624" t="s">
        <v>156</v>
      </c>
      <c r="P624">
        <v>4110004653</v>
      </c>
      <c r="Q624" t="s">
        <v>177</v>
      </c>
      <c r="R624">
        <v>5000</v>
      </c>
      <c r="S624" t="s">
        <v>166</v>
      </c>
      <c r="V624" t="s">
        <v>167</v>
      </c>
      <c r="W624">
        <v>1502040194</v>
      </c>
      <c r="X624" t="s">
        <v>44</v>
      </c>
      <c r="Y624" t="str">
        <f>VLOOKUP(W624,Sheet4!$A$5:$B$71,2,0)</f>
        <v>CRADEL</v>
      </c>
      <c r="Z624">
        <v>87082900</v>
      </c>
      <c r="AA624">
        <v>48</v>
      </c>
      <c r="AB624" t="s">
        <v>159</v>
      </c>
      <c r="AC624">
        <v>956.92</v>
      </c>
      <c r="AD624" t="s">
        <v>160</v>
      </c>
      <c r="AE624" s="24">
        <v>45932.160000000003</v>
      </c>
      <c r="AF624">
        <v>0</v>
      </c>
      <c r="AG624" s="24">
        <v>45932.160000000003</v>
      </c>
      <c r="AH624">
        <v>0</v>
      </c>
      <c r="AI624">
        <v>0</v>
      </c>
      <c r="AJ624">
        <v>0</v>
      </c>
      <c r="AK624">
        <v>0</v>
      </c>
      <c r="AL624" s="24">
        <v>45932.160000000003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 s="24">
        <v>45932.160000000003</v>
      </c>
      <c r="AV624">
        <v>0</v>
      </c>
      <c r="AW624">
        <v>0</v>
      </c>
      <c r="AX624">
        <v>311000</v>
      </c>
      <c r="AY624" t="s">
        <v>161</v>
      </c>
      <c r="AZ624">
        <v>6.3769999999999998</v>
      </c>
      <c r="BA624">
        <v>6.3769999999999998</v>
      </c>
      <c r="BB624">
        <v>0</v>
      </c>
      <c r="BC624" t="s">
        <v>184</v>
      </c>
      <c r="BD624">
        <v>1511</v>
      </c>
      <c r="BE624" t="s">
        <v>174</v>
      </c>
      <c r="BF624">
        <v>5094077606</v>
      </c>
      <c r="BG624" t="s">
        <v>337</v>
      </c>
    </row>
    <row r="625" spans="1:59">
      <c r="A625">
        <v>1115</v>
      </c>
      <c r="B625">
        <v>1115</v>
      </c>
      <c r="C625">
        <v>10</v>
      </c>
      <c r="D625">
        <v>2</v>
      </c>
      <c r="E625" t="s">
        <v>152</v>
      </c>
      <c r="F625" t="s">
        <v>153</v>
      </c>
      <c r="G625" t="s">
        <v>154</v>
      </c>
      <c r="H625">
        <v>1526005684</v>
      </c>
      <c r="I625">
        <v>1000005930</v>
      </c>
      <c r="L625" t="s">
        <v>337</v>
      </c>
      <c r="M625">
        <v>5100001101</v>
      </c>
      <c r="N625" t="s">
        <v>155</v>
      </c>
      <c r="O625" t="s">
        <v>156</v>
      </c>
      <c r="P625">
        <v>4110004653</v>
      </c>
      <c r="Q625" t="s">
        <v>177</v>
      </c>
      <c r="R625">
        <v>5000</v>
      </c>
      <c r="S625" t="s">
        <v>166</v>
      </c>
      <c r="V625" t="s">
        <v>167</v>
      </c>
      <c r="W625">
        <v>1502040194</v>
      </c>
      <c r="X625" t="s">
        <v>44</v>
      </c>
      <c r="Y625" t="str">
        <f>VLOOKUP(W625,Sheet4!$A$5:$B$71,2,0)</f>
        <v>CRADEL</v>
      </c>
      <c r="Z625">
        <v>87082900</v>
      </c>
      <c r="AA625">
        <v>48</v>
      </c>
      <c r="AB625" t="s">
        <v>159</v>
      </c>
      <c r="AC625">
        <v>956.92</v>
      </c>
      <c r="AD625" t="s">
        <v>160</v>
      </c>
      <c r="AE625" s="24">
        <v>45932.160000000003</v>
      </c>
      <c r="AF625">
        <v>0</v>
      </c>
      <c r="AG625" s="24">
        <v>45932.160000000003</v>
      </c>
      <c r="AH625">
        <v>0</v>
      </c>
      <c r="AI625">
        <v>0</v>
      </c>
      <c r="AJ625">
        <v>0</v>
      </c>
      <c r="AK625">
        <v>0</v>
      </c>
      <c r="AL625" s="24">
        <v>45932.160000000003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 s="24">
        <v>45932.160000000003</v>
      </c>
      <c r="AV625">
        <v>0</v>
      </c>
      <c r="AW625">
        <v>0</v>
      </c>
      <c r="AX625">
        <v>311000</v>
      </c>
      <c r="AY625" t="s">
        <v>161</v>
      </c>
      <c r="AZ625">
        <v>6.3769999999999998</v>
      </c>
      <c r="BA625">
        <v>6.3769999999999998</v>
      </c>
      <c r="BB625">
        <v>0</v>
      </c>
      <c r="BC625" t="s">
        <v>184</v>
      </c>
      <c r="BD625">
        <v>1511</v>
      </c>
      <c r="BE625" t="s">
        <v>174</v>
      </c>
      <c r="BF625">
        <v>5094074900</v>
      </c>
      <c r="BG625" t="s">
        <v>337</v>
      </c>
    </row>
    <row r="626" spans="1:59">
      <c r="A626">
        <v>1115</v>
      </c>
      <c r="B626">
        <v>1115</v>
      </c>
      <c r="C626">
        <v>10</v>
      </c>
      <c r="D626">
        <v>2</v>
      </c>
      <c r="E626" t="s">
        <v>152</v>
      </c>
      <c r="F626" t="s">
        <v>153</v>
      </c>
      <c r="G626" t="s">
        <v>154</v>
      </c>
      <c r="H626">
        <v>1526005683</v>
      </c>
      <c r="I626">
        <v>1000005929</v>
      </c>
      <c r="L626" t="s">
        <v>337</v>
      </c>
      <c r="M626">
        <v>5100001101</v>
      </c>
      <c r="N626" t="s">
        <v>155</v>
      </c>
      <c r="O626" t="s">
        <v>156</v>
      </c>
      <c r="P626">
        <v>4110004653</v>
      </c>
      <c r="Q626" t="s">
        <v>177</v>
      </c>
      <c r="R626">
        <v>5000</v>
      </c>
      <c r="S626" t="s">
        <v>166</v>
      </c>
      <c r="V626" t="s">
        <v>167</v>
      </c>
      <c r="W626">
        <v>1502040194</v>
      </c>
      <c r="X626" t="s">
        <v>44</v>
      </c>
      <c r="Y626" t="str">
        <f>VLOOKUP(W626,Sheet4!$A$5:$B$71,2,0)</f>
        <v>CRADEL</v>
      </c>
      <c r="Z626">
        <v>87082900</v>
      </c>
      <c r="AA626">
        <v>48</v>
      </c>
      <c r="AB626" t="s">
        <v>159</v>
      </c>
      <c r="AC626">
        <v>956.92</v>
      </c>
      <c r="AD626" t="s">
        <v>160</v>
      </c>
      <c r="AE626" s="24">
        <v>45932.160000000003</v>
      </c>
      <c r="AF626">
        <v>0</v>
      </c>
      <c r="AG626" s="24">
        <v>45932.160000000003</v>
      </c>
      <c r="AH626">
        <v>0</v>
      </c>
      <c r="AI626">
        <v>0</v>
      </c>
      <c r="AJ626">
        <v>0</v>
      </c>
      <c r="AK626">
        <v>0</v>
      </c>
      <c r="AL626" s="24">
        <v>45932.160000000003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 s="24">
        <v>45932.160000000003</v>
      </c>
      <c r="AV626">
        <v>0</v>
      </c>
      <c r="AW626">
        <v>0</v>
      </c>
      <c r="AX626">
        <v>311000</v>
      </c>
      <c r="AY626" t="s">
        <v>161</v>
      </c>
      <c r="AZ626">
        <v>6.3769999999999998</v>
      </c>
      <c r="BA626">
        <v>6.3769999999999998</v>
      </c>
      <c r="BB626">
        <v>0</v>
      </c>
      <c r="BC626" t="s">
        <v>184</v>
      </c>
      <c r="BD626">
        <v>1511</v>
      </c>
      <c r="BE626" t="s">
        <v>174</v>
      </c>
      <c r="BF626">
        <v>5094075168</v>
      </c>
      <c r="BG626" t="s">
        <v>337</v>
      </c>
    </row>
    <row r="627" spans="1:59">
      <c r="A627">
        <v>1115</v>
      </c>
      <c r="B627">
        <v>1115</v>
      </c>
      <c r="C627">
        <v>10</v>
      </c>
      <c r="D627">
        <v>2</v>
      </c>
      <c r="E627" t="s">
        <v>152</v>
      </c>
      <c r="F627" t="s">
        <v>153</v>
      </c>
      <c r="G627" t="s">
        <v>154</v>
      </c>
      <c r="H627">
        <v>1526005682</v>
      </c>
      <c r="I627">
        <v>1000005928</v>
      </c>
      <c r="L627" t="s">
        <v>337</v>
      </c>
      <c r="M627">
        <v>5100001099</v>
      </c>
      <c r="N627" t="s">
        <v>155</v>
      </c>
      <c r="O627" t="s">
        <v>156</v>
      </c>
      <c r="P627">
        <v>4110004650</v>
      </c>
      <c r="Q627" t="s">
        <v>177</v>
      </c>
      <c r="R627">
        <v>5000</v>
      </c>
      <c r="S627" t="s">
        <v>166</v>
      </c>
      <c r="V627" t="s">
        <v>167</v>
      </c>
      <c r="W627">
        <v>1502040133</v>
      </c>
      <c r="X627" t="s">
        <v>228</v>
      </c>
      <c r="Y627" t="str">
        <f>VLOOKUP(W627,Sheet4!$A$5:$B$71,2,0)</f>
        <v>REAR COVER</v>
      </c>
      <c r="Z627">
        <v>87082900</v>
      </c>
      <c r="AA627">
        <v>55</v>
      </c>
      <c r="AB627" t="s">
        <v>159</v>
      </c>
      <c r="AC627">
        <v>164.49</v>
      </c>
      <c r="AD627" t="s">
        <v>160</v>
      </c>
      <c r="AE627" s="24">
        <v>9046.9500000000007</v>
      </c>
      <c r="AF627">
        <v>0</v>
      </c>
      <c r="AG627" s="24">
        <v>9046.9500000000007</v>
      </c>
      <c r="AH627">
        <v>0</v>
      </c>
      <c r="AI627">
        <v>0</v>
      </c>
      <c r="AJ627">
        <v>0</v>
      </c>
      <c r="AK627">
        <v>0</v>
      </c>
      <c r="AL627" s="24">
        <v>9046.9500000000007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s="24">
        <v>9046.9500000000007</v>
      </c>
      <c r="AV627">
        <v>0</v>
      </c>
      <c r="AW627">
        <v>0</v>
      </c>
      <c r="AX627">
        <v>311000</v>
      </c>
      <c r="AY627" t="s">
        <v>161</v>
      </c>
      <c r="AZ627">
        <v>1.248</v>
      </c>
      <c r="BA627">
        <v>1.248</v>
      </c>
      <c r="BB627">
        <v>0</v>
      </c>
      <c r="BC627" t="s">
        <v>229</v>
      </c>
      <c r="BD627">
        <v>1511</v>
      </c>
      <c r="BE627" t="s">
        <v>174</v>
      </c>
      <c r="BF627">
        <v>5094077650</v>
      </c>
      <c r="BG627" t="s">
        <v>337</v>
      </c>
    </row>
    <row r="628" spans="1:59">
      <c r="A628">
        <v>1115</v>
      </c>
      <c r="B628">
        <v>1115</v>
      </c>
      <c r="C628">
        <v>10</v>
      </c>
      <c r="D628">
        <v>2</v>
      </c>
      <c r="E628" t="s">
        <v>152</v>
      </c>
      <c r="F628" t="s">
        <v>153</v>
      </c>
      <c r="G628" t="s">
        <v>154</v>
      </c>
      <c r="H628">
        <v>1526005681</v>
      </c>
      <c r="I628">
        <v>1000005927</v>
      </c>
      <c r="L628" t="s">
        <v>337</v>
      </c>
      <c r="M628">
        <v>5100001099</v>
      </c>
      <c r="N628" t="s">
        <v>155</v>
      </c>
      <c r="O628" t="s">
        <v>156</v>
      </c>
      <c r="P628">
        <v>4110004650</v>
      </c>
      <c r="Q628" t="s">
        <v>177</v>
      </c>
      <c r="R628">
        <v>5000</v>
      </c>
      <c r="S628" t="s">
        <v>166</v>
      </c>
      <c r="V628" t="s">
        <v>167</v>
      </c>
      <c r="W628">
        <v>1502040132</v>
      </c>
      <c r="X628" t="s">
        <v>230</v>
      </c>
      <c r="Y628" t="str">
        <f>VLOOKUP(W628,Sheet4!$A$5:$B$71,2,0)</f>
        <v>REAR COVER</v>
      </c>
      <c r="Z628">
        <v>87082900</v>
      </c>
      <c r="AA628">
        <v>55</v>
      </c>
      <c r="AB628" t="s">
        <v>159</v>
      </c>
      <c r="AC628">
        <v>159.41</v>
      </c>
      <c r="AD628" t="s">
        <v>160</v>
      </c>
      <c r="AE628" s="24">
        <v>8767.5499999999993</v>
      </c>
      <c r="AF628">
        <v>0</v>
      </c>
      <c r="AG628" s="24">
        <v>8767.5499999999993</v>
      </c>
      <c r="AH628">
        <v>0</v>
      </c>
      <c r="AI628">
        <v>0</v>
      </c>
      <c r="AJ628">
        <v>0</v>
      </c>
      <c r="AK628">
        <v>0</v>
      </c>
      <c r="AL628" s="24">
        <v>8767.5499999999993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s="24">
        <v>8767.5499999999993</v>
      </c>
      <c r="AV628">
        <v>0</v>
      </c>
      <c r="AW628">
        <v>0</v>
      </c>
      <c r="AX628">
        <v>311000</v>
      </c>
      <c r="AY628" t="s">
        <v>161</v>
      </c>
      <c r="AZ628">
        <v>1.1659999999999999</v>
      </c>
      <c r="BA628">
        <v>1.1659999999999999</v>
      </c>
      <c r="BB628">
        <v>0</v>
      </c>
      <c r="BC628" t="s">
        <v>231</v>
      </c>
      <c r="BD628">
        <v>1511</v>
      </c>
      <c r="BE628" t="s">
        <v>174</v>
      </c>
      <c r="BF628">
        <v>5094077583</v>
      </c>
      <c r="BG628" t="s">
        <v>337</v>
      </c>
    </row>
    <row r="629" spans="1:59">
      <c r="A629">
        <v>1115</v>
      </c>
      <c r="B629">
        <v>1115</v>
      </c>
      <c r="C629">
        <v>10</v>
      </c>
      <c r="D629">
        <v>2</v>
      </c>
      <c r="E629" t="s">
        <v>152</v>
      </c>
      <c r="F629" t="s">
        <v>153</v>
      </c>
      <c r="G629" t="s">
        <v>154</v>
      </c>
      <c r="H629">
        <v>1526005680</v>
      </c>
      <c r="I629">
        <v>1000005926</v>
      </c>
      <c r="L629" t="s">
        <v>337</v>
      </c>
      <c r="M629">
        <v>5100001100</v>
      </c>
      <c r="N629" t="s">
        <v>155</v>
      </c>
      <c r="O629" t="s">
        <v>156</v>
      </c>
      <c r="P629">
        <v>4110004652</v>
      </c>
      <c r="Q629" t="s">
        <v>177</v>
      </c>
      <c r="R629">
        <v>5000</v>
      </c>
      <c r="S629" t="s">
        <v>166</v>
      </c>
      <c r="V629" t="s">
        <v>167</v>
      </c>
      <c r="W629">
        <v>1502040165</v>
      </c>
      <c r="X629" t="s">
        <v>234</v>
      </c>
      <c r="Y629" t="str">
        <f>VLOOKUP(W629,Sheet4!$A$5:$B$71,2,0)</f>
        <v>REAR COVER</v>
      </c>
      <c r="Z629">
        <v>87082900</v>
      </c>
      <c r="AA629">
        <v>55</v>
      </c>
      <c r="AB629" t="s">
        <v>159</v>
      </c>
      <c r="AC629">
        <v>165.65</v>
      </c>
      <c r="AD629" t="s">
        <v>160</v>
      </c>
      <c r="AE629" s="24">
        <v>9110.75</v>
      </c>
      <c r="AF629">
        <v>0</v>
      </c>
      <c r="AG629" s="24">
        <v>9110.75</v>
      </c>
      <c r="AH629">
        <v>0</v>
      </c>
      <c r="AI629">
        <v>0</v>
      </c>
      <c r="AJ629">
        <v>0</v>
      </c>
      <c r="AK629">
        <v>0</v>
      </c>
      <c r="AL629" s="24">
        <v>9110.75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 s="24">
        <v>9110.75</v>
      </c>
      <c r="AV629">
        <v>0</v>
      </c>
      <c r="AW629">
        <v>0</v>
      </c>
      <c r="AX629">
        <v>311000</v>
      </c>
      <c r="AY629" t="s">
        <v>161</v>
      </c>
      <c r="AZ629">
        <v>1.248</v>
      </c>
      <c r="BA629">
        <v>1.248</v>
      </c>
      <c r="BB629">
        <v>0</v>
      </c>
      <c r="BC629" t="s">
        <v>235</v>
      </c>
      <c r="BD629">
        <v>1511</v>
      </c>
      <c r="BE629" t="s">
        <v>174</v>
      </c>
      <c r="BF629">
        <v>5094081584</v>
      </c>
      <c r="BG629" t="s">
        <v>337</v>
      </c>
    </row>
    <row r="630" spans="1:59">
      <c r="A630">
        <v>1115</v>
      </c>
      <c r="B630">
        <v>1115</v>
      </c>
      <c r="C630">
        <v>10</v>
      </c>
      <c r="D630">
        <v>2</v>
      </c>
      <c r="E630" t="s">
        <v>152</v>
      </c>
      <c r="F630" t="s">
        <v>153</v>
      </c>
      <c r="G630" t="s">
        <v>154</v>
      </c>
      <c r="H630">
        <v>1526005679</v>
      </c>
      <c r="I630">
        <v>1000005925</v>
      </c>
      <c r="L630" t="s">
        <v>337</v>
      </c>
      <c r="M630">
        <v>5100001100</v>
      </c>
      <c r="N630" t="s">
        <v>155</v>
      </c>
      <c r="O630" t="s">
        <v>156</v>
      </c>
      <c r="P630">
        <v>4110004652</v>
      </c>
      <c r="Q630" t="s">
        <v>177</v>
      </c>
      <c r="R630">
        <v>5000</v>
      </c>
      <c r="S630" t="s">
        <v>166</v>
      </c>
      <c r="V630" t="s">
        <v>167</v>
      </c>
      <c r="W630">
        <v>1502040164</v>
      </c>
      <c r="X630" t="s">
        <v>236</v>
      </c>
      <c r="Y630" t="str">
        <f>VLOOKUP(W630,Sheet4!$A$5:$B$71,2,0)</f>
        <v>REAR COVER</v>
      </c>
      <c r="Z630">
        <v>87082900</v>
      </c>
      <c r="AA630">
        <v>55</v>
      </c>
      <c r="AB630" t="s">
        <v>159</v>
      </c>
      <c r="AC630">
        <v>160.52000000000001</v>
      </c>
      <c r="AD630" t="s">
        <v>160</v>
      </c>
      <c r="AE630" s="24">
        <v>8828.6</v>
      </c>
      <c r="AF630">
        <v>0</v>
      </c>
      <c r="AG630" s="24">
        <v>8828.6</v>
      </c>
      <c r="AH630">
        <v>0</v>
      </c>
      <c r="AI630">
        <v>0</v>
      </c>
      <c r="AJ630">
        <v>0</v>
      </c>
      <c r="AK630">
        <v>0</v>
      </c>
      <c r="AL630" s="24">
        <v>8828.6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s="24">
        <v>8828.6</v>
      </c>
      <c r="AV630">
        <v>0</v>
      </c>
      <c r="AW630">
        <v>0</v>
      </c>
      <c r="AX630">
        <v>311000</v>
      </c>
      <c r="AY630" t="s">
        <v>161</v>
      </c>
      <c r="AZ630">
        <v>1.1659999999999999</v>
      </c>
      <c r="BA630">
        <v>1.1659999999999999</v>
      </c>
      <c r="BB630">
        <v>0</v>
      </c>
      <c r="BC630" t="s">
        <v>237</v>
      </c>
      <c r="BD630">
        <v>1511</v>
      </c>
      <c r="BE630" t="s">
        <v>174</v>
      </c>
      <c r="BF630">
        <v>5094081603</v>
      </c>
      <c r="BG630" t="s">
        <v>337</v>
      </c>
    </row>
    <row r="631" spans="1:59">
      <c r="A631">
        <v>1115</v>
      </c>
      <c r="B631">
        <v>1115</v>
      </c>
      <c r="C631">
        <v>10</v>
      </c>
      <c r="D631">
        <v>2</v>
      </c>
      <c r="E631" t="s">
        <v>152</v>
      </c>
      <c r="F631" t="s">
        <v>153</v>
      </c>
      <c r="G631" t="s">
        <v>154</v>
      </c>
      <c r="H631">
        <v>1526005678</v>
      </c>
      <c r="I631">
        <v>1000005924</v>
      </c>
      <c r="L631" t="s">
        <v>337</v>
      </c>
      <c r="M631">
        <v>5100001100</v>
      </c>
      <c r="N631" t="s">
        <v>155</v>
      </c>
      <c r="O631" t="s">
        <v>156</v>
      </c>
      <c r="P631">
        <v>4110004652</v>
      </c>
      <c r="Q631" t="s">
        <v>177</v>
      </c>
      <c r="R631">
        <v>5000</v>
      </c>
      <c r="S631" t="s">
        <v>166</v>
      </c>
      <c r="V631" t="s">
        <v>167</v>
      </c>
      <c r="W631">
        <v>1502040126</v>
      </c>
      <c r="X631" t="s">
        <v>53</v>
      </c>
      <c r="Y631" t="str">
        <f>VLOOKUP(W631,Sheet4!$A$5:$B$71,2,0)</f>
        <v>REAR COVER</v>
      </c>
      <c r="Z631">
        <v>87082900</v>
      </c>
      <c r="AA631">
        <v>55</v>
      </c>
      <c r="AB631" t="s">
        <v>159</v>
      </c>
      <c r="AC631">
        <v>155.58000000000001</v>
      </c>
      <c r="AD631" t="s">
        <v>160</v>
      </c>
      <c r="AE631" s="24">
        <v>8556.9</v>
      </c>
      <c r="AF631">
        <v>0</v>
      </c>
      <c r="AG631" s="24">
        <v>8556.9</v>
      </c>
      <c r="AH631">
        <v>0</v>
      </c>
      <c r="AI631">
        <v>0</v>
      </c>
      <c r="AJ631">
        <v>0</v>
      </c>
      <c r="AK631">
        <v>0</v>
      </c>
      <c r="AL631" s="24">
        <v>8556.9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 s="24">
        <v>8556.9</v>
      </c>
      <c r="AV631">
        <v>0</v>
      </c>
      <c r="AW631">
        <v>0</v>
      </c>
      <c r="AX631">
        <v>311000</v>
      </c>
      <c r="AY631" t="s">
        <v>161</v>
      </c>
      <c r="AZ631">
        <v>1.1850000000000001</v>
      </c>
      <c r="BA631">
        <v>1.1850000000000001</v>
      </c>
      <c r="BB631">
        <v>0</v>
      </c>
      <c r="BC631" t="s">
        <v>232</v>
      </c>
      <c r="BD631">
        <v>1511</v>
      </c>
      <c r="BE631" t="s">
        <v>174</v>
      </c>
      <c r="BF631">
        <v>5094075879</v>
      </c>
      <c r="BG631" t="s">
        <v>337</v>
      </c>
    </row>
    <row r="632" spans="1:59">
      <c r="A632">
        <v>1115</v>
      </c>
      <c r="B632">
        <v>1115</v>
      </c>
      <c r="C632">
        <v>10</v>
      </c>
      <c r="D632">
        <v>2</v>
      </c>
      <c r="E632" t="s">
        <v>152</v>
      </c>
      <c r="F632" t="s">
        <v>153</v>
      </c>
      <c r="G632" t="s">
        <v>154</v>
      </c>
      <c r="H632">
        <v>1526005677</v>
      </c>
      <c r="I632">
        <v>1000005923</v>
      </c>
      <c r="L632" t="s">
        <v>337</v>
      </c>
      <c r="M632">
        <v>5100001100</v>
      </c>
      <c r="N632" t="s">
        <v>155</v>
      </c>
      <c r="O632" t="s">
        <v>156</v>
      </c>
      <c r="P632">
        <v>4110004652</v>
      </c>
      <c r="Q632" t="s">
        <v>177</v>
      </c>
      <c r="R632">
        <v>5000</v>
      </c>
      <c r="S632" t="s">
        <v>166</v>
      </c>
      <c r="V632" t="s">
        <v>167</v>
      </c>
      <c r="W632">
        <v>1502040125</v>
      </c>
      <c r="X632" t="s">
        <v>52</v>
      </c>
      <c r="Y632" t="str">
        <f>VLOOKUP(W632,Sheet4!$A$5:$B$71,2,0)</f>
        <v>REAR COVER</v>
      </c>
      <c r="Z632">
        <v>87082900</v>
      </c>
      <c r="AA632">
        <v>55</v>
      </c>
      <c r="AB632" t="s">
        <v>159</v>
      </c>
      <c r="AC632">
        <v>160.44999999999999</v>
      </c>
      <c r="AD632" t="s">
        <v>160</v>
      </c>
      <c r="AE632" s="24">
        <v>8824.75</v>
      </c>
      <c r="AF632">
        <v>0</v>
      </c>
      <c r="AG632" s="24">
        <v>8824.75</v>
      </c>
      <c r="AH632">
        <v>0</v>
      </c>
      <c r="AI632">
        <v>0</v>
      </c>
      <c r="AJ632">
        <v>0</v>
      </c>
      <c r="AK632">
        <v>0</v>
      </c>
      <c r="AL632" s="24">
        <v>8824.75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 s="24">
        <v>8824.75</v>
      </c>
      <c r="AV632">
        <v>0</v>
      </c>
      <c r="AW632">
        <v>0</v>
      </c>
      <c r="AX632">
        <v>311000</v>
      </c>
      <c r="AY632" t="s">
        <v>161</v>
      </c>
      <c r="AZ632">
        <v>1.1850000000000001</v>
      </c>
      <c r="BA632">
        <v>1.1850000000000001</v>
      </c>
      <c r="BB632">
        <v>0</v>
      </c>
      <c r="BC632" t="s">
        <v>233</v>
      </c>
      <c r="BD632">
        <v>1511</v>
      </c>
      <c r="BE632" t="s">
        <v>174</v>
      </c>
      <c r="BF632">
        <v>5094075827</v>
      </c>
      <c r="BG632" t="s">
        <v>337</v>
      </c>
    </row>
    <row r="633" spans="1:59">
      <c r="A633">
        <v>1115</v>
      </c>
      <c r="B633">
        <v>1115</v>
      </c>
      <c r="C633">
        <v>10</v>
      </c>
      <c r="D633">
        <v>2</v>
      </c>
      <c r="E633" t="s">
        <v>152</v>
      </c>
      <c r="F633" t="s">
        <v>153</v>
      </c>
      <c r="G633" t="s">
        <v>154</v>
      </c>
      <c r="H633">
        <v>1526005676</v>
      </c>
      <c r="I633">
        <v>1000005922</v>
      </c>
      <c r="L633" t="s">
        <v>337</v>
      </c>
      <c r="M633">
        <v>5100001934</v>
      </c>
      <c r="N633" t="s">
        <v>155</v>
      </c>
      <c r="O633" t="s">
        <v>156</v>
      </c>
      <c r="P633">
        <v>4110058649</v>
      </c>
      <c r="Q633" t="s">
        <v>196</v>
      </c>
      <c r="R633">
        <v>5000</v>
      </c>
      <c r="S633" t="s">
        <v>166</v>
      </c>
      <c r="V633" t="s">
        <v>167</v>
      </c>
      <c r="W633">
        <v>1502040217</v>
      </c>
      <c r="X633" t="s">
        <v>197</v>
      </c>
      <c r="Y633" t="str">
        <f>VLOOKUP(W633,Sheet4!$A$5:$B$71,2,0)</f>
        <v>FRONT MUDGARD GOGO</v>
      </c>
      <c r="Z633">
        <v>87082900</v>
      </c>
      <c r="AA633">
        <v>100</v>
      </c>
      <c r="AB633" t="s">
        <v>159</v>
      </c>
      <c r="AC633">
        <v>380.93</v>
      </c>
      <c r="AD633" t="s">
        <v>160</v>
      </c>
      <c r="AE633" s="24">
        <v>38093</v>
      </c>
      <c r="AF633">
        <v>0</v>
      </c>
      <c r="AG633" s="24">
        <v>38093</v>
      </c>
      <c r="AH633">
        <v>0</v>
      </c>
      <c r="AI633">
        <v>0</v>
      </c>
      <c r="AJ633">
        <v>0</v>
      </c>
      <c r="AK633">
        <v>0</v>
      </c>
      <c r="AL633" s="24">
        <v>38093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 s="24">
        <v>38093</v>
      </c>
      <c r="AV633">
        <v>0</v>
      </c>
      <c r="AW633">
        <v>0</v>
      </c>
      <c r="AX633">
        <v>311000</v>
      </c>
      <c r="AY633" t="s">
        <v>161</v>
      </c>
      <c r="AZ633">
        <v>2.13</v>
      </c>
      <c r="BA633">
        <v>2.13</v>
      </c>
      <c r="BB633">
        <v>0</v>
      </c>
      <c r="BC633" t="s">
        <v>198</v>
      </c>
      <c r="BD633">
        <v>1511</v>
      </c>
      <c r="BE633" t="s">
        <v>174</v>
      </c>
      <c r="BF633">
        <v>5094082622</v>
      </c>
      <c r="BG633" t="s">
        <v>337</v>
      </c>
    </row>
    <row r="634" spans="1:59">
      <c r="A634">
        <v>1115</v>
      </c>
      <c r="B634">
        <v>1115</v>
      </c>
      <c r="C634">
        <v>10</v>
      </c>
      <c r="D634">
        <v>2</v>
      </c>
      <c r="E634" t="s">
        <v>152</v>
      </c>
      <c r="F634" t="s">
        <v>153</v>
      </c>
      <c r="G634" t="s">
        <v>154</v>
      </c>
      <c r="H634">
        <v>1526005675</v>
      </c>
      <c r="I634">
        <v>1000005921</v>
      </c>
      <c r="L634" t="s">
        <v>337</v>
      </c>
      <c r="M634">
        <v>5100001666</v>
      </c>
      <c r="N634" t="s">
        <v>155</v>
      </c>
      <c r="O634" t="s">
        <v>156</v>
      </c>
      <c r="P634">
        <v>4110027035</v>
      </c>
      <c r="Q634" t="s">
        <v>225</v>
      </c>
      <c r="R634">
        <v>5000</v>
      </c>
      <c r="S634" t="s">
        <v>166</v>
      </c>
      <c r="V634" t="s">
        <v>167</v>
      </c>
      <c r="W634">
        <v>1502020105</v>
      </c>
      <c r="X634" t="s">
        <v>226</v>
      </c>
      <c r="Y634" t="str">
        <f>VLOOKUP(W634,Sheet4!$A$5:$B$71,2,0)</f>
        <v>RE STYLING</v>
      </c>
      <c r="Z634">
        <v>87082900</v>
      </c>
      <c r="AA634">
        <v>15</v>
      </c>
      <c r="AB634" t="s">
        <v>159</v>
      </c>
      <c r="AC634" s="24">
        <v>6570.77</v>
      </c>
      <c r="AD634" t="s">
        <v>160</v>
      </c>
      <c r="AE634" s="24">
        <v>98561.55</v>
      </c>
      <c r="AF634">
        <v>0</v>
      </c>
      <c r="AG634" s="24">
        <v>98561.55</v>
      </c>
      <c r="AH634">
        <v>0</v>
      </c>
      <c r="AI634">
        <v>0</v>
      </c>
      <c r="AJ634">
        <v>0</v>
      </c>
      <c r="AK634">
        <v>0</v>
      </c>
      <c r="AL634" s="24">
        <v>98561.55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 s="24">
        <v>98561.55</v>
      </c>
      <c r="AV634">
        <v>0</v>
      </c>
      <c r="AW634">
        <v>0</v>
      </c>
      <c r="AX634">
        <v>311000</v>
      </c>
      <c r="AY634" t="s">
        <v>161</v>
      </c>
      <c r="AZ634">
        <v>49.75</v>
      </c>
      <c r="BA634">
        <v>49.75</v>
      </c>
      <c r="BB634">
        <v>0</v>
      </c>
      <c r="BC634" t="s">
        <v>227</v>
      </c>
      <c r="BD634">
        <v>1509</v>
      </c>
      <c r="BE634" t="s">
        <v>169</v>
      </c>
      <c r="BF634">
        <v>5094079954</v>
      </c>
      <c r="BG634" t="s">
        <v>337</v>
      </c>
    </row>
    <row r="635" spans="1:59">
      <c r="A635">
        <v>1115</v>
      </c>
      <c r="B635">
        <v>1115</v>
      </c>
      <c r="C635">
        <v>10</v>
      </c>
      <c r="D635">
        <v>2</v>
      </c>
      <c r="E635" t="s">
        <v>152</v>
      </c>
      <c r="F635" t="s">
        <v>153</v>
      </c>
      <c r="G635" t="s">
        <v>154</v>
      </c>
      <c r="H635">
        <v>1526005674</v>
      </c>
      <c r="I635">
        <v>1000005920</v>
      </c>
      <c r="L635" t="s">
        <v>337</v>
      </c>
      <c r="M635">
        <v>5100001666</v>
      </c>
      <c r="N635" t="s">
        <v>155</v>
      </c>
      <c r="O635" t="s">
        <v>156</v>
      </c>
      <c r="P635">
        <v>4110027035</v>
      </c>
      <c r="Q635" t="s">
        <v>225</v>
      </c>
      <c r="R635">
        <v>5000</v>
      </c>
      <c r="S635" t="s">
        <v>166</v>
      </c>
      <c r="V635" t="s">
        <v>167</v>
      </c>
      <c r="W635">
        <v>1502020105</v>
      </c>
      <c r="X635" t="s">
        <v>226</v>
      </c>
      <c r="Y635" t="str">
        <f>VLOOKUP(W635,Sheet4!$A$5:$B$71,2,0)</f>
        <v>RE STYLING</v>
      </c>
      <c r="Z635">
        <v>87082900</v>
      </c>
      <c r="AA635">
        <v>15</v>
      </c>
      <c r="AB635" t="s">
        <v>159</v>
      </c>
      <c r="AC635" s="24">
        <v>6570.77</v>
      </c>
      <c r="AD635" t="s">
        <v>160</v>
      </c>
      <c r="AE635" s="24">
        <v>98561.55</v>
      </c>
      <c r="AF635">
        <v>0</v>
      </c>
      <c r="AG635" s="24">
        <v>98561.55</v>
      </c>
      <c r="AH635">
        <v>0</v>
      </c>
      <c r="AI635">
        <v>0</v>
      </c>
      <c r="AJ635">
        <v>0</v>
      </c>
      <c r="AK635">
        <v>0</v>
      </c>
      <c r="AL635" s="24">
        <v>98561.55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 s="24">
        <v>98561.55</v>
      </c>
      <c r="AV635">
        <v>0</v>
      </c>
      <c r="AW635">
        <v>0</v>
      </c>
      <c r="AX635">
        <v>311000</v>
      </c>
      <c r="AY635" t="s">
        <v>161</v>
      </c>
      <c r="AZ635">
        <v>49.75</v>
      </c>
      <c r="BA635">
        <v>49.75</v>
      </c>
      <c r="BB635">
        <v>0</v>
      </c>
      <c r="BC635" t="s">
        <v>227</v>
      </c>
      <c r="BD635">
        <v>1509</v>
      </c>
      <c r="BE635" t="s">
        <v>169</v>
      </c>
      <c r="BF635">
        <v>5094075150</v>
      </c>
      <c r="BG635" t="s">
        <v>337</v>
      </c>
    </row>
    <row r="636" spans="1:59">
      <c r="A636">
        <v>1115</v>
      </c>
      <c r="B636">
        <v>1115</v>
      </c>
      <c r="C636">
        <v>10</v>
      </c>
      <c r="D636">
        <v>2</v>
      </c>
      <c r="E636" t="s">
        <v>152</v>
      </c>
      <c r="F636" t="s">
        <v>153</v>
      </c>
      <c r="G636" t="s">
        <v>154</v>
      </c>
      <c r="H636">
        <v>1526006332</v>
      </c>
      <c r="I636">
        <v>1000006605</v>
      </c>
      <c r="L636" t="s">
        <v>335</v>
      </c>
      <c r="M636">
        <v>5100001636</v>
      </c>
      <c r="N636" t="s">
        <v>155</v>
      </c>
      <c r="O636" t="s">
        <v>156</v>
      </c>
      <c r="P636">
        <v>4110026445</v>
      </c>
      <c r="Q636" t="s">
        <v>170</v>
      </c>
      <c r="R636">
        <v>5000</v>
      </c>
      <c r="S636" t="s">
        <v>166</v>
      </c>
      <c r="V636" t="s">
        <v>167</v>
      </c>
      <c r="W636">
        <v>1502020104</v>
      </c>
      <c r="X636" t="s">
        <v>26</v>
      </c>
      <c r="Y636" t="str">
        <f>VLOOKUP(W636,Sheet4!$A$5:$B$71,2,0)</f>
        <v>RE STYLING</v>
      </c>
      <c r="Z636">
        <v>87082900</v>
      </c>
      <c r="AA636">
        <v>15</v>
      </c>
      <c r="AB636" t="s">
        <v>159</v>
      </c>
      <c r="AC636" s="24">
        <v>6585.55</v>
      </c>
      <c r="AD636" t="s">
        <v>160</v>
      </c>
      <c r="AE636" s="24">
        <v>98783.25</v>
      </c>
      <c r="AF636">
        <v>0</v>
      </c>
      <c r="AG636" s="24">
        <v>98783.25</v>
      </c>
      <c r="AH636">
        <v>0</v>
      </c>
      <c r="AI636">
        <v>0</v>
      </c>
      <c r="AJ636">
        <v>0</v>
      </c>
      <c r="AK636">
        <v>0</v>
      </c>
      <c r="AL636" s="24">
        <v>98783.25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 s="24">
        <v>98783.25</v>
      </c>
      <c r="AV636">
        <v>0</v>
      </c>
      <c r="AW636">
        <v>0</v>
      </c>
      <c r="AX636">
        <v>311000</v>
      </c>
      <c r="AY636" t="s">
        <v>161</v>
      </c>
      <c r="AZ636">
        <v>49.75</v>
      </c>
      <c r="BA636">
        <v>49.75</v>
      </c>
      <c r="BB636">
        <v>0</v>
      </c>
      <c r="BC636" t="s">
        <v>171</v>
      </c>
      <c r="BD636">
        <v>1509</v>
      </c>
      <c r="BE636" t="s">
        <v>169</v>
      </c>
      <c r="BF636" t="s">
        <v>163</v>
      </c>
      <c r="BG636" t="s">
        <v>164</v>
      </c>
    </row>
    <row r="637" spans="1:59">
      <c r="A637">
        <v>1115</v>
      </c>
      <c r="B637">
        <v>1115</v>
      </c>
      <c r="C637">
        <v>10</v>
      </c>
      <c r="D637">
        <v>2</v>
      </c>
      <c r="E637" t="s">
        <v>152</v>
      </c>
      <c r="F637" t="s">
        <v>153</v>
      </c>
      <c r="G637" t="s">
        <v>154</v>
      </c>
      <c r="H637">
        <v>1526006331</v>
      </c>
      <c r="I637">
        <v>1000006604</v>
      </c>
      <c r="L637" t="s">
        <v>335</v>
      </c>
      <c r="M637">
        <v>5100001407</v>
      </c>
      <c r="N637" t="s">
        <v>155</v>
      </c>
      <c r="O637" t="s">
        <v>156</v>
      </c>
      <c r="P637">
        <v>4110019623</v>
      </c>
      <c r="Q637" t="s">
        <v>188</v>
      </c>
      <c r="R637">
        <v>5000</v>
      </c>
      <c r="S637" t="s">
        <v>166</v>
      </c>
      <c r="V637" t="s">
        <v>167</v>
      </c>
      <c r="W637">
        <v>1502040216</v>
      </c>
      <c r="X637" t="s">
        <v>64</v>
      </c>
      <c r="Y637" t="str">
        <f>VLOOKUP(W637,Sheet4!$A$5:$B$71,2,0)</f>
        <v>FRONT MUDGAURD</v>
      </c>
      <c r="Z637">
        <v>87082900</v>
      </c>
      <c r="AA637" s="24">
        <v>1280</v>
      </c>
      <c r="AB637" t="s">
        <v>159</v>
      </c>
      <c r="AC637">
        <v>174.11</v>
      </c>
      <c r="AD637" t="s">
        <v>160</v>
      </c>
      <c r="AE637" s="24">
        <v>222860.79999999999</v>
      </c>
      <c r="AF637">
        <v>0</v>
      </c>
      <c r="AG637" s="24">
        <v>222860.79999999999</v>
      </c>
      <c r="AH637">
        <v>0</v>
      </c>
      <c r="AI637">
        <v>0</v>
      </c>
      <c r="AJ637">
        <v>0</v>
      </c>
      <c r="AK637">
        <v>0</v>
      </c>
      <c r="AL637" s="24">
        <v>222860.79999999999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s="24">
        <v>222860.79999999999</v>
      </c>
      <c r="AV637">
        <v>0</v>
      </c>
      <c r="AW637">
        <v>0</v>
      </c>
      <c r="AX637">
        <v>311000</v>
      </c>
      <c r="AY637" t="s">
        <v>161</v>
      </c>
      <c r="AZ637">
        <v>2.573</v>
      </c>
      <c r="BA637">
        <v>1.4910000000000001</v>
      </c>
      <c r="BB637">
        <v>1.0820000000000001</v>
      </c>
      <c r="BC637" t="s">
        <v>189</v>
      </c>
      <c r="BD637">
        <v>1511</v>
      </c>
      <c r="BE637" t="s">
        <v>174</v>
      </c>
      <c r="BF637" t="s">
        <v>163</v>
      </c>
      <c r="BG637" t="s">
        <v>164</v>
      </c>
    </row>
    <row r="638" spans="1:59">
      <c r="A638">
        <v>1115</v>
      </c>
      <c r="B638">
        <v>1115</v>
      </c>
      <c r="C638">
        <v>10</v>
      </c>
      <c r="D638">
        <v>2</v>
      </c>
      <c r="E638" t="s">
        <v>152</v>
      </c>
      <c r="F638" t="s">
        <v>153</v>
      </c>
      <c r="G638" t="s">
        <v>154</v>
      </c>
      <c r="H638">
        <v>1526006329</v>
      </c>
      <c r="I638">
        <v>1000006601</v>
      </c>
      <c r="L638" t="s">
        <v>335</v>
      </c>
      <c r="M638">
        <v>5100001445</v>
      </c>
      <c r="N638" t="s">
        <v>155</v>
      </c>
      <c r="O638" t="s">
        <v>156</v>
      </c>
      <c r="P638">
        <v>4110021696</v>
      </c>
      <c r="Q638" t="s">
        <v>239</v>
      </c>
      <c r="R638">
        <v>5000</v>
      </c>
      <c r="S638" t="s">
        <v>166</v>
      </c>
      <c r="V638" t="s">
        <v>167</v>
      </c>
      <c r="W638">
        <v>1502040233</v>
      </c>
      <c r="X638" t="s">
        <v>37</v>
      </c>
      <c r="Y638" t="str">
        <f>VLOOKUP(W638,Sheet4!$A$5:$B$71,2,0)</f>
        <v>FRONT MUDGAURD</v>
      </c>
      <c r="Z638">
        <v>87082900</v>
      </c>
      <c r="AA638">
        <v>800</v>
      </c>
      <c r="AB638" t="s">
        <v>159</v>
      </c>
      <c r="AC638">
        <v>317.45999999999998</v>
      </c>
      <c r="AD638" t="s">
        <v>160</v>
      </c>
      <c r="AE638" s="24">
        <v>253968</v>
      </c>
      <c r="AF638">
        <v>0</v>
      </c>
      <c r="AG638" s="24">
        <v>253968</v>
      </c>
      <c r="AH638">
        <v>0</v>
      </c>
      <c r="AI638">
        <v>0</v>
      </c>
      <c r="AJ638">
        <v>0</v>
      </c>
      <c r="AK638">
        <v>0</v>
      </c>
      <c r="AL638" s="24">
        <v>253968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s="24">
        <v>253968</v>
      </c>
      <c r="AV638">
        <v>0</v>
      </c>
      <c r="AW638">
        <v>0</v>
      </c>
      <c r="AX638">
        <v>311000</v>
      </c>
      <c r="AY638" t="s">
        <v>161</v>
      </c>
      <c r="AZ638">
        <v>3.4</v>
      </c>
      <c r="BA638">
        <v>2</v>
      </c>
      <c r="BB638">
        <v>1.4</v>
      </c>
      <c r="BC638" t="s">
        <v>238</v>
      </c>
      <c r="BD638">
        <v>1511</v>
      </c>
      <c r="BE638" t="s">
        <v>174</v>
      </c>
      <c r="BF638" t="s">
        <v>163</v>
      </c>
      <c r="BG638" t="s">
        <v>164</v>
      </c>
    </row>
    <row r="639" spans="1:59">
      <c r="A639">
        <v>1115</v>
      </c>
      <c r="B639">
        <v>1115</v>
      </c>
      <c r="C639">
        <v>10</v>
      </c>
      <c r="D639">
        <v>2</v>
      </c>
      <c r="E639" t="s">
        <v>152</v>
      </c>
      <c r="F639" t="s">
        <v>153</v>
      </c>
      <c r="G639" t="s">
        <v>154</v>
      </c>
      <c r="H639">
        <v>1526006328</v>
      </c>
      <c r="I639">
        <v>1000006600</v>
      </c>
      <c r="L639" t="s">
        <v>335</v>
      </c>
      <c r="M639">
        <v>5100001915</v>
      </c>
      <c r="N639" t="s">
        <v>155</v>
      </c>
      <c r="O639" t="s">
        <v>156</v>
      </c>
      <c r="P639">
        <v>4110052347</v>
      </c>
      <c r="Q639" t="s">
        <v>315</v>
      </c>
      <c r="R639">
        <v>5000</v>
      </c>
      <c r="S639" t="s">
        <v>166</v>
      </c>
      <c r="V639" t="s">
        <v>167</v>
      </c>
      <c r="W639">
        <v>1502040299</v>
      </c>
      <c r="X639" t="s">
        <v>316</v>
      </c>
      <c r="Y639" t="str">
        <f>VLOOKUP(W639,Sheet4!$A$5:$B$71,2,0)</f>
        <v>Re Side Door</v>
      </c>
      <c r="Z639">
        <v>87082900</v>
      </c>
      <c r="AA639">
        <v>80</v>
      </c>
      <c r="AB639" t="s">
        <v>159</v>
      </c>
      <c r="AC639">
        <v>166.23</v>
      </c>
      <c r="AD639" t="s">
        <v>160</v>
      </c>
      <c r="AE639" s="24">
        <v>13298.4</v>
      </c>
      <c r="AF639">
        <v>0</v>
      </c>
      <c r="AG639" s="24">
        <v>13298.4</v>
      </c>
      <c r="AH639">
        <v>0</v>
      </c>
      <c r="AI639">
        <v>0</v>
      </c>
      <c r="AJ639">
        <v>0</v>
      </c>
      <c r="AK639">
        <v>0</v>
      </c>
      <c r="AL639" s="24">
        <v>13298.4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s="24">
        <v>13298.4</v>
      </c>
      <c r="AV639">
        <v>0</v>
      </c>
      <c r="AW639">
        <v>0</v>
      </c>
      <c r="AX639">
        <v>311000</v>
      </c>
      <c r="AY639" t="s">
        <v>161</v>
      </c>
      <c r="AZ639">
        <v>0</v>
      </c>
      <c r="BA639">
        <v>0</v>
      </c>
      <c r="BB639">
        <v>0</v>
      </c>
      <c r="BC639" t="s">
        <v>317</v>
      </c>
      <c r="BD639">
        <v>1511</v>
      </c>
      <c r="BE639" t="s">
        <v>174</v>
      </c>
      <c r="BF639" t="s">
        <v>163</v>
      </c>
      <c r="BG639" t="s">
        <v>164</v>
      </c>
    </row>
    <row r="640" spans="1:59">
      <c r="A640">
        <v>1115</v>
      </c>
      <c r="B640">
        <v>1115</v>
      </c>
      <c r="C640">
        <v>10</v>
      </c>
      <c r="D640">
        <v>2</v>
      </c>
      <c r="E640" t="s">
        <v>152</v>
      </c>
      <c r="F640" t="s">
        <v>153</v>
      </c>
      <c r="G640" t="s">
        <v>154</v>
      </c>
      <c r="H640">
        <v>1526006327</v>
      </c>
      <c r="I640">
        <v>1000006599</v>
      </c>
      <c r="L640" t="s">
        <v>335</v>
      </c>
      <c r="M640">
        <v>5100001915</v>
      </c>
      <c r="N640" t="s">
        <v>155</v>
      </c>
      <c r="O640" t="s">
        <v>156</v>
      </c>
      <c r="P640">
        <v>4110052347</v>
      </c>
      <c r="Q640" t="s">
        <v>315</v>
      </c>
      <c r="R640">
        <v>5000</v>
      </c>
      <c r="S640" t="s">
        <v>166</v>
      </c>
      <c r="V640" t="s">
        <v>167</v>
      </c>
      <c r="W640">
        <v>1502040298</v>
      </c>
      <c r="X640" t="s">
        <v>318</v>
      </c>
      <c r="Y640" t="str">
        <f>VLOOKUP(W640,Sheet4!$A$5:$B$71,2,0)</f>
        <v>Re Side Door</v>
      </c>
      <c r="Z640">
        <v>87082900</v>
      </c>
      <c r="AA640">
        <v>80</v>
      </c>
      <c r="AB640" t="s">
        <v>159</v>
      </c>
      <c r="AC640">
        <v>213.14</v>
      </c>
      <c r="AD640" t="s">
        <v>160</v>
      </c>
      <c r="AE640" s="24">
        <v>17051.2</v>
      </c>
      <c r="AF640">
        <v>0</v>
      </c>
      <c r="AG640" s="24">
        <v>17051.2</v>
      </c>
      <c r="AH640">
        <v>0</v>
      </c>
      <c r="AI640">
        <v>0</v>
      </c>
      <c r="AJ640">
        <v>0</v>
      </c>
      <c r="AK640">
        <v>0</v>
      </c>
      <c r="AL640" s="24">
        <v>17051.2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s="24">
        <v>17051.2</v>
      </c>
      <c r="AV640">
        <v>0</v>
      </c>
      <c r="AW640">
        <v>0</v>
      </c>
      <c r="AX640">
        <v>311000</v>
      </c>
      <c r="AY640" t="s">
        <v>161</v>
      </c>
      <c r="AZ640">
        <v>0</v>
      </c>
      <c r="BA640">
        <v>0</v>
      </c>
      <c r="BB640">
        <v>0</v>
      </c>
      <c r="BC640" t="s">
        <v>319</v>
      </c>
      <c r="BD640">
        <v>1511</v>
      </c>
      <c r="BE640" t="s">
        <v>174</v>
      </c>
      <c r="BF640" t="s">
        <v>163</v>
      </c>
      <c r="BG640" t="s">
        <v>164</v>
      </c>
    </row>
    <row r="641" spans="1:59">
      <c r="A641">
        <v>1115</v>
      </c>
      <c r="B641">
        <v>1115</v>
      </c>
      <c r="C641">
        <v>10</v>
      </c>
      <c r="D641">
        <v>2</v>
      </c>
      <c r="E641" t="s">
        <v>152</v>
      </c>
      <c r="F641" t="s">
        <v>153</v>
      </c>
      <c r="G641" t="s">
        <v>154</v>
      </c>
      <c r="H641">
        <v>1526006326</v>
      </c>
      <c r="I641">
        <v>1000006598</v>
      </c>
      <c r="L641" t="s">
        <v>335</v>
      </c>
      <c r="M641">
        <v>5100001928</v>
      </c>
      <c r="N641" t="s">
        <v>155</v>
      </c>
      <c r="O641" t="s">
        <v>156</v>
      </c>
      <c r="P641">
        <v>4110057393</v>
      </c>
      <c r="Q641" t="s">
        <v>192</v>
      </c>
      <c r="R641">
        <v>5000</v>
      </c>
      <c r="S641" t="s">
        <v>166</v>
      </c>
      <c r="V641" t="s">
        <v>167</v>
      </c>
      <c r="W641">
        <v>1502020122</v>
      </c>
      <c r="X641" t="s">
        <v>70</v>
      </c>
      <c r="Y641" t="str">
        <f>VLOOKUP(W641,Sheet4!$A$5:$B$71,2,0)</f>
        <v>MAX UG NEW EV</v>
      </c>
      <c r="Z641">
        <v>87082900</v>
      </c>
      <c r="AA641">
        <v>10</v>
      </c>
      <c r="AB641" t="s">
        <v>159</v>
      </c>
      <c r="AC641" s="24">
        <v>9566.51</v>
      </c>
      <c r="AD641" t="s">
        <v>160</v>
      </c>
      <c r="AE641" s="24">
        <v>95665.1</v>
      </c>
      <c r="AF641">
        <v>0</v>
      </c>
      <c r="AG641" s="24">
        <v>95665.1</v>
      </c>
      <c r="AH641">
        <v>0</v>
      </c>
      <c r="AI641">
        <v>0</v>
      </c>
      <c r="AJ641">
        <v>0</v>
      </c>
      <c r="AK641">
        <v>0</v>
      </c>
      <c r="AL641" s="24">
        <v>95665.1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s="24">
        <v>95665.1</v>
      </c>
      <c r="AV641">
        <v>0</v>
      </c>
      <c r="AW641">
        <v>0</v>
      </c>
      <c r="AX641">
        <v>311000</v>
      </c>
      <c r="AY641" t="s">
        <v>161</v>
      </c>
      <c r="AZ641">
        <v>0</v>
      </c>
      <c r="BA641">
        <v>61</v>
      </c>
      <c r="BB641">
        <v>-61</v>
      </c>
      <c r="BC641" t="s">
        <v>193</v>
      </c>
      <c r="BD641">
        <v>1509</v>
      </c>
      <c r="BE641" t="s">
        <v>169</v>
      </c>
      <c r="BF641" t="s">
        <v>163</v>
      </c>
      <c r="BG641" t="s">
        <v>164</v>
      </c>
    </row>
    <row r="642" spans="1:59">
      <c r="A642">
        <v>1115</v>
      </c>
      <c r="B642">
        <v>1115</v>
      </c>
      <c r="C642">
        <v>10</v>
      </c>
      <c r="D642">
        <v>2</v>
      </c>
      <c r="E642" t="s">
        <v>152</v>
      </c>
      <c r="F642" t="s">
        <v>153</v>
      </c>
      <c r="G642" t="s">
        <v>154</v>
      </c>
      <c r="H642">
        <v>1526006325</v>
      </c>
      <c r="I642">
        <v>1000006597</v>
      </c>
      <c r="L642" t="s">
        <v>335</v>
      </c>
      <c r="M642">
        <v>5100001928</v>
      </c>
      <c r="N642" t="s">
        <v>155</v>
      </c>
      <c r="O642" t="s">
        <v>156</v>
      </c>
      <c r="P642">
        <v>4110057393</v>
      </c>
      <c r="Q642" t="s">
        <v>192</v>
      </c>
      <c r="R642">
        <v>5000</v>
      </c>
      <c r="S642" t="s">
        <v>166</v>
      </c>
      <c r="V642" t="s">
        <v>167</v>
      </c>
      <c r="W642">
        <v>1502020122</v>
      </c>
      <c r="X642" t="s">
        <v>70</v>
      </c>
      <c r="Y642" t="str">
        <f>VLOOKUP(W642,Sheet4!$A$5:$B$71,2,0)</f>
        <v>MAX UG NEW EV</v>
      </c>
      <c r="Z642">
        <v>87082900</v>
      </c>
      <c r="AA642">
        <v>10</v>
      </c>
      <c r="AB642" t="s">
        <v>159</v>
      </c>
      <c r="AC642" s="24">
        <v>9566.51</v>
      </c>
      <c r="AD642" t="s">
        <v>160</v>
      </c>
      <c r="AE642" s="24">
        <v>95665.1</v>
      </c>
      <c r="AF642">
        <v>0</v>
      </c>
      <c r="AG642" s="24">
        <v>95665.1</v>
      </c>
      <c r="AH642">
        <v>0</v>
      </c>
      <c r="AI642">
        <v>0</v>
      </c>
      <c r="AJ642">
        <v>0</v>
      </c>
      <c r="AK642">
        <v>0</v>
      </c>
      <c r="AL642" s="24">
        <v>95665.1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s="24">
        <v>95665.1</v>
      </c>
      <c r="AV642">
        <v>0</v>
      </c>
      <c r="AW642">
        <v>0</v>
      </c>
      <c r="AX642">
        <v>311000</v>
      </c>
      <c r="AY642" t="s">
        <v>161</v>
      </c>
      <c r="AZ642">
        <v>0</v>
      </c>
      <c r="BA642">
        <v>61</v>
      </c>
      <c r="BB642">
        <v>-61</v>
      </c>
      <c r="BC642" t="s">
        <v>193</v>
      </c>
      <c r="BD642">
        <v>1509</v>
      </c>
      <c r="BE642" t="s">
        <v>169</v>
      </c>
      <c r="BF642" t="s">
        <v>163</v>
      </c>
      <c r="BG642" t="s">
        <v>164</v>
      </c>
    </row>
    <row r="643" spans="1:59">
      <c r="A643">
        <v>1115</v>
      </c>
      <c r="B643">
        <v>1115</v>
      </c>
      <c r="C643">
        <v>10</v>
      </c>
      <c r="D643">
        <v>2</v>
      </c>
      <c r="E643" t="s">
        <v>152</v>
      </c>
      <c r="F643" t="s">
        <v>153</v>
      </c>
      <c r="G643" t="s">
        <v>154</v>
      </c>
      <c r="H643">
        <v>1526006324</v>
      </c>
      <c r="I643">
        <v>1000006596</v>
      </c>
      <c r="L643" t="s">
        <v>335</v>
      </c>
      <c r="M643">
        <v>5100001928</v>
      </c>
      <c r="N643" t="s">
        <v>155</v>
      </c>
      <c r="O643" t="s">
        <v>156</v>
      </c>
      <c r="P643">
        <v>4110057393</v>
      </c>
      <c r="Q643" t="s">
        <v>192</v>
      </c>
      <c r="R643">
        <v>5000</v>
      </c>
      <c r="S643" t="s">
        <v>166</v>
      </c>
      <c r="V643" t="s">
        <v>167</v>
      </c>
      <c r="W643">
        <v>1502020122</v>
      </c>
      <c r="X643" t="s">
        <v>70</v>
      </c>
      <c r="Y643" t="str">
        <f>VLOOKUP(W643,Sheet4!$A$5:$B$71,2,0)</f>
        <v>MAX UG NEW EV</v>
      </c>
      <c r="Z643">
        <v>87082900</v>
      </c>
      <c r="AA643">
        <v>10</v>
      </c>
      <c r="AB643" t="s">
        <v>159</v>
      </c>
      <c r="AC643" s="24">
        <v>9566.51</v>
      </c>
      <c r="AD643" t="s">
        <v>160</v>
      </c>
      <c r="AE643" s="24">
        <v>95665.1</v>
      </c>
      <c r="AF643">
        <v>0</v>
      </c>
      <c r="AG643" s="24">
        <v>95665.1</v>
      </c>
      <c r="AH643">
        <v>0</v>
      </c>
      <c r="AI643">
        <v>0</v>
      </c>
      <c r="AJ643">
        <v>0</v>
      </c>
      <c r="AK643">
        <v>0</v>
      </c>
      <c r="AL643" s="24">
        <v>95665.1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 s="24">
        <v>95665.1</v>
      </c>
      <c r="AV643">
        <v>0</v>
      </c>
      <c r="AW643">
        <v>0</v>
      </c>
      <c r="AX643">
        <v>311000</v>
      </c>
      <c r="AY643" t="s">
        <v>161</v>
      </c>
      <c r="AZ643">
        <v>0</v>
      </c>
      <c r="BA643">
        <v>61</v>
      </c>
      <c r="BB643">
        <v>-61</v>
      </c>
      <c r="BC643" t="s">
        <v>193</v>
      </c>
      <c r="BD643">
        <v>1509</v>
      </c>
      <c r="BE643" t="s">
        <v>169</v>
      </c>
      <c r="BF643" t="s">
        <v>163</v>
      </c>
      <c r="BG643" t="s">
        <v>164</v>
      </c>
    </row>
    <row r="644" spans="1:59">
      <c r="A644">
        <v>1115</v>
      </c>
      <c r="B644">
        <v>1115</v>
      </c>
      <c r="C644">
        <v>10</v>
      </c>
      <c r="D644">
        <v>2</v>
      </c>
      <c r="E644" t="s">
        <v>152</v>
      </c>
      <c r="F644" t="s">
        <v>153</v>
      </c>
      <c r="G644" t="s">
        <v>154</v>
      </c>
      <c r="H644">
        <v>1526006321</v>
      </c>
      <c r="I644">
        <v>1000006593</v>
      </c>
      <c r="L644" t="s">
        <v>335</v>
      </c>
      <c r="M644">
        <v>5100001925</v>
      </c>
      <c r="N644" t="s">
        <v>155</v>
      </c>
      <c r="O644" t="s">
        <v>156</v>
      </c>
      <c r="P644">
        <v>4110055667</v>
      </c>
      <c r="Q644" t="s">
        <v>185</v>
      </c>
      <c r="R644">
        <v>5000</v>
      </c>
      <c r="S644" t="s">
        <v>166</v>
      </c>
      <c r="V644" t="s">
        <v>167</v>
      </c>
      <c r="W644">
        <v>1502040318</v>
      </c>
      <c r="X644" t="s">
        <v>72</v>
      </c>
      <c r="Y644" t="str">
        <f>VLOOKUP(W644,Sheet4!$A$5:$B$71,2,0)</f>
        <v>Re Side Door</v>
      </c>
      <c r="Z644">
        <v>87082900</v>
      </c>
      <c r="AA644">
        <v>120</v>
      </c>
      <c r="AB644" t="s">
        <v>159</v>
      </c>
      <c r="AC644">
        <v>506.59</v>
      </c>
      <c r="AD644" t="s">
        <v>160</v>
      </c>
      <c r="AE644" s="24">
        <v>60790.8</v>
      </c>
      <c r="AF644">
        <v>0</v>
      </c>
      <c r="AG644" s="24">
        <v>60790.8</v>
      </c>
      <c r="AH644">
        <v>0</v>
      </c>
      <c r="AI644">
        <v>0</v>
      </c>
      <c r="AJ644">
        <v>0</v>
      </c>
      <c r="AK644">
        <v>0</v>
      </c>
      <c r="AL644" s="24">
        <v>60790.8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 s="24">
        <v>60790.8</v>
      </c>
      <c r="AV644">
        <v>0</v>
      </c>
      <c r="AW644">
        <v>0</v>
      </c>
      <c r="AX644">
        <v>311000</v>
      </c>
      <c r="AY644" t="s">
        <v>161</v>
      </c>
      <c r="AZ644">
        <v>2.27</v>
      </c>
      <c r="BA644">
        <v>2.27</v>
      </c>
      <c r="BB644">
        <v>0</v>
      </c>
      <c r="BC644" t="s">
        <v>187</v>
      </c>
      <c r="BD644">
        <v>1511</v>
      </c>
      <c r="BE644" t="s">
        <v>174</v>
      </c>
      <c r="BF644" t="s">
        <v>163</v>
      </c>
      <c r="BG644" t="s">
        <v>164</v>
      </c>
    </row>
    <row r="645" spans="1:59">
      <c r="A645">
        <v>1115</v>
      </c>
      <c r="B645">
        <v>1115</v>
      </c>
      <c r="C645">
        <v>10</v>
      </c>
      <c r="D645">
        <v>2</v>
      </c>
      <c r="E645" t="s">
        <v>152</v>
      </c>
      <c r="F645" t="s">
        <v>153</v>
      </c>
      <c r="G645" t="s">
        <v>154</v>
      </c>
      <c r="H645">
        <v>1526006320</v>
      </c>
      <c r="I645">
        <v>1000006592</v>
      </c>
      <c r="L645" t="s">
        <v>335</v>
      </c>
      <c r="M645">
        <v>5100001925</v>
      </c>
      <c r="N645" t="s">
        <v>155</v>
      </c>
      <c r="O645" t="s">
        <v>156</v>
      </c>
      <c r="P645">
        <v>4110055667</v>
      </c>
      <c r="Q645" t="s">
        <v>185</v>
      </c>
      <c r="R645">
        <v>5000</v>
      </c>
      <c r="S645" t="s">
        <v>166</v>
      </c>
      <c r="V645" t="s">
        <v>167</v>
      </c>
      <c r="W645">
        <v>1502040317</v>
      </c>
      <c r="X645" t="s">
        <v>73</v>
      </c>
      <c r="Y645" t="str">
        <f>VLOOKUP(W645,Sheet4!$A$5:$B$71,2,0)</f>
        <v>Re Side Door</v>
      </c>
      <c r="Z645">
        <v>87082900</v>
      </c>
      <c r="AA645">
        <v>120</v>
      </c>
      <c r="AB645" t="s">
        <v>159</v>
      </c>
      <c r="AC645">
        <v>506.59</v>
      </c>
      <c r="AD645" t="s">
        <v>160</v>
      </c>
      <c r="AE645" s="24">
        <v>60790.8</v>
      </c>
      <c r="AF645">
        <v>0</v>
      </c>
      <c r="AG645" s="24">
        <v>60790.8</v>
      </c>
      <c r="AH645">
        <v>0</v>
      </c>
      <c r="AI645">
        <v>0</v>
      </c>
      <c r="AJ645">
        <v>0</v>
      </c>
      <c r="AK645">
        <v>0</v>
      </c>
      <c r="AL645" s="24">
        <v>60790.8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 s="24">
        <v>60790.8</v>
      </c>
      <c r="AV645">
        <v>0</v>
      </c>
      <c r="AW645">
        <v>0</v>
      </c>
      <c r="AX645">
        <v>311000</v>
      </c>
      <c r="AY645" t="s">
        <v>161</v>
      </c>
      <c r="AZ645">
        <v>2.27</v>
      </c>
      <c r="BA645">
        <v>2.27</v>
      </c>
      <c r="BB645">
        <v>0</v>
      </c>
      <c r="BC645" t="s">
        <v>186</v>
      </c>
      <c r="BD645">
        <v>1511</v>
      </c>
      <c r="BE645" t="s">
        <v>174</v>
      </c>
      <c r="BF645" t="s">
        <v>163</v>
      </c>
      <c r="BG645" t="s">
        <v>164</v>
      </c>
    </row>
    <row r="646" spans="1:59">
      <c r="A646">
        <v>1115</v>
      </c>
      <c r="B646">
        <v>1115</v>
      </c>
      <c r="C646">
        <v>10</v>
      </c>
      <c r="D646">
        <v>2</v>
      </c>
      <c r="E646" t="s">
        <v>152</v>
      </c>
      <c r="F646" t="s">
        <v>153</v>
      </c>
      <c r="G646" t="s">
        <v>154</v>
      </c>
      <c r="H646">
        <v>1526006319</v>
      </c>
      <c r="I646">
        <v>1000006591</v>
      </c>
      <c r="L646" t="s">
        <v>335</v>
      </c>
      <c r="M646">
        <v>5100001939</v>
      </c>
      <c r="N646" t="s">
        <v>155</v>
      </c>
      <c r="O646" t="s">
        <v>156</v>
      </c>
      <c r="P646">
        <v>4110059608</v>
      </c>
      <c r="Q646" t="s">
        <v>240</v>
      </c>
      <c r="R646">
        <v>5000</v>
      </c>
      <c r="S646" t="s">
        <v>166</v>
      </c>
      <c r="V646" t="s">
        <v>167</v>
      </c>
      <c r="W646">
        <v>1502020129</v>
      </c>
      <c r="X646" t="s">
        <v>241</v>
      </c>
      <c r="Y646" t="str">
        <f>VLOOKUP(W646,Sheet4!$A$5:$B$71,2,0)</f>
        <v>RE STYLING</v>
      </c>
      <c r="Z646">
        <v>87082900</v>
      </c>
      <c r="AA646">
        <v>15</v>
      </c>
      <c r="AB646" t="s">
        <v>159</v>
      </c>
      <c r="AC646" s="24">
        <v>6500.18</v>
      </c>
      <c r="AD646" t="s">
        <v>160</v>
      </c>
      <c r="AE646" s="24">
        <v>97502.7</v>
      </c>
      <c r="AF646">
        <v>0</v>
      </c>
      <c r="AG646" s="24">
        <v>97502.7</v>
      </c>
      <c r="AH646">
        <v>0</v>
      </c>
      <c r="AI646">
        <v>0</v>
      </c>
      <c r="AJ646">
        <v>0</v>
      </c>
      <c r="AK646">
        <v>0</v>
      </c>
      <c r="AL646" s="24">
        <v>97502.7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s="24">
        <v>97502.7</v>
      </c>
      <c r="AV646">
        <v>0</v>
      </c>
      <c r="AW646">
        <v>0</v>
      </c>
      <c r="AX646">
        <v>311000</v>
      </c>
      <c r="AY646" t="s">
        <v>161</v>
      </c>
      <c r="AZ646">
        <v>0</v>
      </c>
      <c r="BA646">
        <v>0</v>
      </c>
      <c r="BB646">
        <v>0</v>
      </c>
      <c r="BC646" t="s">
        <v>242</v>
      </c>
      <c r="BD646">
        <v>1509</v>
      </c>
      <c r="BE646" t="s">
        <v>169</v>
      </c>
      <c r="BF646" t="s">
        <v>163</v>
      </c>
      <c r="BG646" t="s">
        <v>164</v>
      </c>
    </row>
    <row r="647" spans="1:59">
      <c r="A647">
        <v>1115</v>
      </c>
      <c r="B647">
        <v>1115</v>
      </c>
      <c r="C647">
        <v>10</v>
      </c>
      <c r="D647">
        <v>2</v>
      </c>
      <c r="E647" t="s">
        <v>152</v>
      </c>
      <c r="F647" t="s">
        <v>153</v>
      </c>
      <c r="G647" t="s">
        <v>154</v>
      </c>
      <c r="H647">
        <v>1526006318</v>
      </c>
      <c r="I647">
        <v>1000006590</v>
      </c>
      <c r="L647" t="s">
        <v>335</v>
      </c>
      <c r="M647">
        <v>5100001939</v>
      </c>
      <c r="N647" t="s">
        <v>155</v>
      </c>
      <c r="O647" t="s">
        <v>156</v>
      </c>
      <c r="P647">
        <v>4110059608</v>
      </c>
      <c r="Q647" t="s">
        <v>240</v>
      </c>
      <c r="R647">
        <v>5000</v>
      </c>
      <c r="S647" t="s">
        <v>166</v>
      </c>
      <c r="V647" t="s">
        <v>167</v>
      </c>
      <c r="W647">
        <v>1502020129</v>
      </c>
      <c r="X647" t="s">
        <v>241</v>
      </c>
      <c r="Y647" t="str">
        <f>VLOOKUP(W647,Sheet4!$A$5:$B$71,2,0)</f>
        <v>RE STYLING</v>
      </c>
      <c r="Z647">
        <v>87082900</v>
      </c>
      <c r="AA647">
        <v>15</v>
      </c>
      <c r="AB647" t="s">
        <v>159</v>
      </c>
      <c r="AC647" s="24">
        <v>6500.18</v>
      </c>
      <c r="AD647" t="s">
        <v>160</v>
      </c>
      <c r="AE647" s="24">
        <v>97502.7</v>
      </c>
      <c r="AF647">
        <v>0</v>
      </c>
      <c r="AG647" s="24">
        <v>97502.7</v>
      </c>
      <c r="AH647">
        <v>0</v>
      </c>
      <c r="AI647">
        <v>0</v>
      </c>
      <c r="AJ647">
        <v>0</v>
      </c>
      <c r="AK647">
        <v>0</v>
      </c>
      <c r="AL647" s="24">
        <v>97502.7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 s="24">
        <v>97502.7</v>
      </c>
      <c r="AV647">
        <v>0</v>
      </c>
      <c r="AW647">
        <v>0</v>
      </c>
      <c r="AX647">
        <v>311000</v>
      </c>
      <c r="AY647" t="s">
        <v>161</v>
      </c>
      <c r="AZ647">
        <v>0</v>
      </c>
      <c r="BA647">
        <v>0</v>
      </c>
      <c r="BB647">
        <v>0</v>
      </c>
      <c r="BC647" t="s">
        <v>242</v>
      </c>
      <c r="BD647">
        <v>1509</v>
      </c>
      <c r="BE647" t="s">
        <v>169</v>
      </c>
      <c r="BF647" t="s">
        <v>163</v>
      </c>
      <c r="BG647" t="s">
        <v>164</v>
      </c>
    </row>
    <row r="648" spans="1:59">
      <c r="A648">
        <v>1115</v>
      </c>
      <c r="B648">
        <v>1115</v>
      </c>
      <c r="C648">
        <v>10</v>
      </c>
      <c r="D648">
        <v>2</v>
      </c>
      <c r="E648" t="s">
        <v>152</v>
      </c>
      <c r="F648" t="s">
        <v>153</v>
      </c>
      <c r="G648" t="s">
        <v>154</v>
      </c>
      <c r="H648">
        <v>1526006317</v>
      </c>
      <c r="I648">
        <v>1000006589</v>
      </c>
      <c r="L648" t="s">
        <v>335</v>
      </c>
      <c r="M648">
        <v>5100001939</v>
      </c>
      <c r="N648" t="s">
        <v>155</v>
      </c>
      <c r="O648" t="s">
        <v>156</v>
      </c>
      <c r="P648">
        <v>4110059608</v>
      </c>
      <c r="Q648" t="s">
        <v>240</v>
      </c>
      <c r="R648">
        <v>5000</v>
      </c>
      <c r="S648" t="s">
        <v>166</v>
      </c>
      <c r="V648" t="s">
        <v>167</v>
      </c>
      <c r="W648">
        <v>1502020129</v>
      </c>
      <c r="X648" t="s">
        <v>241</v>
      </c>
      <c r="Y648" t="str">
        <f>VLOOKUP(W648,Sheet4!$A$5:$B$71,2,0)</f>
        <v>RE STYLING</v>
      </c>
      <c r="Z648">
        <v>87082900</v>
      </c>
      <c r="AA648">
        <v>15</v>
      </c>
      <c r="AB648" t="s">
        <v>159</v>
      </c>
      <c r="AC648" s="24">
        <v>6500.18</v>
      </c>
      <c r="AD648" t="s">
        <v>160</v>
      </c>
      <c r="AE648" s="24">
        <v>97502.7</v>
      </c>
      <c r="AF648">
        <v>0</v>
      </c>
      <c r="AG648" s="24">
        <v>97502.7</v>
      </c>
      <c r="AH648">
        <v>0</v>
      </c>
      <c r="AI648">
        <v>0</v>
      </c>
      <c r="AJ648">
        <v>0</v>
      </c>
      <c r="AK648">
        <v>0</v>
      </c>
      <c r="AL648" s="24">
        <v>97502.7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 s="24">
        <v>97502.7</v>
      </c>
      <c r="AV648">
        <v>0</v>
      </c>
      <c r="AW648">
        <v>0</v>
      </c>
      <c r="AX648">
        <v>311000</v>
      </c>
      <c r="AY648" t="s">
        <v>161</v>
      </c>
      <c r="AZ648">
        <v>0</v>
      </c>
      <c r="BA648">
        <v>0</v>
      </c>
      <c r="BB648">
        <v>0</v>
      </c>
      <c r="BC648" t="s">
        <v>242</v>
      </c>
      <c r="BD648">
        <v>1509</v>
      </c>
      <c r="BE648" t="s">
        <v>169</v>
      </c>
      <c r="BF648" t="s">
        <v>163</v>
      </c>
      <c r="BG648" t="s">
        <v>164</v>
      </c>
    </row>
    <row r="649" spans="1:59">
      <c r="A649">
        <v>1115</v>
      </c>
      <c r="B649">
        <v>1115</v>
      </c>
      <c r="C649">
        <v>10</v>
      </c>
      <c r="D649">
        <v>2</v>
      </c>
      <c r="E649" t="s">
        <v>152</v>
      </c>
      <c r="F649" t="s">
        <v>153</v>
      </c>
      <c r="G649" t="s">
        <v>154</v>
      </c>
      <c r="H649">
        <v>1526006316</v>
      </c>
      <c r="I649">
        <v>1000006588</v>
      </c>
      <c r="L649" t="s">
        <v>335</v>
      </c>
      <c r="M649">
        <v>5100001939</v>
      </c>
      <c r="N649" t="s">
        <v>155</v>
      </c>
      <c r="O649" t="s">
        <v>156</v>
      </c>
      <c r="P649">
        <v>4110059608</v>
      </c>
      <c r="Q649" t="s">
        <v>240</v>
      </c>
      <c r="R649">
        <v>5000</v>
      </c>
      <c r="S649" t="s">
        <v>166</v>
      </c>
      <c r="V649" t="s">
        <v>167</v>
      </c>
      <c r="W649">
        <v>1502020129</v>
      </c>
      <c r="X649" t="s">
        <v>241</v>
      </c>
      <c r="Y649" t="str">
        <f>VLOOKUP(W649,Sheet4!$A$5:$B$71,2,0)</f>
        <v>RE STYLING</v>
      </c>
      <c r="Z649">
        <v>87082900</v>
      </c>
      <c r="AA649">
        <v>15</v>
      </c>
      <c r="AB649" t="s">
        <v>159</v>
      </c>
      <c r="AC649" s="24">
        <v>6500.18</v>
      </c>
      <c r="AD649" t="s">
        <v>160</v>
      </c>
      <c r="AE649" s="24">
        <v>97502.7</v>
      </c>
      <c r="AF649">
        <v>0</v>
      </c>
      <c r="AG649" s="24">
        <v>97502.7</v>
      </c>
      <c r="AH649">
        <v>0</v>
      </c>
      <c r="AI649">
        <v>0</v>
      </c>
      <c r="AJ649">
        <v>0</v>
      </c>
      <c r="AK649">
        <v>0</v>
      </c>
      <c r="AL649" s="24">
        <v>97502.7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s="24">
        <v>97502.7</v>
      </c>
      <c r="AV649">
        <v>0</v>
      </c>
      <c r="AW649">
        <v>0</v>
      </c>
      <c r="AX649">
        <v>311000</v>
      </c>
      <c r="AY649" t="s">
        <v>161</v>
      </c>
      <c r="AZ649">
        <v>0</v>
      </c>
      <c r="BA649">
        <v>0</v>
      </c>
      <c r="BB649">
        <v>0</v>
      </c>
      <c r="BC649" t="s">
        <v>242</v>
      </c>
      <c r="BD649">
        <v>1509</v>
      </c>
      <c r="BE649" t="s">
        <v>169</v>
      </c>
      <c r="BF649" t="s">
        <v>163</v>
      </c>
      <c r="BG649" t="s">
        <v>164</v>
      </c>
    </row>
    <row r="650" spans="1:59">
      <c r="A650">
        <v>1115</v>
      </c>
      <c r="B650">
        <v>1115</v>
      </c>
      <c r="C650">
        <v>10</v>
      </c>
      <c r="D650">
        <v>2</v>
      </c>
      <c r="E650" t="s">
        <v>152</v>
      </c>
      <c r="F650" t="s">
        <v>153</v>
      </c>
      <c r="G650" t="s">
        <v>154</v>
      </c>
      <c r="H650">
        <v>1526006315</v>
      </c>
      <c r="I650">
        <v>1000006587</v>
      </c>
      <c r="L650" t="s">
        <v>335</v>
      </c>
      <c r="M650">
        <v>5100001636</v>
      </c>
      <c r="N650" t="s">
        <v>155</v>
      </c>
      <c r="O650" t="s">
        <v>156</v>
      </c>
      <c r="P650">
        <v>4110026445</v>
      </c>
      <c r="Q650" t="s">
        <v>170</v>
      </c>
      <c r="R650">
        <v>5000</v>
      </c>
      <c r="S650" t="s">
        <v>166</v>
      </c>
      <c r="V650" t="s">
        <v>167</v>
      </c>
      <c r="W650">
        <v>1502020104</v>
      </c>
      <c r="X650" t="s">
        <v>26</v>
      </c>
      <c r="Y650" t="str">
        <f>VLOOKUP(W650,Sheet4!$A$5:$B$71,2,0)</f>
        <v>RE STYLING</v>
      </c>
      <c r="Z650">
        <v>87082900</v>
      </c>
      <c r="AA650">
        <v>15</v>
      </c>
      <c r="AB650" t="s">
        <v>159</v>
      </c>
      <c r="AC650" s="24">
        <v>6585.55</v>
      </c>
      <c r="AD650" t="s">
        <v>160</v>
      </c>
      <c r="AE650" s="24">
        <v>98783.25</v>
      </c>
      <c r="AF650">
        <v>0</v>
      </c>
      <c r="AG650" s="24">
        <v>98783.25</v>
      </c>
      <c r="AH650">
        <v>0</v>
      </c>
      <c r="AI650">
        <v>0</v>
      </c>
      <c r="AJ650">
        <v>0</v>
      </c>
      <c r="AK650">
        <v>0</v>
      </c>
      <c r="AL650" s="24">
        <v>98783.25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 s="24">
        <v>98783.25</v>
      </c>
      <c r="AV650">
        <v>0</v>
      </c>
      <c r="AW650">
        <v>0</v>
      </c>
      <c r="AX650">
        <v>311000</v>
      </c>
      <c r="AY650" t="s">
        <v>161</v>
      </c>
      <c r="AZ650">
        <v>49.75</v>
      </c>
      <c r="BA650">
        <v>49.75</v>
      </c>
      <c r="BB650">
        <v>0</v>
      </c>
      <c r="BC650" t="s">
        <v>171</v>
      </c>
      <c r="BD650">
        <v>1509</v>
      </c>
      <c r="BE650" t="s">
        <v>169</v>
      </c>
      <c r="BF650" t="s">
        <v>163</v>
      </c>
      <c r="BG650" t="s">
        <v>164</v>
      </c>
    </row>
    <row r="651" spans="1:59">
      <c r="A651">
        <v>1115</v>
      </c>
      <c r="B651">
        <v>1115</v>
      </c>
      <c r="C651">
        <v>10</v>
      </c>
      <c r="D651">
        <v>2</v>
      </c>
      <c r="E651" t="s">
        <v>152</v>
      </c>
      <c r="F651" t="s">
        <v>153</v>
      </c>
      <c r="G651" t="s">
        <v>154</v>
      </c>
      <c r="H651">
        <v>1526006314</v>
      </c>
      <c r="I651">
        <v>1000006586</v>
      </c>
      <c r="L651" t="s">
        <v>335</v>
      </c>
      <c r="M651">
        <v>5100001636</v>
      </c>
      <c r="N651" t="s">
        <v>155</v>
      </c>
      <c r="O651" t="s">
        <v>156</v>
      </c>
      <c r="P651">
        <v>4110026445</v>
      </c>
      <c r="Q651" t="s">
        <v>170</v>
      </c>
      <c r="R651">
        <v>5000</v>
      </c>
      <c r="S651" t="s">
        <v>166</v>
      </c>
      <c r="V651" t="s">
        <v>167</v>
      </c>
      <c r="W651">
        <v>1502020104</v>
      </c>
      <c r="X651" t="s">
        <v>26</v>
      </c>
      <c r="Y651" t="str">
        <f>VLOOKUP(W651,Sheet4!$A$5:$B$71,2,0)</f>
        <v>RE STYLING</v>
      </c>
      <c r="Z651">
        <v>87082900</v>
      </c>
      <c r="AA651">
        <v>15</v>
      </c>
      <c r="AB651" t="s">
        <v>159</v>
      </c>
      <c r="AC651" s="24">
        <v>6585.55</v>
      </c>
      <c r="AD651" t="s">
        <v>160</v>
      </c>
      <c r="AE651" s="24">
        <v>98783.25</v>
      </c>
      <c r="AF651">
        <v>0</v>
      </c>
      <c r="AG651" s="24">
        <v>98783.25</v>
      </c>
      <c r="AH651">
        <v>0</v>
      </c>
      <c r="AI651">
        <v>0</v>
      </c>
      <c r="AJ651">
        <v>0</v>
      </c>
      <c r="AK651">
        <v>0</v>
      </c>
      <c r="AL651" s="24">
        <v>98783.25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s="24">
        <v>98783.25</v>
      </c>
      <c r="AV651">
        <v>0</v>
      </c>
      <c r="AW651">
        <v>0</v>
      </c>
      <c r="AX651">
        <v>311000</v>
      </c>
      <c r="AY651" t="s">
        <v>161</v>
      </c>
      <c r="AZ651">
        <v>49.75</v>
      </c>
      <c r="BA651">
        <v>49.75</v>
      </c>
      <c r="BB651">
        <v>0</v>
      </c>
      <c r="BC651" t="s">
        <v>171</v>
      </c>
      <c r="BD651">
        <v>1509</v>
      </c>
      <c r="BE651" t="s">
        <v>169</v>
      </c>
      <c r="BF651" t="s">
        <v>163</v>
      </c>
      <c r="BG651" t="s">
        <v>164</v>
      </c>
    </row>
    <row r="652" spans="1:59">
      <c r="A652">
        <v>1115</v>
      </c>
      <c r="B652">
        <v>1115</v>
      </c>
      <c r="C652">
        <v>10</v>
      </c>
      <c r="D652">
        <v>2</v>
      </c>
      <c r="E652" t="s">
        <v>152</v>
      </c>
      <c r="F652" t="s">
        <v>153</v>
      </c>
      <c r="G652" t="s">
        <v>154</v>
      </c>
      <c r="H652">
        <v>1526006313</v>
      </c>
      <c r="I652">
        <v>1000006585</v>
      </c>
      <c r="L652" t="s">
        <v>335</v>
      </c>
      <c r="M652">
        <v>5100001928</v>
      </c>
      <c r="N652" t="s">
        <v>155</v>
      </c>
      <c r="O652" t="s">
        <v>156</v>
      </c>
      <c r="P652">
        <v>4110057393</v>
      </c>
      <c r="Q652" t="s">
        <v>192</v>
      </c>
      <c r="R652">
        <v>5000</v>
      </c>
      <c r="S652" t="s">
        <v>166</v>
      </c>
      <c r="V652" t="s">
        <v>167</v>
      </c>
      <c r="W652">
        <v>1502020122</v>
      </c>
      <c r="X652" t="s">
        <v>70</v>
      </c>
      <c r="Y652" t="str">
        <f>VLOOKUP(W652,Sheet4!$A$5:$B$71,2,0)</f>
        <v>MAX UG NEW EV</v>
      </c>
      <c r="Z652">
        <v>87082900</v>
      </c>
      <c r="AA652">
        <v>10</v>
      </c>
      <c r="AB652" t="s">
        <v>159</v>
      </c>
      <c r="AC652" s="24">
        <v>9566.51</v>
      </c>
      <c r="AD652" t="s">
        <v>160</v>
      </c>
      <c r="AE652" s="24">
        <v>95665.1</v>
      </c>
      <c r="AF652">
        <v>0</v>
      </c>
      <c r="AG652" s="24">
        <v>95665.1</v>
      </c>
      <c r="AH652">
        <v>0</v>
      </c>
      <c r="AI652">
        <v>0</v>
      </c>
      <c r="AJ652">
        <v>0</v>
      </c>
      <c r="AK652">
        <v>0</v>
      </c>
      <c r="AL652" s="24">
        <v>95665.1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s="24">
        <v>95665.1</v>
      </c>
      <c r="AV652">
        <v>0</v>
      </c>
      <c r="AW652">
        <v>0</v>
      </c>
      <c r="AX652">
        <v>311000</v>
      </c>
      <c r="AY652" t="s">
        <v>161</v>
      </c>
      <c r="AZ652">
        <v>0</v>
      </c>
      <c r="BA652">
        <v>61</v>
      </c>
      <c r="BB652">
        <v>-61</v>
      </c>
      <c r="BC652" t="s">
        <v>193</v>
      </c>
      <c r="BD652">
        <v>1509</v>
      </c>
      <c r="BE652" t="s">
        <v>169</v>
      </c>
      <c r="BF652" t="s">
        <v>163</v>
      </c>
      <c r="BG652" t="s">
        <v>164</v>
      </c>
    </row>
    <row r="653" spans="1:59">
      <c r="A653">
        <v>1115</v>
      </c>
      <c r="B653">
        <v>1115</v>
      </c>
      <c r="C653">
        <v>10</v>
      </c>
      <c r="D653">
        <v>2</v>
      </c>
      <c r="E653" t="s">
        <v>152</v>
      </c>
      <c r="F653" t="s">
        <v>153</v>
      </c>
      <c r="G653" t="s">
        <v>154</v>
      </c>
      <c r="H653">
        <v>1526006312</v>
      </c>
      <c r="I653">
        <v>1000006584</v>
      </c>
      <c r="L653" t="s">
        <v>335</v>
      </c>
      <c r="M653">
        <v>5100001928</v>
      </c>
      <c r="N653" t="s">
        <v>155</v>
      </c>
      <c r="O653" t="s">
        <v>156</v>
      </c>
      <c r="P653">
        <v>4110057393</v>
      </c>
      <c r="Q653" t="s">
        <v>192</v>
      </c>
      <c r="R653">
        <v>5000</v>
      </c>
      <c r="S653" t="s">
        <v>166</v>
      </c>
      <c r="V653" t="s">
        <v>167</v>
      </c>
      <c r="W653">
        <v>1502020122</v>
      </c>
      <c r="X653" t="s">
        <v>70</v>
      </c>
      <c r="Y653" t="str">
        <f>VLOOKUP(W653,Sheet4!$A$5:$B$71,2,0)</f>
        <v>MAX UG NEW EV</v>
      </c>
      <c r="Z653">
        <v>87082900</v>
      </c>
      <c r="AA653">
        <v>10</v>
      </c>
      <c r="AB653" t="s">
        <v>159</v>
      </c>
      <c r="AC653" s="24">
        <v>9566.51</v>
      </c>
      <c r="AD653" t="s">
        <v>160</v>
      </c>
      <c r="AE653" s="24">
        <v>95665.1</v>
      </c>
      <c r="AF653">
        <v>0</v>
      </c>
      <c r="AG653" s="24">
        <v>95665.1</v>
      </c>
      <c r="AH653">
        <v>0</v>
      </c>
      <c r="AI653">
        <v>0</v>
      </c>
      <c r="AJ653">
        <v>0</v>
      </c>
      <c r="AK653">
        <v>0</v>
      </c>
      <c r="AL653" s="24">
        <v>95665.1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s="24">
        <v>95665.1</v>
      </c>
      <c r="AV653">
        <v>0</v>
      </c>
      <c r="AW653">
        <v>0</v>
      </c>
      <c r="AX653">
        <v>311000</v>
      </c>
      <c r="AY653" t="s">
        <v>161</v>
      </c>
      <c r="AZ653">
        <v>0</v>
      </c>
      <c r="BA653">
        <v>61</v>
      </c>
      <c r="BB653">
        <v>-61</v>
      </c>
      <c r="BC653" t="s">
        <v>193</v>
      </c>
      <c r="BD653">
        <v>1509</v>
      </c>
      <c r="BE653" t="s">
        <v>169</v>
      </c>
      <c r="BF653" t="s">
        <v>163</v>
      </c>
      <c r="BG653" t="s">
        <v>164</v>
      </c>
    </row>
    <row r="654" spans="1:59">
      <c r="A654">
        <v>1115</v>
      </c>
      <c r="B654">
        <v>1115</v>
      </c>
      <c r="C654">
        <v>10</v>
      </c>
      <c r="D654">
        <v>2</v>
      </c>
      <c r="E654" t="s">
        <v>152</v>
      </c>
      <c r="F654" t="s">
        <v>153</v>
      </c>
      <c r="G654" t="s">
        <v>154</v>
      </c>
      <c r="H654">
        <v>1526006310</v>
      </c>
      <c r="I654">
        <v>1000006582</v>
      </c>
      <c r="L654" t="s">
        <v>335</v>
      </c>
      <c r="M654">
        <v>5100001568</v>
      </c>
      <c r="N654" t="s">
        <v>155</v>
      </c>
      <c r="O654" t="s">
        <v>156</v>
      </c>
      <c r="P654">
        <v>4110023868</v>
      </c>
      <c r="Q654" t="s">
        <v>182</v>
      </c>
      <c r="R654">
        <v>5000</v>
      </c>
      <c r="S654" t="s">
        <v>166</v>
      </c>
      <c r="V654" t="s">
        <v>167</v>
      </c>
      <c r="W654">
        <v>1502040236</v>
      </c>
      <c r="X654" t="s">
        <v>50</v>
      </c>
      <c r="Y654" t="str">
        <f>VLOOKUP(W654,Sheet4!$A$5:$B$71,2,0)</f>
        <v>SUPPORT TOP</v>
      </c>
      <c r="Z654">
        <v>87082900</v>
      </c>
      <c r="AA654">
        <v>720</v>
      </c>
      <c r="AB654" t="s">
        <v>159</v>
      </c>
      <c r="AC654">
        <v>134.19999999999999</v>
      </c>
      <c r="AD654" t="s">
        <v>160</v>
      </c>
      <c r="AE654" s="24">
        <v>96624</v>
      </c>
      <c r="AF654">
        <v>0</v>
      </c>
      <c r="AG654" s="24">
        <v>96624</v>
      </c>
      <c r="AH654">
        <v>0</v>
      </c>
      <c r="AI654">
        <v>0</v>
      </c>
      <c r="AJ654">
        <v>0</v>
      </c>
      <c r="AK654">
        <v>0</v>
      </c>
      <c r="AL654" s="24">
        <v>96624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 s="24">
        <v>96624</v>
      </c>
      <c r="AV654">
        <v>0</v>
      </c>
      <c r="AW654">
        <v>0</v>
      </c>
      <c r="AX654">
        <v>311000</v>
      </c>
      <c r="AY654" t="s">
        <v>161</v>
      </c>
      <c r="AZ654">
        <v>1.19</v>
      </c>
      <c r="BA654">
        <v>1.19</v>
      </c>
      <c r="BB654">
        <v>0</v>
      </c>
      <c r="BC654" t="s">
        <v>183</v>
      </c>
      <c r="BD654">
        <v>1511</v>
      </c>
      <c r="BE654" t="s">
        <v>174</v>
      </c>
      <c r="BF654" t="s">
        <v>163</v>
      </c>
      <c r="BG654" t="s">
        <v>164</v>
      </c>
    </row>
    <row r="655" spans="1:59">
      <c r="A655">
        <v>1115</v>
      </c>
      <c r="B655">
        <v>1115</v>
      </c>
      <c r="C655">
        <v>10</v>
      </c>
      <c r="D655">
        <v>2</v>
      </c>
      <c r="E655" t="s">
        <v>152</v>
      </c>
      <c r="F655" t="s">
        <v>153</v>
      </c>
      <c r="G655" t="s">
        <v>154</v>
      </c>
      <c r="H655">
        <v>1526006304</v>
      </c>
      <c r="I655">
        <v>1000006580</v>
      </c>
      <c r="L655" t="s">
        <v>335</v>
      </c>
      <c r="M655">
        <v>5100001636</v>
      </c>
      <c r="N655" t="s">
        <v>155</v>
      </c>
      <c r="O655" t="s">
        <v>156</v>
      </c>
      <c r="P655">
        <v>4110026445</v>
      </c>
      <c r="Q655" t="s">
        <v>170</v>
      </c>
      <c r="R655">
        <v>5000</v>
      </c>
      <c r="S655" t="s">
        <v>166</v>
      </c>
      <c r="V655" t="s">
        <v>167</v>
      </c>
      <c r="W655">
        <v>1502020104</v>
      </c>
      <c r="X655" t="s">
        <v>26</v>
      </c>
      <c r="Y655" t="str">
        <f>VLOOKUP(W655,Sheet4!$A$5:$B$71,2,0)</f>
        <v>RE STYLING</v>
      </c>
      <c r="Z655">
        <v>87082900</v>
      </c>
      <c r="AA655">
        <v>15</v>
      </c>
      <c r="AB655" t="s">
        <v>159</v>
      </c>
      <c r="AC655" s="24">
        <v>6585.55</v>
      </c>
      <c r="AD655" t="s">
        <v>160</v>
      </c>
      <c r="AE655" s="24">
        <v>98783.25</v>
      </c>
      <c r="AF655">
        <v>0</v>
      </c>
      <c r="AG655" s="24">
        <v>98783.25</v>
      </c>
      <c r="AH655">
        <v>0</v>
      </c>
      <c r="AI655">
        <v>0</v>
      </c>
      <c r="AJ655">
        <v>0</v>
      </c>
      <c r="AK655">
        <v>0</v>
      </c>
      <c r="AL655" s="24">
        <v>98783.25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 s="24">
        <v>98783.25</v>
      </c>
      <c r="AV655">
        <v>0</v>
      </c>
      <c r="AW655">
        <v>0</v>
      </c>
      <c r="AX655">
        <v>311000</v>
      </c>
      <c r="AY655" t="s">
        <v>161</v>
      </c>
      <c r="AZ655">
        <v>49.75</v>
      </c>
      <c r="BA655">
        <v>49.75</v>
      </c>
      <c r="BB655">
        <v>0</v>
      </c>
      <c r="BC655" t="s">
        <v>171</v>
      </c>
      <c r="BD655">
        <v>1509</v>
      </c>
      <c r="BE655" t="s">
        <v>169</v>
      </c>
      <c r="BF655" t="s">
        <v>163</v>
      </c>
      <c r="BG655" t="s">
        <v>164</v>
      </c>
    </row>
    <row r="656" spans="1:59">
      <c r="A656">
        <v>1115</v>
      </c>
      <c r="B656">
        <v>1115</v>
      </c>
      <c r="C656">
        <v>10</v>
      </c>
      <c r="D656">
        <v>2</v>
      </c>
      <c r="E656" t="s">
        <v>152</v>
      </c>
      <c r="F656" t="s">
        <v>153</v>
      </c>
      <c r="G656" t="s">
        <v>154</v>
      </c>
      <c r="H656">
        <v>1526006303</v>
      </c>
      <c r="I656">
        <v>1000006577</v>
      </c>
      <c r="L656" t="s">
        <v>335</v>
      </c>
      <c r="M656">
        <v>5100001928</v>
      </c>
      <c r="N656" t="s">
        <v>155</v>
      </c>
      <c r="O656" t="s">
        <v>156</v>
      </c>
      <c r="P656">
        <v>4110057393</v>
      </c>
      <c r="Q656" t="s">
        <v>192</v>
      </c>
      <c r="R656">
        <v>5000</v>
      </c>
      <c r="S656" t="s">
        <v>166</v>
      </c>
      <c r="V656" t="s">
        <v>167</v>
      </c>
      <c r="W656">
        <v>1502020122</v>
      </c>
      <c r="X656" t="s">
        <v>70</v>
      </c>
      <c r="Y656" t="str">
        <f>VLOOKUP(W656,Sheet4!$A$5:$B$71,2,0)</f>
        <v>MAX UG NEW EV</v>
      </c>
      <c r="Z656">
        <v>87082900</v>
      </c>
      <c r="AA656">
        <v>10</v>
      </c>
      <c r="AB656" t="s">
        <v>159</v>
      </c>
      <c r="AC656" s="24">
        <v>9566.51</v>
      </c>
      <c r="AD656" t="s">
        <v>160</v>
      </c>
      <c r="AE656" s="24">
        <v>95665.1</v>
      </c>
      <c r="AF656">
        <v>0</v>
      </c>
      <c r="AG656" s="24">
        <v>95665.1</v>
      </c>
      <c r="AH656">
        <v>0</v>
      </c>
      <c r="AI656">
        <v>0</v>
      </c>
      <c r="AJ656">
        <v>0</v>
      </c>
      <c r="AK656">
        <v>0</v>
      </c>
      <c r="AL656" s="24">
        <v>95665.1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s="24">
        <v>95665.1</v>
      </c>
      <c r="AV656">
        <v>0</v>
      </c>
      <c r="AW656">
        <v>0</v>
      </c>
      <c r="AX656">
        <v>311000</v>
      </c>
      <c r="AY656" t="s">
        <v>161</v>
      </c>
      <c r="AZ656">
        <v>0</v>
      </c>
      <c r="BA656">
        <v>61</v>
      </c>
      <c r="BB656">
        <v>-61</v>
      </c>
      <c r="BC656" t="s">
        <v>193</v>
      </c>
      <c r="BD656">
        <v>1509</v>
      </c>
      <c r="BE656" t="s">
        <v>169</v>
      </c>
      <c r="BF656" t="s">
        <v>163</v>
      </c>
      <c r="BG656" t="s">
        <v>164</v>
      </c>
    </row>
    <row r="657" spans="1:59">
      <c r="A657">
        <v>1115</v>
      </c>
      <c r="B657">
        <v>1115</v>
      </c>
      <c r="C657">
        <v>10</v>
      </c>
      <c r="D657">
        <v>2</v>
      </c>
      <c r="E657" t="s">
        <v>152</v>
      </c>
      <c r="F657" t="s">
        <v>153</v>
      </c>
      <c r="G657" t="s">
        <v>154</v>
      </c>
      <c r="H657">
        <v>1526006302</v>
      </c>
      <c r="I657">
        <v>1000006576</v>
      </c>
      <c r="L657" t="s">
        <v>335</v>
      </c>
      <c r="M657">
        <v>5100001928</v>
      </c>
      <c r="N657" t="s">
        <v>155</v>
      </c>
      <c r="O657" t="s">
        <v>156</v>
      </c>
      <c r="P657">
        <v>4110057393</v>
      </c>
      <c r="Q657" t="s">
        <v>192</v>
      </c>
      <c r="R657">
        <v>5000</v>
      </c>
      <c r="S657" t="s">
        <v>166</v>
      </c>
      <c r="V657" t="s">
        <v>167</v>
      </c>
      <c r="W657">
        <v>1502020122</v>
      </c>
      <c r="X657" t="s">
        <v>70</v>
      </c>
      <c r="Y657" t="str">
        <f>VLOOKUP(W657,Sheet4!$A$5:$B$71,2,0)</f>
        <v>MAX UG NEW EV</v>
      </c>
      <c r="Z657">
        <v>87082900</v>
      </c>
      <c r="AA657">
        <v>10</v>
      </c>
      <c r="AB657" t="s">
        <v>159</v>
      </c>
      <c r="AC657" s="24">
        <v>9566.51</v>
      </c>
      <c r="AD657" t="s">
        <v>160</v>
      </c>
      <c r="AE657" s="24">
        <v>95665.1</v>
      </c>
      <c r="AF657">
        <v>0</v>
      </c>
      <c r="AG657" s="24">
        <v>95665.1</v>
      </c>
      <c r="AH657">
        <v>0</v>
      </c>
      <c r="AI657">
        <v>0</v>
      </c>
      <c r="AJ657">
        <v>0</v>
      </c>
      <c r="AK657">
        <v>0</v>
      </c>
      <c r="AL657" s="24">
        <v>95665.1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s="24">
        <v>95665.1</v>
      </c>
      <c r="AV657">
        <v>0</v>
      </c>
      <c r="AW657">
        <v>0</v>
      </c>
      <c r="AX657">
        <v>311000</v>
      </c>
      <c r="AY657" t="s">
        <v>161</v>
      </c>
      <c r="AZ657">
        <v>0</v>
      </c>
      <c r="BA657">
        <v>61</v>
      </c>
      <c r="BB657">
        <v>-61</v>
      </c>
      <c r="BC657" t="s">
        <v>193</v>
      </c>
      <c r="BD657">
        <v>1509</v>
      </c>
      <c r="BE657" t="s">
        <v>169</v>
      </c>
      <c r="BF657" t="s">
        <v>163</v>
      </c>
      <c r="BG657" t="s">
        <v>164</v>
      </c>
    </row>
    <row r="658" spans="1:59">
      <c r="A658">
        <v>1115</v>
      </c>
      <c r="B658">
        <v>1115</v>
      </c>
      <c r="C658">
        <v>10</v>
      </c>
      <c r="D658">
        <v>6</v>
      </c>
      <c r="E658" t="s">
        <v>340</v>
      </c>
      <c r="F658" t="s">
        <v>153</v>
      </c>
      <c r="G658" t="s">
        <v>154</v>
      </c>
      <c r="H658">
        <v>1526006301</v>
      </c>
      <c r="I658">
        <v>1000006573</v>
      </c>
      <c r="L658" t="s">
        <v>335</v>
      </c>
      <c r="M658">
        <v>5900001676</v>
      </c>
      <c r="N658" t="s">
        <v>341</v>
      </c>
      <c r="O658" t="s">
        <v>342</v>
      </c>
      <c r="P658">
        <v>5500001142</v>
      </c>
      <c r="Q658" t="s">
        <v>343</v>
      </c>
      <c r="R658">
        <v>5356</v>
      </c>
      <c r="S658" t="s">
        <v>158</v>
      </c>
      <c r="W658">
        <v>1104012289</v>
      </c>
      <c r="X658" t="s">
        <v>344</v>
      </c>
      <c r="Y658" t="s">
        <v>339</v>
      </c>
      <c r="Z658">
        <v>87141090</v>
      </c>
      <c r="AA658">
        <v>200</v>
      </c>
      <c r="AB658" t="s">
        <v>159</v>
      </c>
      <c r="AC658">
        <v>35.22</v>
      </c>
      <c r="AD658" t="s">
        <v>160</v>
      </c>
      <c r="AE658" s="24">
        <v>7044</v>
      </c>
      <c r="AF658">
        <v>0</v>
      </c>
      <c r="AG658" s="24">
        <v>7044</v>
      </c>
      <c r="AH658">
        <v>0</v>
      </c>
      <c r="AI658">
        <v>0</v>
      </c>
      <c r="AJ658">
        <v>0</v>
      </c>
      <c r="AK658">
        <v>0</v>
      </c>
      <c r="AL658" s="24">
        <v>7044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s="24">
        <v>7044</v>
      </c>
      <c r="AV658">
        <v>0</v>
      </c>
      <c r="AW658">
        <v>0</v>
      </c>
      <c r="AX658">
        <v>311003</v>
      </c>
      <c r="AY658" t="s">
        <v>322</v>
      </c>
      <c r="AZ658">
        <v>0.436</v>
      </c>
      <c r="BA658">
        <v>0.25900000000000001</v>
      </c>
      <c r="BB658">
        <v>0.17699999999999999</v>
      </c>
      <c r="BC658">
        <v>2000000542</v>
      </c>
      <c r="BD658">
        <v>1123</v>
      </c>
      <c r="BE658" t="s">
        <v>323</v>
      </c>
      <c r="BF658" t="s">
        <v>163</v>
      </c>
      <c r="BG658" t="s">
        <v>164</v>
      </c>
    </row>
    <row r="659" spans="1:59">
      <c r="A659">
        <v>1115</v>
      </c>
      <c r="B659">
        <v>1115</v>
      </c>
      <c r="C659">
        <v>10</v>
      </c>
      <c r="D659">
        <v>2</v>
      </c>
      <c r="E659" t="s">
        <v>152</v>
      </c>
      <c r="F659" t="s">
        <v>153</v>
      </c>
      <c r="G659" t="s">
        <v>154</v>
      </c>
      <c r="H659">
        <v>1526006300</v>
      </c>
      <c r="I659">
        <v>1000006571</v>
      </c>
      <c r="L659" t="s">
        <v>335</v>
      </c>
      <c r="M659">
        <v>5100001928</v>
      </c>
      <c r="N659" t="s">
        <v>155</v>
      </c>
      <c r="O659" t="s">
        <v>156</v>
      </c>
      <c r="P659">
        <v>4110057393</v>
      </c>
      <c r="Q659" t="s">
        <v>192</v>
      </c>
      <c r="R659">
        <v>5000</v>
      </c>
      <c r="S659" t="s">
        <v>166</v>
      </c>
      <c r="V659" t="s">
        <v>167</v>
      </c>
      <c r="W659">
        <v>1502020122</v>
      </c>
      <c r="X659" t="s">
        <v>70</v>
      </c>
      <c r="Y659" t="str">
        <f>VLOOKUP(W659,Sheet4!$A$5:$B$71,2,0)</f>
        <v>MAX UG NEW EV</v>
      </c>
      <c r="Z659">
        <v>87082900</v>
      </c>
      <c r="AA659">
        <v>10</v>
      </c>
      <c r="AB659" t="s">
        <v>159</v>
      </c>
      <c r="AC659" s="24">
        <v>9566.51</v>
      </c>
      <c r="AD659" t="s">
        <v>160</v>
      </c>
      <c r="AE659" s="24">
        <v>95665.1</v>
      </c>
      <c r="AF659">
        <v>0</v>
      </c>
      <c r="AG659" s="24">
        <v>95665.1</v>
      </c>
      <c r="AH659">
        <v>0</v>
      </c>
      <c r="AI659">
        <v>0</v>
      </c>
      <c r="AJ659">
        <v>0</v>
      </c>
      <c r="AK659">
        <v>0</v>
      </c>
      <c r="AL659" s="24">
        <v>95665.1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s="24">
        <v>95665.1</v>
      </c>
      <c r="AV659">
        <v>0</v>
      </c>
      <c r="AW659">
        <v>0</v>
      </c>
      <c r="AX659">
        <v>311000</v>
      </c>
      <c r="AY659" t="s">
        <v>161</v>
      </c>
      <c r="AZ659">
        <v>0</v>
      </c>
      <c r="BA659">
        <v>61</v>
      </c>
      <c r="BB659">
        <v>-61</v>
      </c>
      <c r="BC659" t="s">
        <v>193</v>
      </c>
      <c r="BD659">
        <v>1509</v>
      </c>
      <c r="BE659" t="s">
        <v>169</v>
      </c>
      <c r="BF659" t="s">
        <v>163</v>
      </c>
      <c r="BG659" t="s">
        <v>164</v>
      </c>
    </row>
    <row r="660" spans="1:59">
      <c r="A660">
        <v>1115</v>
      </c>
      <c r="B660">
        <v>1115</v>
      </c>
      <c r="C660">
        <v>10</v>
      </c>
      <c r="D660">
        <v>2</v>
      </c>
      <c r="E660" t="s">
        <v>152</v>
      </c>
      <c r="F660" t="s">
        <v>153</v>
      </c>
      <c r="G660" t="s">
        <v>154</v>
      </c>
      <c r="H660">
        <v>1526006299</v>
      </c>
      <c r="I660">
        <v>1000006570</v>
      </c>
      <c r="L660" t="s">
        <v>335</v>
      </c>
      <c r="M660">
        <v>5100001928</v>
      </c>
      <c r="N660" t="s">
        <v>155</v>
      </c>
      <c r="O660" t="s">
        <v>156</v>
      </c>
      <c r="P660">
        <v>4110057393</v>
      </c>
      <c r="Q660" t="s">
        <v>192</v>
      </c>
      <c r="R660">
        <v>5000</v>
      </c>
      <c r="S660" t="s">
        <v>166</v>
      </c>
      <c r="V660" t="s">
        <v>167</v>
      </c>
      <c r="W660">
        <v>1502020122</v>
      </c>
      <c r="X660" t="s">
        <v>70</v>
      </c>
      <c r="Y660" t="str">
        <f>VLOOKUP(W660,Sheet4!$A$5:$B$71,2,0)</f>
        <v>MAX UG NEW EV</v>
      </c>
      <c r="Z660">
        <v>87082900</v>
      </c>
      <c r="AA660">
        <v>10</v>
      </c>
      <c r="AB660" t="s">
        <v>159</v>
      </c>
      <c r="AC660" s="24">
        <v>9566.51</v>
      </c>
      <c r="AD660" t="s">
        <v>160</v>
      </c>
      <c r="AE660" s="24">
        <v>95665.1</v>
      </c>
      <c r="AF660">
        <v>0</v>
      </c>
      <c r="AG660" s="24">
        <v>95665.1</v>
      </c>
      <c r="AH660">
        <v>0</v>
      </c>
      <c r="AI660">
        <v>0</v>
      </c>
      <c r="AJ660">
        <v>0</v>
      </c>
      <c r="AK660">
        <v>0</v>
      </c>
      <c r="AL660" s="24">
        <v>95665.1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s="24">
        <v>95665.1</v>
      </c>
      <c r="AV660">
        <v>0</v>
      </c>
      <c r="AW660">
        <v>0</v>
      </c>
      <c r="AX660">
        <v>311000</v>
      </c>
      <c r="AY660" t="s">
        <v>161</v>
      </c>
      <c r="AZ660">
        <v>0</v>
      </c>
      <c r="BA660">
        <v>61</v>
      </c>
      <c r="BB660">
        <v>-61</v>
      </c>
      <c r="BC660" t="s">
        <v>193</v>
      </c>
      <c r="BD660">
        <v>1509</v>
      </c>
      <c r="BE660" t="s">
        <v>169</v>
      </c>
      <c r="BF660" t="s">
        <v>163</v>
      </c>
      <c r="BG660" t="s">
        <v>164</v>
      </c>
    </row>
    <row r="661" spans="1:59">
      <c r="A661">
        <v>1115</v>
      </c>
      <c r="B661">
        <v>1115</v>
      </c>
      <c r="C661">
        <v>10</v>
      </c>
      <c r="D661">
        <v>2</v>
      </c>
      <c r="E661" t="s">
        <v>152</v>
      </c>
      <c r="F661" t="s">
        <v>153</v>
      </c>
      <c r="G661" t="s">
        <v>154</v>
      </c>
      <c r="H661">
        <v>1526006298</v>
      </c>
      <c r="I661">
        <v>1000006569</v>
      </c>
      <c r="L661" t="s">
        <v>335</v>
      </c>
      <c r="M661">
        <v>5100001636</v>
      </c>
      <c r="N661" t="s">
        <v>155</v>
      </c>
      <c r="O661" t="s">
        <v>156</v>
      </c>
      <c r="P661">
        <v>4110026445</v>
      </c>
      <c r="Q661" t="s">
        <v>170</v>
      </c>
      <c r="R661">
        <v>5000</v>
      </c>
      <c r="S661" t="s">
        <v>166</v>
      </c>
      <c r="V661" t="s">
        <v>167</v>
      </c>
      <c r="W661">
        <v>1502020104</v>
      </c>
      <c r="X661" t="s">
        <v>26</v>
      </c>
      <c r="Y661" t="str">
        <f>VLOOKUP(W661,Sheet4!$A$5:$B$71,2,0)</f>
        <v>RE STYLING</v>
      </c>
      <c r="Z661">
        <v>87082900</v>
      </c>
      <c r="AA661">
        <v>6</v>
      </c>
      <c r="AB661" t="s">
        <v>159</v>
      </c>
      <c r="AC661" s="24">
        <v>6585.55</v>
      </c>
      <c r="AD661" t="s">
        <v>160</v>
      </c>
      <c r="AE661" s="24">
        <v>39513.300000000003</v>
      </c>
      <c r="AF661">
        <v>0</v>
      </c>
      <c r="AG661" s="24">
        <v>39513.300000000003</v>
      </c>
      <c r="AH661">
        <v>0</v>
      </c>
      <c r="AI661">
        <v>0</v>
      </c>
      <c r="AJ661">
        <v>0</v>
      </c>
      <c r="AK661">
        <v>0</v>
      </c>
      <c r="AL661" s="24">
        <v>39513.300000000003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s="24">
        <v>39513.300000000003</v>
      </c>
      <c r="AV661">
        <v>0</v>
      </c>
      <c r="AW661">
        <v>0</v>
      </c>
      <c r="AX661">
        <v>311000</v>
      </c>
      <c r="AY661" t="s">
        <v>161</v>
      </c>
      <c r="AZ661">
        <v>49.75</v>
      </c>
      <c r="BA661">
        <v>49.75</v>
      </c>
      <c r="BB661">
        <v>0</v>
      </c>
      <c r="BC661" t="s">
        <v>171</v>
      </c>
      <c r="BD661">
        <v>1509</v>
      </c>
      <c r="BE661" t="s">
        <v>169</v>
      </c>
      <c r="BF661" t="s">
        <v>163</v>
      </c>
      <c r="BG661" t="s">
        <v>164</v>
      </c>
    </row>
    <row r="662" spans="1:59">
      <c r="A662">
        <v>1115</v>
      </c>
      <c r="B662">
        <v>1115</v>
      </c>
      <c r="C662">
        <v>10</v>
      </c>
      <c r="D662">
        <v>2</v>
      </c>
      <c r="E662" t="s">
        <v>152</v>
      </c>
      <c r="F662" t="s">
        <v>153</v>
      </c>
      <c r="G662" t="s">
        <v>154</v>
      </c>
      <c r="H662">
        <v>1526006297</v>
      </c>
      <c r="I662">
        <v>1000006568</v>
      </c>
      <c r="L662" t="s">
        <v>335</v>
      </c>
      <c r="M662">
        <v>5100001939</v>
      </c>
      <c r="N662" t="s">
        <v>155</v>
      </c>
      <c r="O662" t="s">
        <v>156</v>
      </c>
      <c r="P662">
        <v>4110059608</v>
      </c>
      <c r="Q662" t="s">
        <v>240</v>
      </c>
      <c r="R662">
        <v>5000</v>
      </c>
      <c r="S662" t="s">
        <v>166</v>
      </c>
      <c r="V662" t="s">
        <v>167</v>
      </c>
      <c r="W662">
        <v>1502020129</v>
      </c>
      <c r="X662" t="s">
        <v>241</v>
      </c>
      <c r="Y662" t="str">
        <f>VLOOKUP(W662,Sheet4!$A$5:$B$71,2,0)</f>
        <v>RE STYLING</v>
      </c>
      <c r="Z662">
        <v>87082900</v>
      </c>
      <c r="AA662">
        <v>9</v>
      </c>
      <c r="AB662" t="s">
        <v>159</v>
      </c>
      <c r="AC662" s="24">
        <v>6500.18</v>
      </c>
      <c r="AD662" t="s">
        <v>160</v>
      </c>
      <c r="AE662" s="24">
        <v>58501.62</v>
      </c>
      <c r="AF662">
        <v>0</v>
      </c>
      <c r="AG662" s="24">
        <v>58501.62</v>
      </c>
      <c r="AH662">
        <v>0</v>
      </c>
      <c r="AI662">
        <v>0</v>
      </c>
      <c r="AJ662">
        <v>0</v>
      </c>
      <c r="AK662">
        <v>0</v>
      </c>
      <c r="AL662" s="24">
        <v>58501.62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s="24">
        <v>58501.62</v>
      </c>
      <c r="AV662">
        <v>0</v>
      </c>
      <c r="AW662">
        <v>0</v>
      </c>
      <c r="AX662">
        <v>311000</v>
      </c>
      <c r="AY662" t="s">
        <v>161</v>
      </c>
      <c r="AZ662">
        <v>0</v>
      </c>
      <c r="BA662">
        <v>0</v>
      </c>
      <c r="BB662">
        <v>0</v>
      </c>
      <c r="BC662" t="s">
        <v>242</v>
      </c>
      <c r="BD662">
        <v>1509</v>
      </c>
      <c r="BE662" t="s">
        <v>169</v>
      </c>
      <c r="BF662" t="s">
        <v>163</v>
      </c>
      <c r="BG662" t="s">
        <v>164</v>
      </c>
    </row>
    <row r="663" spans="1:59">
      <c r="A663">
        <v>1115</v>
      </c>
      <c r="B663">
        <v>1115</v>
      </c>
      <c r="C663">
        <v>10</v>
      </c>
      <c r="D663">
        <v>2</v>
      </c>
      <c r="E663" t="s">
        <v>152</v>
      </c>
      <c r="F663" t="s">
        <v>153</v>
      </c>
      <c r="G663" t="s">
        <v>154</v>
      </c>
      <c r="H663">
        <v>1526006295</v>
      </c>
      <c r="I663">
        <v>1000006566</v>
      </c>
      <c r="L663" t="s">
        <v>335</v>
      </c>
      <c r="M663">
        <v>5100001636</v>
      </c>
      <c r="N663" t="s">
        <v>155</v>
      </c>
      <c r="O663" t="s">
        <v>156</v>
      </c>
      <c r="P663">
        <v>4110026445</v>
      </c>
      <c r="Q663" t="s">
        <v>170</v>
      </c>
      <c r="R663">
        <v>5000</v>
      </c>
      <c r="S663" t="s">
        <v>166</v>
      </c>
      <c r="V663" t="s">
        <v>167</v>
      </c>
      <c r="W663">
        <v>1502020104</v>
      </c>
      <c r="X663" t="s">
        <v>26</v>
      </c>
      <c r="Y663" t="str">
        <f>VLOOKUP(W663,Sheet4!$A$5:$B$71,2,0)</f>
        <v>RE STYLING</v>
      </c>
      <c r="Z663">
        <v>87082900</v>
      </c>
      <c r="AA663">
        <v>15</v>
      </c>
      <c r="AB663" t="s">
        <v>159</v>
      </c>
      <c r="AC663" s="24">
        <v>6585.55</v>
      </c>
      <c r="AD663" t="s">
        <v>160</v>
      </c>
      <c r="AE663" s="24">
        <v>98783.25</v>
      </c>
      <c r="AF663">
        <v>0</v>
      </c>
      <c r="AG663" s="24">
        <v>98783.25</v>
      </c>
      <c r="AH663">
        <v>0</v>
      </c>
      <c r="AI663">
        <v>0</v>
      </c>
      <c r="AJ663">
        <v>0</v>
      </c>
      <c r="AK663">
        <v>0</v>
      </c>
      <c r="AL663" s="24">
        <v>98783.25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 s="24">
        <v>98783.25</v>
      </c>
      <c r="AV663">
        <v>0</v>
      </c>
      <c r="AW663">
        <v>0</v>
      </c>
      <c r="AX663">
        <v>311000</v>
      </c>
      <c r="AY663" t="s">
        <v>161</v>
      </c>
      <c r="AZ663">
        <v>49.75</v>
      </c>
      <c r="BA663">
        <v>49.75</v>
      </c>
      <c r="BB663">
        <v>0</v>
      </c>
      <c r="BC663" t="s">
        <v>171</v>
      </c>
      <c r="BD663">
        <v>1509</v>
      </c>
      <c r="BE663" t="s">
        <v>169</v>
      </c>
      <c r="BF663" t="s">
        <v>163</v>
      </c>
      <c r="BG663" t="s">
        <v>164</v>
      </c>
    </row>
    <row r="664" spans="1:59">
      <c r="A664">
        <v>1115</v>
      </c>
      <c r="B664">
        <v>1115</v>
      </c>
      <c r="C664">
        <v>10</v>
      </c>
      <c r="D664">
        <v>2</v>
      </c>
      <c r="E664" t="s">
        <v>152</v>
      </c>
      <c r="F664" t="s">
        <v>153</v>
      </c>
      <c r="G664" t="s">
        <v>154</v>
      </c>
      <c r="H664">
        <v>1526006294</v>
      </c>
      <c r="I664">
        <v>1000006565</v>
      </c>
      <c r="L664" t="s">
        <v>335</v>
      </c>
      <c r="M664">
        <v>5100001636</v>
      </c>
      <c r="N664" t="s">
        <v>155</v>
      </c>
      <c r="O664" t="s">
        <v>156</v>
      </c>
      <c r="P664">
        <v>4110026445</v>
      </c>
      <c r="Q664" t="s">
        <v>170</v>
      </c>
      <c r="R664">
        <v>5000</v>
      </c>
      <c r="S664" t="s">
        <v>166</v>
      </c>
      <c r="V664" t="s">
        <v>167</v>
      </c>
      <c r="W664">
        <v>1502020104</v>
      </c>
      <c r="X664" t="s">
        <v>26</v>
      </c>
      <c r="Y664" t="str">
        <f>VLOOKUP(W664,Sheet4!$A$5:$B$71,2,0)</f>
        <v>RE STYLING</v>
      </c>
      <c r="Z664">
        <v>87082900</v>
      </c>
      <c r="AA664">
        <v>15</v>
      </c>
      <c r="AB664" t="s">
        <v>159</v>
      </c>
      <c r="AC664" s="24">
        <v>6585.55</v>
      </c>
      <c r="AD664" t="s">
        <v>160</v>
      </c>
      <c r="AE664" s="24">
        <v>98783.25</v>
      </c>
      <c r="AF664">
        <v>0</v>
      </c>
      <c r="AG664" s="24">
        <v>98783.25</v>
      </c>
      <c r="AH664">
        <v>0</v>
      </c>
      <c r="AI664">
        <v>0</v>
      </c>
      <c r="AJ664">
        <v>0</v>
      </c>
      <c r="AK664">
        <v>0</v>
      </c>
      <c r="AL664" s="24">
        <v>98783.25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s="24">
        <v>98783.25</v>
      </c>
      <c r="AV664">
        <v>0</v>
      </c>
      <c r="AW664">
        <v>0</v>
      </c>
      <c r="AX664">
        <v>311000</v>
      </c>
      <c r="AY664" t="s">
        <v>161</v>
      </c>
      <c r="AZ664">
        <v>49.75</v>
      </c>
      <c r="BA664">
        <v>49.75</v>
      </c>
      <c r="BB664">
        <v>0</v>
      </c>
      <c r="BC664" t="s">
        <v>171</v>
      </c>
      <c r="BD664">
        <v>1509</v>
      </c>
      <c r="BE664" t="s">
        <v>169</v>
      </c>
      <c r="BF664" t="s">
        <v>163</v>
      </c>
      <c r="BG664" t="s">
        <v>164</v>
      </c>
    </row>
    <row r="665" spans="1:59">
      <c r="A665">
        <v>1115</v>
      </c>
      <c r="B665">
        <v>1115</v>
      </c>
      <c r="C665">
        <v>10</v>
      </c>
      <c r="D665">
        <v>2</v>
      </c>
      <c r="E665" t="s">
        <v>152</v>
      </c>
      <c r="F665" t="s">
        <v>153</v>
      </c>
      <c r="G665" t="s">
        <v>154</v>
      </c>
      <c r="H665">
        <v>1526006293</v>
      </c>
      <c r="I665">
        <v>1000006564</v>
      </c>
      <c r="L665" t="s">
        <v>335</v>
      </c>
      <c r="M665">
        <v>5100001636</v>
      </c>
      <c r="N665" t="s">
        <v>155</v>
      </c>
      <c r="O665" t="s">
        <v>156</v>
      </c>
      <c r="P665">
        <v>4110026445</v>
      </c>
      <c r="Q665" t="s">
        <v>170</v>
      </c>
      <c r="R665">
        <v>5000</v>
      </c>
      <c r="S665" t="s">
        <v>166</v>
      </c>
      <c r="V665" t="s">
        <v>167</v>
      </c>
      <c r="W665">
        <v>1502020104</v>
      </c>
      <c r="X665" t="s">
        <v>26</v>
      </c>
      <c r="Y665" t="str">
        <f>VLOOKUP(W665,Sheet4!$A$5:$B$71,2,0)</f>
        <v>RE STYLING</v>
      </c>
      <c r="Z665">
        <v>87082900</v>
      </c>
      <c r="AA665">
        <v>15</v>
      </c>
      <c r="AB665" t="s">
        <v>159</v>
      </c>
      <c r="AC665" s="24">
        <v>6585.55</v>
      </c>
      <c r="AD665" t="s">
        <v>160</v>
      </c>
      <c r="AE665" s="24">
        <v>98783.25</v>
      </c>
      <c r="AF665">
        <v>0</v>
      </c>
      <c r="AG665" s="24">
        <v>98783.25</v>
      </c>
      <c r="AH665">
        <v>0</v>
      </c>
      <c r="AI665">
        <v>0</v>
      </c>
      <c r="AJ665">
        <v>0</v>
      </c>
      <c r="AK665">
        <v>0</v>
      </c>
      <c r="AL665" s="24">
        <v>98783.25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s="24">
        <v>98783.25</v>
      </c>
      <c r="AV665">
        <v>0</v>
      </c>
      <c r="AW665">
        <v>0</v>
      </c>
      <c r="AX665">
        <v>311000</v>
      </c>
      <c r="AY665" t="s">
        <v>161</v>
      </c>
      <c r="AZ665">
        <v>49.75</v>
      </c>
      <c r="BA665">
        <v>49.75</v>
      </c>
      <c r="BB665">
        <v>0</v>
      </c>
      <c r="BC665" t="s">
        <v>171</v>
      </c>
      <c r="BD665">
        <v>1509</v>
      </c>
      <c r="BE665" t="s">
        <v>169</v>
      </c>
      <c r="BF665" t="s">
        <v>163</v>
      </c>
      <c r="BG665" t="s">
        <v>164</v>
      </c>
    </row>
    <row r="666" spans="1:59">
      <c r="A666">
        <v>1115</v>
      </c>
      <c r="B666">
        <v>1115</v>
      </c>
      <c r="C666">
        <v>10</v>
      </c>
      <c r="D666">
        <v>2</v>
      </c>
      <c r="E666" t="s">
        <v>152</v>
      </c>
      <c r="F666" t="s">
        <v>153</v>
      </c>
      <c r="G666" t="s">
        <v>154</v>
      </c>
      <c r="H666">
        <v>1526006292</v>
      </c>
      <c r="I666">
        <v>1000006563</v>
      </c>
      <c r="L666" t="s">
        <v>335</v>
      </c>
      <c r="M666">
        <v>5100001919</v>
      </c>
      <c r="N666" t="s">
        <v>155</v>
      </c>
      <c r="O666" t="s">
        <v>156</v>
      </c>
      <c r="P666">
        <v>5500000930</v>
      </c>
      <c r="Q666" t="s">
        <v>157</v>
      </c>
      <c r="R666">
        <v>5356</v>
      </c>
      <c r="S666" t="s">
        <v>158</v>
      </c>
      <c r="W666">
        <v>1502010011</v>
      </c>
      <c r="X666" t="s">
        <v>35</v>
      </c>
      <c r="Y666" t="str">
        <f>VLOOKUP(W666,Sheet4!$A$5:$B$71,2,0)</f>
        <v>REAR MUDGAURD</v>
      </c>
      <c r="Z666">
        <v>87082900</v>
      </c>
      <c r="AA666">
        <v>432</v>
      </c>
      <c r="AB666" t="s">
        <v>159</v>
      </c>
      <c r="AC666">
        <v>89.25</v>
      </c>
      <c r="AD666" t="s">
        <v>160</v>
      </c>
      <c r="AE666" s="24">
        <v>38556</v>
      </c>
      <c r="AF666">
        <v>0</v>
      </c>
      <c r="AG666" s="24">
        <v>38556</v>
      </c>
      <c r="AH666">
        <v>0</v>
      </c>
      <c r="AI666">
        <v>0</v>
      </c>
      <c r="AJ666">
        <v>0</v>
      </c>
      <c r="AK666">
        <v>0</v>
      </c>
      <c r="AL666" s="24">
        <v>38556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s="24">
        <v>38556</v>
      </c>
      <c r="AV666">
        <v>0</v>
      </c>
      <c r="AW666">
        <v>0</v>
      </c>
      <c r="AX666">
        <v>311000</v>
      </c>
      <c r="AY666" t="s">
        <v>161</v>
      </c>
      <c r="AZ666">
        <v>1.32</v>
      </c>
      <c r="BA666">
        <v>0.72399999999999998</v>
      </c>
      <c r="BB666">
        <v>0.59599999999999997</v>
      </c>
      <c r="BC666">
        <v>2000001017</v>
      </c>
      <c r="BD666">
        <v>1508</v>
      </c>
      <c r="BE666" t="s">
        <v>162</v>
      </c>
      <c r="BF666" t="s">
        <v>163</v>
      </c>
      <c r="BG666" t="s">
        <v>164</v>
      </c>
    </row>
    <row r="667" spans="1:59">
      <c r="A667">
        <v>1115</v>
      </c>
      <c r="B667">
        <v>1115</v>
      </c>
      <c r="C667">
        <v>10</v>
      </c>
      <c r="D667">
        <v>2</v>
      </c>
      <c r="E667" t="s">
        <v>152</v>
      </c>
      <c r="F667" t="s">
        <v>153</v>
      </c>
      <c r="G667" t="s">
        <v>154</v>
      </c>
      <c r="H667">
        <v>1526006291</v>
      </c>
      <c r="I667">
        <v>1000006562</v>
      </c>
      <c r="L667" t="s">
        <v>335</v>
      </c>
      <c r="M667">
        <v>5100001919</v>
      </c>
      <c r="N667" t="s">
        <v>155</v>
      </c>
      <c r="O667" t="s">
        <v>156</v>
      </c>
      <c r="P667">
        <v>5500000930</v>
      </c>
      <c r="Q667" t="s">
        <v>157</v>
      </c>
      <c r="R667">
        <v>5356</v>
      </c>
      <c r="S667" t="s">
        <v>158</v>
      </c>
      <c r="W667">
        <v>1502010011</v>
      </c>
      <c r="X667" t="s">
        <v>35</v>
      </c>
      <c r="Y667" t="str">
        <f>VLOOKUP(W667,Sheet4!$A$5:$B$71,2,0)</f>
        <v>REAR MUDGAURD</v>
      </c>
      <c r="Z667">
        <v>87082900</v>
      </c>
      <c r="AA667">
        <v>432</v>
      </c>
      <c r="AB667" t="s">
        <v>159</v>
      </c>
      <c r="AC667">
        <v>89.25</v>
      </c>
      <c r="AD667" t="s">
        <v>160</v>
      </c>
      <c r="AE667" s="24">
        <v>38556</v>
      </c>
      <c r="AF667">
        <v>0</v>
      </c>
      <c r="AG667" s="24">
        <v>38556</v>
      </c>
      <c r="AH667">
        <v>0</v>
      </c>
      <c r="AI667">
        <v>0</v>
      </c>
      <c r="AJ667">
        <v>0</v>
      </c>
      <c r="AK667">
        <v>0</v>
      </c>
      <c r="AL667" s="24">
        <v>38556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s="24">
        <v>38556</v>
      </c>
      <c r="AV667">
        <v>0</v>
      </c>
      <c r="AW667">
        <v>0</v>
      </c>
      <c r="AX667">
        <v>311000</v>
      </c>
      <c r="AY667" t="s">
        <v>161</v>
      </c>
      <c r="AZ667">
        <v>1.32</v>
      </c>
      <c r="BA667">
        <v>0.72399999999999998</v>
      </c>
      <c r="BB667">
        <v>0.59599999999999997</v>
      </c>
      <c r="BC667">
        <v>2000001017</v>
      </c>
      <c r="BD667">
        <v>1508</v>
      </c>
      <c r="BE667" t="s">
        <v>162</v>
      </c>
      <c r="BF667" t="s">
        <v>163</v>
      </c>
      <c r="BG667" t="s">
        <v>164</v>
      </c>
    </row>
    <row r="668" spans="1:59">
      <c r="A668">
        <v>1115</v>
      </c>
      <c r="B668">
        <v>1115</v>
      </c>
      <c r="C668">
        <v>10</v>
      </c>
      <c r="D668">
        <v>2</v>
      </c>
      <c r="E668" t="s">
        <v>152</v>
      </c>
      <c r="F668" t="s">
        <v>153</v>
      </c>
      <c r="G668" t="s">
        <v>154</v>
      </c>
      <c r="H668">
        <v>1526006290</v>
      </c>
      <c r="I668">
        <v>1000006560</v>
      </c>
      <c r="L668" t="s">
        <v>335</v>
      </c>
      <c r="M668">
        <v>5100001919</v>
      </c>
      <c r="N668" t="s">
        <v>155</v>
      </c>
      <c r="O668" t="s">
        <v>156</v>
      </c>
      <c r="P668">
        <v>5500000930</v>
      </c>
      <c r="Q668" t="s">
        <v>157</v>
      </c>
      <c r="R668">
        <v>5356</v>
      </c>
      <c r="S668" t="s">
        <v>158</v>
      </c>
      <c r="W668">
        <v>1502010011</v>
      </c>
      <c r="X668" t="s">
        <v>35</v>
      </c>
      <c r="Y668" t="str">
        <f>VLOOKUP(W668,Sheet4!$A$5:$B$71,2,0)</f>
        <v>REAR MUDGAURD</v>
      </c>
      <c r="Z668">
        <v>87082900</v>
      </c>
      <c r="AA668">
        <v>432</v>
      </c>
      <c r="AB668" t="s">
        <v>159</v>
      </c>
      <c r="AC668">
        <v>89.25</v>
      </c>
      <c r="AD668" t="s">
        <v>160</v>
      </c>
      <c r="AE668" s="24">
        <v>38556</v>
      </c>
      <c r="AF668">
        <v>0</v>
      </c>
      <c r="AG668" s="24">
        <v>38556</v>
      </c>
      <c r="AH668">
        <v>0</v>
      </c>
      <c r="AI668">
        <v>0</v>
      </c>
      <c r="AJ668">
        <v>0</v>
      </c>
      <c r="AK668">
        <v>0</v>
      </c>
      <c r="AL668" s="24">
        <v>38556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 s="24">
        <v>38556</v>
      </c>
      <c r="AV668">
        <v>0</v>
      </c>
      <c r="AW668">
        <v>0</v>
      </c>
      <c r="AX668">
        <v>311000</v>
      </c>
      <c r="AY668" t="s">
        <v>161</v>
      </c>
      <c r="AZ668">
        <v>1.32</v>
      </c>
      <c r="BA668">
        <v>0.72399999999999998</v>
      </c>
      <c r="BB668">
        <v>0.59599999999999997</v>
      </c>
      <c r="BC668">
        <v>2000001017</v>
      </c>
      <c r="BD668">
        <v>1508</v>
      </c>
      <c r="BE668" t="s">
        <v>162</v>
      </c>
      <c r="BF668" t="s">
        <v>163</v>
      </c>
      <c r="BG668" t="s">
        <v>164</v>
      </c>
    </row>
    <row r="669" spans="1:59">
      <c r="A669">
        <v>1115</v>
      </c>
      <c r="B669">
        <v>1115</v>
      </c>
      <c r="C669">
        <v>10</v>
      </c>
      <c r="D669">
        <v>2</v>
      </c>
      <c r="E669" t="s">
        <v>152</v>
      </c>
      <c r="F669" t="s">
        <v>153</v>
      </c>
      <c r="G669" t="s">
        <v>154</v>
      </c>
      <c r="H669">
        <v>1526006288</v>
      </c>
      <c r="I669">
        <v>1000006558</v>
      </c>
      <c r="L669" t="s">
        <v>335</v>
      </c>
      <c r="M669">
        <v>5100001919</v>
      </c>
      <c r="N669" t="s">
        <v>155</v>
      </c>
      <c r="O669" t="s">
        <v>156</v>
      </c>
      <c r="P669">
        <v>5500000930</v>
      </c>
      <c r="Q669" t="s">
        <v>157</v>
      </c>
      <c r="R669">
        <v>5356</v>
      </c>
      <c r="S669" t="s">
        <v>158</v>
      </c>
      <c r="W669">
        <v>1502010011</v>
      </c>
      <c r="X669" t="s">
        <v>35</v>
      </c>
      <c r="Y669" t="str">
        <f>VLOOKUP(W669,Sheet4!$A$5:$B$71,2,0)</f>
        <v>REAR MUDGAURD</v>
      </c>
      <c r="Z669">
        <v>87082900</v>
      </c>
      <c r="AA669">
        <v>432</v>
      </c>
      <c r="AB669" t="s">
        <v>159</v>
      </c>
      <c r="AC669">
        <v>89.25</v>
      </c>
      <c r="AD669" t="s">
        <v>160</v>
      </c>
      <c r="AE669" s="24">
        <v>38556</v>
      </c>
      <c r="AF669">
        <v>0</v>
      </c>
      <c r="AG669" s="24">
        <v>38556</v>
      </c>
      <c r="AH669">
        <v>0</v>
      </c>
      <c r="AI669">
        <v>0</v>
      </c>
      <c r="AJ669">
        <v>0</v>
      </c>
      <c r="AK669">
        <v>0</v>
      </c>
      <c r="AL669" s="24">
        <v>38556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s="24">
        <v>38556</v>
      </c>
      <c r="AV669">
        <v>0</v>
      </c>
      <c r="AW669">
        <v>0</v>
      </c>
      <c r="AX669">
        <v>311000</v>
      </c>
      <c r="AY669" t="s">
        <v>161</v>
      </c>
      <c r="AZ669">
        <v>1.32</v>
      </c>
      <c r="BA669">
        <v>0.72399999999999998</v>
      </c>
      <c r="BB669">
        <v>0.59599999999999997</v>
      </c>
      <c r="BC669">
        <v>2000001017</v>
      </c>
      <c r="BD669">
        <v>1508</v>
      </c>
      <c r="BE669" t="s">
        <v>162</v>
      </c>
      <c r="BF669" t="s">
        <v>163</v>
      </c>
      <c r="BG669" t="s">
        <v>164</v>
      </c>
    </row>
    <row r="670" spans="1:59">
      <c r="A670">
        <v>1115</v>
      </c>
      <c r="B670">
        <v>1115</v>
      </c>
      <c r="C670">
        <v>10</v>
      </c>
      <c r="D670">
        <v>2</v>
      </c>
      <c r="E670" t="s">
        <v>152</v>
      </c>
      <c r="F670" t="s">
        <v>153</v>
      </c>
      <c r="G670" t="s">
        <v>154</v>
      </c>
      <c r="H670">
        <v>1526006286</v>
      </c>
      <c r="I670">
        <v>1000006555</v>
      </c>
      <c r="L670" t="s">
        <v>335</v>
      </c>
      <c r="M670">
        <v>5100001919</v>
      </c>
      <c r="N670" t="s">
        <v>155</v>
      </c>
      <c r="O670" t="s">
        <v>156</v>
      </c>
      <c r="P670">
        <v>5500000930</v>
      </c>
      <c r="Q670" t="s">
        <v>157</v>
      </c>
      <c r="R670">
        <v>5356</v>
      </c>
      <c r="S670" t="s">
        <v>158</v>
      </c>
      <c r="W670">
        <v>1502010011</v>
      </c>
      <c r="X670" t="s">
        <v>35</v>
      </c>
      <c r="Y670" t="str">
        <f>VLOOKUP(W670,Sheet4!$A$5:$B$71,2,0)</f>
        <v>REAR MUDGAURD</v>
      </c>
      <c r="Z670">
        <v>87082900</v>
      </c>
      <c r="AA670">
        <v>432</v>
      </c>
      <c r="AB670" t="s">
        <v>159</v>
      </c>
      <c r="AC670">
        <v>89.25</v>
      </c>
      <c r="AD670" t="s">
        <v>160</v>
      </c>
      <c r="AE670" s="24">
        <v>38556</v>
      </c>
      <c r="AF670">
        <v>0</v>
      </c>
      <c r="AG670" s="24">
        <v>38556</v>
      </c>
      <c r="AH670">
        <v>0</v>
      </c>
      <c r="AI670">
        <v>0</v>
      </c>
      <c r="AJ670">
        <v>0</v>
      </c>
      <c r="AK670">
        <v>0</v>
      </c>
      <c r="AL670" s="24">
        <v>38556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s="24">
        <v>38556</v>
      </c>
      <c r="AV670">
        <v>0</v>
      </c>
      <c r="AW670">
        <v>0</v>
      </c>
      <c r="AX670">
        <v>311000</v>
      </c>
      <c r="AY670" t="s">
        <v>161</v>
      </c>
      <c r="AZ670">
        <v>1.32</v>
      </c>
      <c r="BA670">
        <v>0.72399999999999998</v>
      </c>
      <c r="BB670">
        <v>0.59599999999999997</v>
      </c>
      <c r="BC670">
        <v>2000001017</v>
      </c>
      <c r="BD670">
        <v>1508</v>
      </c>
      <c r="BE670" t="s">
        <v>162</v>
      </c>
      <c r="BF670" t="s">
        <v>163</v>
      </c>
      <c r="BG670" t="s">
        <v>164</v>
      </c>
    </row>
    <row r="671" spans="1:59">
      <c r="A671">
        <v>1115</v>
      </c>
      <c r="B671">
        <v>1115</v>
      </c>
      <c r="C671">
        <v>10</v>
      </c>
      <c r="D671">
        <v>2</v>
      </c>
      <c r="E671" t="s">
        <v>152</v>
      </c>
      <c r="F671" t="s">
        <v>153</v>
      </c>
      <c r="G671" t="s">
        <v>154</v>
      </c>
      <c r="H671">
        <v>1526006285</v>
      </c>
      <c r="I671">
        <v>1000006554</v>
      </c>
      <c r="L671" t="s">
        <v>335</v>
      </c>
      <c r="M671">
        <v>5100001919</v>
      </c>
      <c r="N671" t="s">
        <v>155</v>
      </c>
      <c r="O671" t="s">
        <v>156</v>
      </c>
      <c r="P671">
        <v>5500000930</v>
      </c>
      <c r="Q671" t="s">
        <v>157</v>
      </c>
      <c r="R671">
        <v>5356</v>
      </c>
      <c r="S671" t="s">
        <v>158</v>
      </c>
      <c r="W671">
        <v>1502010011</v>
      </c>
      <c r="X671" t="s">
        <v>35</v>
      </c>
      <c r="Y671" t="str">
        <f>VLOOKUP(W671,Sheet4!$A$5:$B$71,2,0)</f>
        <v>REAR MUDGAURD</v>
      </c>
      <c r="Z671">
        <v>87082900</v>
      </c>
      <c r="AA671">
        <v>432</v>
      </c>
      <c r="AB671" t="s">
        <v>159</v>
      </c>
      <c r="AC671">
        <v>89.25</v>
      </c>
      <c r="AD671" t="s">
        <v>160</v>
      </c>
      <c r="AE671" s="24">
        <v>38556</v>
      </c>
      <c r="AF671">
        <v>0</v>
      </c>
      <c r="AG671" s="24">
        <v>38556</v>
      </c>
      <c r="AH671">
        <v>0</v>
      </c>
      <c r="AI671">
        <v>0</v>
      </c>
      <c r="AJ671">
        <v>0</v>
      </c>
      <c r="AK671">
        <v>0</v>
      </c>
      <c r="AL671" s="24">
        <v>38556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s="24">
        <v>38556</v>
      </c>
      <c r="AV671">
        <v>0</v>
      </c>
      <c r="AW671">
        <v>0</v>
      </c>
      <c r="AX671">
        <v>311000</v>
      </c>
      <c r="AY671" t="s">
        <v>161</v>
      </c>
      <c r="AZ671">
        <v>1.32</v>
      </c>
      <c r="BA671">
        <v>0.72399999999999998</v>
      </c>
      <c r="BB671">
        <v>0.59599999999999997</v>
      </c>
      <c r="BC671">
        <v>2000001017</v>
      </c>
      <c r="BD671">
        <v>1508</v>
      </c>
      <c r="BE671" t="s">
        <v>162</v>
      </c>
      <c r="BF671" t="s">
        <v>163</v>
      </c>
      <c r="BG671" t="s">
        <v>164</v>
      </c>
    </row>
    <row r="672" spans="1:59">
      <c r="A672">
        <v>1115</v>
      </c>
      <c r="B672">
        <v>1115</v>
      </c>
      <c r="C672">
        <v>10</v>
      </c>
      <c r="D672">
        <v>2</v>
      </c>
      <c r="E672" t="s">
        <v>152</v>
      </c>
      <c r="F672" t="s">
        <v>153</v>
      </c>
      <c r="G672" t="s">
        <v>154</v>
      </c>
      <c r="H672">
        <v>1526006284</v>
      </c>
      <c r="I672">
        <v>1000006553</v>
      </c>
      <c r="L672" t="s">
        <v>335</v>
      </c>
      <c r="M672">
        <v>5100001919</v>
      </c>
      <c r="N672" t="s">
        <v>155</v>
      </c>
      <c r="O672" t="s">
        <v>156</v>
      </c>
      <c r="P672">
        <v>5500000930</v>
      </c>
      <c r="Q672" t="s">
        <v>157</v>
      </c>
      <c r="R672">
        <v>5356</v>
      </c>
      <c r="S672" t="s">
        <v>158</v>
      </c>
      <c r="W672">
        <v>1502010011</v>
      </c>
      <c r="X672" t="s">
        <v>35</v>
      </c>
      <c r="Y672" t="str">
        <f>VLOOKUP(W672,Sheet4!$A$5:$B$71,2,0)</f>
        <v>REAR MUDGAURD</v>
      </c>
      <c r="Z672">
        <v>87082900</v>
      </c>
      <c r="AA672">
        <v>432</v>
      </c>
      <c r="AB672" t="s">
        <v>159</v>
      </c>
      <c r="AC672">
        <v>89.25</v>
      </c>
      <c r="AD672" t="s">
        <v>160</v>
      </c>
      <c r="AE672" s="24">
        <v>38556</v>
      </c>
      <c r="AF672">
        <v>0</v>
      </c>
      <c r="AG672" s="24">
        <v>38556</v>
      </c>
      <c r="AH672">
        <v>0</v>
      </c>
      <c r="AI672">
        <v>0</v>
      </c>
      <c r="AJ672">
        <v>0</v>
      </c>
      <c r="AK672">
        <v>0</v>
      </c>
      <c r="AL672" s="24">
        <v>38556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s="24">
        <v>38556</v>
      </c>
      <c r="AV672">
        <v>0</v>
      </c>
      <c r="AW672">
        <v>0</v>
      </c>
      <c r="AX672">
        <v>311000</v>
      </c>
      <c r="AY672" t="s">
        <v>161</v>
      </c>
      <c r="AZ672">
        <v>1.32</v>
      </c>
      <c r="BA672">
        <v>0.72399999999999998</v>
      </c>
      <c r="BB672">
        <v>0.59599999999999997</v>
      </c>
      <c r="BC672">
        <v>2000001017</v>
      </c>
      <c r="BD672">
        <v>1508</v>
      </c>
      <c r="BE672" t="s">
        <v>162</v>
      </c>
      <c r="BF672" t="s">
        <v>163</v>
      </c>
      <c r="BG672" t="s">
        <v>164</v>
      </c>
    </row>
    <row r="673" spans="1:59">
      <c r="A673">
        <v>1115</v>
      </c>
      <c r="B673">
        <v>1115</v>
      </c>
      <c r="C673">
        <v>10</v>
      </c>
      <c r="D673">
        <v>2</v>
      </c>
      <c r="E673" t="s">
        <v>152</v>
      </c>
      <c r="F673" t="s">
        <v>153</v>
      </c>
      <c r="G673" t="s">
        <v>154</v>
      </c>
      <c r="H673">
        <v>1526006283</v>
      </c>
      <c r="I673">
        <v>1000006552</v>
      </c>
      <c r="L673" t="s">
        <v>335</v>
      </c>
      <c r="M673">
        <v>5100001919</v>
      </c>
      <c r="N673" t="s">
        <v>155</v>
      </c>
      <c r="O673" t="s">
        <v>156</v>
      </c>
      <c r="P673">
        <v>5500000930</v>
      </c>
      <c r="Q673" t="s">
        <v>157</v>
      </c>
      <c r="R673">
        <v>5356</v>
      </c>
      <c r="S673" t="s">
        <v>158</v>
      </c>
      <c r="W673">
        <v>1502010011</v>
      </c>
      <c r="X673" t="s">
        <v>35</v>
      </c>
      <c r="Y673" t="str">
        <f>VLOOKUP(W673,Sheet4!$A$5:$B$71,2,0)</f>
        <v>REAR MUDGAURD</v>
      </c>
      <c r="Z673">
        <v>87082900</v>
      </c>
      <c r="AA673">
        <v>432</v>
      </c>
      <c r="AB673" t="s">
        <v>159</v>
      </c>
      <c r="AC673">
        <v>89.25</v>
      </c>
      <c r="AD673" t="s">
        <v>160</v>
      </c>
      <c r="AE673" s="24">
        <v>38556</v>
      </c>
      <c r="AF673">
        <v>0</v>
      </c>
      <c r="AG673" s="24">
        <v>38556</v>
      </c>
      <c r="AH673">
        <v>0</v>
      </c>
      <c r="AI673">
        <v>0</v>
      </c>
      <c r="AJ673">
        <v>0</v>
      </c>
      <c r="AK673">
        <v>0</v>
      </c>
      <c r="AL673" s="24">
        <v>38556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 s="24">
        <v>38556</v>
      </c>
      <c r="AV673">
        <v>0</v>
      </c>
      <c r="AW673">
        <v>0</v>
      </c>
      <c r="AX673">
        <v>311000</v>
      </c>
      <c r="AY673" t="s">
        <v>161</v>
      </c>
      <c r="AZ673">
        <v>1.32</v>
      </c>
      <c r="BA673">
        <v>0.72399999999999998</v>
      </c>
      <c r="BB673">
        <v>0.59599999999999997</v>
      </c>
      <c r="BC673">
        <v>2000001017</v>
      </c>
      <c r="BD673">
        <v>1508</v>
      </c>
      <c r="BE673" t="s">
        <v>162</v>
      </c>
      <c r="BF673" t="s">
        <v>163</v>
      </c>
      <c r="BG673" t="s">
        <v>164</v>
      </c>
    </row>
    <row r="674" spans="1:59">
      <c r="A674">
        <v>1115</v>
      </c>
      <c r="B674">
        <v>1115</v>
      </c>
      <c r="C674">
        <v>10</v>
      </c>
      <c r="D674">
        <v>2</v>
      </c>
      <c r="E674" t="s">
        <v>152</v>
      </c>
      <c r="F674" t="s">
        <v>153</v>
      </c>
      <c r="G674" t="s">
        <v>154</v>
      </c>
      <c r="H674">
        <v>1526006282</v>
      </c>
      <c r="I674">
        <v>1000006551</v>
      </c>
      <c r="L674" t="s">
        <v>335</v>
      </c>
      <c r="M674">
        <v>5100001925</v>
      </c>
      <c r="N674" t="s">
        <v>155</v>
      </c>
      <c r="O674" t="s">
        <v>156</v>
      </c>
      <c r="P674">
        <v>4110055667</v>
      </c>
      <c r="Q674" t="s">
        <v>185</v>
      </c>
      <c r="R674">
        <v>5000</v>
      </c>
      <c r="S674" t="s">
        <v>166</v>
      </c>
      <c r="V674" t="s">
        <v>167</v>
      </c>
      <c r="W674">
        <v>1502040318</v>
      </c>
      <c r="X674" t="s">
        <v>72</v>
      </c>
      <c r="Y674" t="str">
        <f>VLOOKUP(W674,Sheet4!$A$5:$B$71,2,0)</f>
        <v>Re Side Door</v>
      </c>
      <c r="Z674">
        <v>87082900</v>
      </c>
      <c r="AA674">
        <v>120</v>
      </c>
      <c r="AB674" t="s">
        <v>159</v>
      </c>
      <c r="AC674">
        <v>506.59</v>
      </c>
      <c r="AD674" t="s">
        <v>160</v>
      </c>
      <c r="AE674" s="24">
        <v>60790.8</v>
      </c>
      <c r="AF674">
        <v>0</v>
      </c>
      <c r="AG674" s="24">
        <v>60790.8</v>
      </c>
      <c r="AH674">
        <v>0</v>
      </c>
      <c r="AI674">
        <v>0</v>
      </c>
      <c r="AJ674">
        <v>0</v>
      </c>
      <c r="AK674">
        <v>0</v>
      </c>
      <c r="AL674" s="24">
        <v>60790.8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 s="24">
        <v>60790.8</v>
      </c>
      <c r="AV674">
        <v>0</v>
      </c>
      <c r="AW674">
        <v>0</v>
      </c>
      <c r="AX674">
        <v>311000</v>
      </c>
      <c r="AY674" t="s">
        <v>161</v>
      </c>
      <c r="AZ674">
        <v>2.27</v>
      </c>
      <c r="BA674">
        <v>2.27</v>
      </c>
      <c r="BB674">
        <v>0</v>
      </c>
      <c r="BC674" t="s">
        <v>187</v>
      </c>
      <c r="BD674">
        <v>1511</v>
      </c>
      <c r="BE674" t="s">
        <v>174</v>
      </c>
      <c r="BF674" t="s">
        <v>163</v>
      </c>
      <c r="BG674" t="s">
        <v>164</v>
      </c>
    </row>
    <row r="675" spans="1:59">
      <c r="A675">
        <v>1115</v>
      </c>
      <c r="B675">
        <v>1115</v>
      </c>
      <c r="C675">
        <v>10</v>
      </c>
      <c r="D675">
        <v>2</v>
      </c>
      <c r="E675" t="s">
        <v>152</v>
      </c>
      <c r="F675" t="s">
        <v>153</v>
      </c>
      <c r="G675" t="s">
        <v>154</v>
      </c>
      <c r="H675">
        <v>1526006281</v>
      </c>
      <c r="I675">
        <v>1000006550</v>
      </c>
      <c r="L675" t="s">
        <v>335</v>
      </c>
      <c r="M675">
        <v>5100001925</v>
      </c>
      <c r="N675" t="s">
        <v>155</v>
      </c>
      <c r="O675" t="s">
        <v>156</v>
      </c>
      <c r="P675">
        <v>4110055667</v>
      </c>
      <c r="Q675" t="s">
        <v>185</v>
      </c>
      <c r="R675">
        <v>5000</v>
      </c>
      <c r="S675" t="s">
        <v>166</v>
      </c>
      <c r="V675" t="s">
        <v>167</v>
      </c>
      <c r="W675">
        <v>1502040317</v>
      </c>
      <c r="X675" t="s">
        <v>73</v>
      </c>
      <c r="Y675" t="str">
        <f>VLOOKUP(W675,Sheet4!$A$5:$B$71,2,0)</f>
        <v>Re Side Door</v>
      </c>
      <c r="Z675">
        <v>87082900</v>
      </c>
      <c r="AA675">
        <v>120</v>
      </c>
      <c r="AB675" t="s">
        <v>159</v>
      </c>
      <c r="AC675">
        <v>506.59</v>
      </c>
      <c r="AD675" t="s">
        <v>160</v>
      </c>
      <c r="AE675" s="24">
        <v>60790.8</v>
      </c>
      <c r="AF675">
        <v>0</v>
      </c>
      <c r="AG675" s="24">
        <v>60790.8</v>
      </c>
      <c r="AH675">
        <v>0</v>
      </c>
      <c r="AI675">
        <v>0</v>
      </c>
      <c r="AJ675">
        <v>0</v>
      </c>
      <c r="AK675">
        <v>0</v>
      </c>
      <c r="AL675" s="24">
        <v>60790.8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 s="24">
        <v>60790.8</v>
      </c>
      <c r="AV675">
        <v>0</v>
      </c>
      <c r="AW675">
        <v>0</v>
      </c>
      <c r="AX675">
        <v>311000</v>
      </c>
      <c r="AY675" t="s">
        <v>161</v>
      </c>
      <c r="AZ675">
        <v>2.27</v>
      </c>
      <c r="BA675">
        <v>2.27</v>
      </c>
      <c r="BB675">
        <v>0</v>
      </c>
      <c r="BC675" t="s">
        <v>186</v>
      </c>
      <c r="BD675">
        <v>1511</v>
      </c>
      <c r="BE675" t="s">
        <v>174</v>
      </c>
      <c r="BF675" t="s">
        <v>163</v>
      </c>
      <c r="BG675" t="s">
        <v>164</v>
      </c>
    </row>
    <row r="676" spans="1:59">
      <c r="A676">
        <v>1115</v>
      </c>
      <c r="B676">
        <v>1115</v>
      </c>
      <c r="C676">
        <v>10</v>
      </c>
      <c r="D676">
        <v>2</v>
      </c>
      <c r="E676" t="s">
        <v>152</v>
      </c>
      <c r="F676" t="s">
        <v>153</v>
      </c>
      <c r="G676" t="s">
        <v>154</v>
      </c>
      <c r="H676">
        <v>1526006280</v>
      </c>
      <c r="I676">
        <v>1000006549</v>
      </c>
      <c r="L676" t="s">
        <v>335</v>
      </c>
      <c r="M676">
        <v>5100001636</v>
      </c>
      <c r="N676" t="s">
        <v>155</v>
      </c>
      <c r="O676" t="s">
        <v>156</v>
      </c>
      <c r="P676">
        <v>4110026445</v>
      </c>
      <c r="Q676" t="s">
        <v>170</v>
      </c>
      <c r="R676">
        <v>5000</v>
      </c>
      <c r="S676" t="s">
        <v>166</v>
      </c>
      <c r="V676" t="s">
        <v>167</v>
      </c>
      <c r="W676">
        <v>1502020104</v>
      </c>
      <c r="X676" t="s">
        <v>26</v>
      </c>
      <c r="Y676" t="str">
        <f>VLOOKUP(W676,Sheet4!$A$5:$B$71,2,0)</f>
        <v>RE STYLING</v>
      </c>
      <c r="Z676">
        <v>87082900</v>
      </c>
      <c r="AA676">
        <v>15</v>
      </c>
      <c r="AB676" t="s">
        <v>159</v>
      </c>
      <c r="AC676" s="24">
        <v>6585.55</v>
      </c>
      <c r="AD676" t="s">
        <v>160</v>
      </c>
      <c r="AE676" s="24">
        <v>98783.25</v>
      </c>
      <c r="AF676">
        <v>0</v>
      </c>
      <c r="AG676" s="24">
        <v>98783.25</v>
      </c>
      <c r="AH676">
        <v>0</v>
      </c>
      <c r="AI676">
        <v>0</v>
      </c>
      <c r="AJ676">
        <v>0</v>
      </c>
      <c r="AK676">
        <v>0</v>
      </c>
      <c r="AL676" s="24">
        <v>98783.25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 s="24">
        <v>98783.25</v>
      </c>
      <c r="AV676">
        <v>0</v>
      </c>
      <c r="AW676">
        <v>0</v>
      </c>
      <c r="AX676">
        <v>311000</v>
      </c>
      <c r="AY676" t="s">
        <v>161</v>
      </c>
      <c r="AZ676">
        <v>49.75</v>
      </c>
      <c r="BA676">
        <v>49.75</v>
      </c>
      <c r="BB676">
        <v>0</v>
      </c>
      <c r="BC676" t="s">
        <v>171</v>
      </c>
      <c r="BD676">
        <v>1509</v>
      </c>
      <c r="BE676" t="s">
        <v>169</v>
      </c>
      <c r="BF676" t="s">
        <v>163</v>
      </c>
      <c r="BG676" t="s">
        <v>164</v>
      </c>
    </row>
    <row r="677" spans="1:59">
      <c r="A677">
        <v>1115</v>
      </c>
      <c r="B677">
        <v>1115</v>
      </c>
      <c r="C677">
        <v>10</v>
      </c>
      <c r="D677">
        <v>2</v>
      </c>
      <c r="E677" t="s">
        <v>152</v>
      </c>
      <c r="F677" t="s">
        <v>153</v>
      </c>
      <c r="G677" t="s">
        <v>154</v>
      </c>
      <c r="H677">
        <v>1526006378</v>
      </c>
      <c r="I677">
        <v>1000006650</v>
      </c>
      <c r="L677" t="s">
        <v>335</v>
      </c>
      <c r="M677">
        <v>5100001928</v>
      </c>
      <c r="N677" t="s">
        <v>155</v>
      </c>
      <c r="O677" t="s">
        <v>156</v>
      </c>
      <c r="P677">
        <v>4110057393</v>
      </c>
      <c r="Q677" t="s">
        <v>192</v>
      </c>
      <c r="R677">
        <v>5000</v>
      </c>
      <c r="S677" t="s">
        <v>166</v>
      </c>
      <c r="V677" t="s">
        <v>167</v>
      </c>
      <c r="W677">
        <v>1502020122</v>
      </c>
      <c r="X677" t="s">
        <v>70</v>
      </c>
      <c r="Y677" t="str">
        <f>VLOOKUP(W677,Sheet4!$A$5:$B$71,2,0)</f>
        <v>MAX UG NEW EV</v>
      </c>
      <c r="Z677">
        <v>87082900</v>
      </c>
      <c r="AA677">
        <v>10</v>
      </c>
      <c r="AB677" t="s">
        <v>159</v>
      </c>
      <c r="AC677" s="24">
        <v>9566.51</v>
      </c>
      <c r="AD677" t="s">
        <v>160</v>
      </c>
      <c r="AE677" s="24">
        <v>95665.1</v>
      </c>
      <c r="AF677">
        <v>0</v>
      </c>
      <c r="AG677" s="24">
        <v>95665.1</v>
      </c>
      <c r="AH677">
        <v>0</v>
      </c>
      <c r="AI677">
        <v>0</v>
      </c>
      <c r="AJ677">
        <v>0</v>
      </c>
      <c r="AK677">
        <v>0</v>
      </c>
      <c r="AL677" s="24">
        <v>95665.1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 s="24">
        <v>95665.1</v>
      </c>
      <c r="AV677">
        <v>0</v>
      </c>
      <c r="AW677">
        <v>0</v>
      </c>
      <c r="AX677">
        <v>311000</v>
      </c>
      <c r="AY677" t="s">
        <v>161</v>
      </c>
      <c r="AZ677">
        <v>0</v>
      </c>
      <c r="BA677">
        <v>61</v>
      </c>
      <c r="BB677">
        <v>-61</v>
      </c>
      <c r="BC677" t="s">
        <v>193</v>
      </c>
      <c r="BD677">
        <v>1509</v>
      </c>
      <c r="BE677" t="s">
        <v>169</v>
      </c>
      <c r="BF677" t="s">
        <v>163</v>
      </c>
      <c r="BG677" t="s">
        <v>164</v>
      </c>
    </row>
    <row r="678" spans="1:59">
      <c r="A678">
        <v>1115</v>
      </c>
      <c r="B678">
        <v>1115</v>
      </c>
      <c r="C678">
        <v>10</v>
      </c>
      <c r="D678">
        <v>2</v>
      </c>
      <c r="E678" t="s">
        <v>152</v>
      </c>
      <c r="F678" t="s">
        <v>153</v>
      </c>
      <c r="G678" t="s">
        <v>154</v>
      </c>
      <c r="H678">
        <v>1526006377</v>
      </c>
      <c r="I678">
        <v>1000006649</v>
      </c>
      <c r="L678" t="s">
        <v>335</v>
      </c>
      <c r="M678">
        <v>5100001928</v>
      </c>
      <c r="N678" t="s">
        <v>155</v>
      </c>
      <c r="O678" t="s">
        <v>156</v>
      </c>
      <c r="P678">
        <v>4110057393</v>
      </c>
      <c r="Q678" t="s">
        <v>192</v>
      </c>
      <c r="R678">
        <v>5000</v>
      </c>
      <c r="S678" t="s">
        <v>166</v>
      </c>
      <c r="V678" t="s">
        <v>167</v>
      </c>
      <c r="W678">
        <v>1502020122</v>
      </c>
      <c r="X678" t="s">
        <v>70</v>
      </c>
      <c r="Y678" t="str">
        <f>VLOOKUP(W678,Sheet4!$A$5:$B$71,2,0)</f>
        <v>MAX UG NEW EV</v>
      </c>
      <c r="Z678">
        <v>87082900</v>
      </c>
      <c r="AA678">
        <v>10</v>
      </c>
      <c r="AB678" t="s">
        <v>159</v>
      </c>
      <c r="AC678" s="24">
        <v>9566.51</v>
      </c>
      <c r="AD678" t="s">
        <v>160</v>
      </c>
      <c r="AE678" s="24">
        <v>95665.1</v>
      </c>
      <c r="AF678">
        <v>0</v>
      </c>
      <c r="AG678" s="24">
        <v>95665.1</v>
      </c>
      <c r="AH678">
        <v>0</v>
      </c>
      <c r="AI678">
        <v>0</v>
      </c>
      <c r="AJ678">
        <v>0</v>
      </c>
      <c r="AK678">
        <v>0</v>
      </c>
      <c r="AL678" s="24">
        <v>95665.1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 s="24">
        <v>95665.1</v>
      </c>
      <c r="AV678">
        <v>0</v>
      </c>
      <c r="AW678">
        <v>0</v>
      </c>
      <c r="AX678">
        <v>311000</v>
      </c>
      <c r="AY678" t="s">
        <v>161</v>
      </c>
      <c r="AZ678">
        <v>0</v>
      </c>
      <c r="BA678">
        <v>61</v>
      </c>
      <c r="BB678">
        <v>-61</v>
      </c>
      <c r="BC678" t="s">
        <v>193</v>
      </c>
      <c r="BD678">
        <v>1509</v>
      </c>
      <c r="BE678" t="s">
        <v>169</v>
      </c>
      <c r="BF678" t="s">
        <v>163</v>
      </c>
      <c r="BG678" t="s">
        <v>164</v>
      </c>
    </row>
    <row r="679" spans="1:59">
      <c r="A679">
        <v>1115</v>
      </c>
      <c r="B679">
        <v>1115</v>
      </c>
      <c r="C679">
        <v>10</v>
      </c>
      <c r="D679">
        <v>2</v>
      </c>
      <c r="E679" t="s">
        <v>152</v>
      </c>
      <c r="F679" t="s">
        <v>153</v>
      </c>
      <c r="G679" t="s">
        <v>154</v>
      </c>
      <c r="H679">
        <v>1526006376</v>
      </c>
      <c r="I679">
        <v>1000006648</v>
      </c>
      <c r="L679" t="s">
        <v>335</v>
      </c>
      <c r="M679">
        <v>5100001928</v>
      </c>
      <c r="N679" t="s">
        <v>155</v>
      </c>
      <c r="O679" t="s">
        <v>156</v>
      </c>
      <c r="P679">
        <v>4110057393</v>
      </c>
      <c r="Q679" t="s">
        <v>192</v>
      </c>
      <c r="R679">
        <v>5000</v>
      </c>
      <c r="S679" t="s">
        <v>166</v>
      </c>
      <c r="V679" t="s">
        <v>167</v>
      </c>
      <c r="W679">
        <v>1502020122</v>
      </c>
      <c r="X679" t="s">
        <v>70</v>
      </c>
      <c r="Y679" t="str">
        <f>VLOOKUP(W679,Sheet4!$A$5:$B$71,2,0)</f>
        <v>MAX UG NEW EV</v>
      </c>
      <c r="Z679">
        <v>87082900</v>
      </c>
      <c r="AA679">
        <v>10</v>
      </c>
      <c r="AB679" t="s">
        <v>159</v>
      </c>
      <c r="AC679" s="24">
        <v>9566.51</v>
      </c>
      <c r="AD679" t="s">
        <v>160</v>
      </c>
      <c r="AE679" s="24">
        <v>95665.1</v>
      </c>
      <c r="AF679">
        <v>0</v>
      </c>
      <c r="AG679" s="24">
        <v>95665.1</v>
      </c>
      <c r="AH679">
        <v>0</v>
      </c>
      <c r="AI679">
        <v>0</v>
      </c>
      <c r="AJ679">
        <v>0</v>
      </c>
      <c r="AK679">
        <v>0</v>
      </c>
      <c r="AL679" s="24">
        <v>95665.1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 s="24">
        <v>95665.1</v>
      </c>
      <c r="AV679">
        <v>0</v>
      </c>
      <c r="AW679">
        <v>0</v>
      </c>
      <c r="AX679">
        <v>311000</v>
      </c>
      <c r="AY679" t="s">
        <v>161</v>
      </c>
      <c r="AZ679">
        <v>0</v>
      </c>
      <c r="BA679">
        <v>61</v>
      </c>
      <c r="BB679">
        <v>-61</v>
      </c>
      <c r="BC679" t="s">
        <v>193</v>
      </c>
      <c r="BD679">
        <v>1509</v>
      </c>
      <c r="BE679" t="s">
        <v>169</v>
      </c>
      <c r="BF679" t="s">
        <v>163</v>
      </c>
      <c r="BG679" t="s">
        <v>164</v>
      </c>
    </row>
    <row r="680" spans="1:59">
      <c r="A680">
        <v>1115</v>
      </c>
      <c r="B680">
        <v>1115</v>
      </c>
      <c r="C680">
        <v>10</v>
      </c>
      <c r="D680">
        <v>2</v>
      </c>
      <c r="E680" t="s">
        <v>152</v>
      </c>
      <c r="F680" t="s">
        <v>153</v>
      </c>
      <c r="G680" t="s">
        <v>154</v>
      </c>
      <c r="H680">
        <v>1526006375</v>
      </c>
      <c r="I680">
        <v>1000006647</v>
      </c>
      <c r="L680" t="s">
        <v>335</v>
      </c>
      <c r="M680">
        <v>5100001928</v>
      </c>
      <c r="N680" t="s">
        <v>155</v>
      </c>
      <c r="O680" t="s">
        <v>156</v>
      </c>
      <c r="P680">
        <v>4110057393</v>
      </c>
      <c r="Q680" t="s">
        <v>192</v>
      </c>
      <c r="R680">
        <v>5000</v>
      </c>
      <c r="S680" t="s">
        <v>166</v>
      </c>
      <c r="V680" t="s">
        <v>167</v>
      </c>
      <c r="W680">
        <v>1502020122</v>
      </c>
      <c r="X680" t="s">
        <v>70</v>
      </c>
      <c r="Y680" t="str">
        <f>VLOOKUP(W680,Sheet4!$A$5:$B$71,2,0)</f>
        <v>MAX UG NEW EV</v>
      </c>
      <c r="Z680">
        <v>87082900</v>
      </c>
      <c r="AA680">
        <v>10</v>
      </c>
      <c r="AB680" t="s">
        <v>159</v>
      </c>
      <c r="AC680" s="24">
        <v>9566.51</v>
      </c>
      <c r="AD680" t="s">
        <v>160</v>
      </c>
      <c r="AE680" s="24">
        <v>95665.1</v>
      </c>
      <c r="AF680">
        <v>0</v>
      </c>
      <c r="AG680" s="24">
        <v>95665.1</v>
      </c>
      <c r="AH680">
        <v>0</v>
      </c>
      <c r="AI680">
        <v>0</v>
      </c>
      <c r="AJ680">
        <v>0</v>
      </c>
      <c r="AK680">
        <v>0</v>
      </c>
      <c r="AL680" s="24">
        <v>95665.1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 s="24">
        <v>95665.1</v>
      </c>
      <c r="AV680">
        <v>0</v>
      </c>
      <c r="AW680">
        <v>0</v>
      </c>
      <c r="AX680">
        <v>311000</v>
      </c>
      <c r="AY680" t="s">
        <v>161</v>
      </c>
      <c r="AZ680">
        <v>0</v>
      </c>
      <c r="BA680">
        <v>61</v>
      </c>
      <c r="BB680">
        <v>-61</v>
      </c>
      <c r="BC680" t="s">
        <v>193</v>
      </c>
      <c r="BD680">
        <v>1509</v>
      </c>
      <c r="BE680" t="s">
        <v>169</v>
      </c>
      <c r="BF680" t="s">
        <v>163</v>
      </c>
      <c r="BG680" t="s">
        <v>164</v>
      </c>
    </row>
    <row r="681" spans="1:59">
      <c r="A681">
        <v>1115</v>
      </c>
      <c r="B681">
        <v>1115</v>
      </c>
      <c r="C681">
        <v>10</v>
      </c>
      <c r="D681">
        <v>2</v>
      </c>
      <c r="E681" t="s">
        <v>152</v>
      </c>
      <c r="F681" t="s">
        <v>153</v>
      </c>
      <c r="G681" t="s">
        <v>154</v>
      </c>
      <c r="H681">
        <v>1526006374</v>
      </c>
      <c r="I681">
        <v>1000006646</v>
      </c>
      <c r="L681" t="s">
        <v>335</v>
      </c>
      <c r="M681">
        <v>5100001666</v>
      </c>
      <c r="N681" t="s">
        <v>155</v>
      </c>
      <c r="O681" t="s">
        <v>156</v>
      </c>
      <c r="P681">
        <v>4110027035</v>
      </c>
      <c r="Q681" t="s">
        <v>225</v>
      </c>
      <c r="R681">
        <v>5000</v>
      </c>
      <c r="S681" t="s">
        <v>166</v>
      </c>
      <c r="V681" t="s">
        <v>167</v>
      </c>
      <c r="W681">
        <v>1502020105</v>
      </c>
      <c r="X681" t="s">
        <v>226</v>
      </c>
      <c r="Y681" t="str">
        <f>VLOOKUP(W681,Sheet4!$A$5:$B$71,2,0)</f>
        <v>RE STYLING</v>
      </c>
      <c r="Z681">
        <v>87082900</v>
      </c>
      <c r="AA681">
        <v>12</v>
      </c>
      <c r="AB681" t="s">
        <v>159</v>
      </c>
      <c r="AC681" s="24">
        <v>6570.77</v>
      </c>
      <c r="AD681" t="s">
        <v>160</v>
      </c>
      <c r="AE681" s="24">
        <v>78849.240000000005</v>
      </c>
      <c r="AF681">
        <v>0</v>
      </c>
      <c r="AG681" s="24">
        <v>78849.240000000005</v>
      </c>
      <c r="AH681">
        <v>0</v>
      </c>
      <c r="AI681">
        <v>0</v>
      </c>
      <c r="AJ681">
        <v>0</v>
      </c>
      <c r="AK681">
        <v>0</v>
      </c>
      <c r="AL681" s="24">
        <v>78849.240000000005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 s="24">
        <v>78849.240000000005</v>
      </c>
      <c r="AV681">
        <v>0</v>
      </c>
      <c r="AW681">
        <v>0</v>
      </c>
      <c r="AX681">
        <v>311000</v>
      </c>
      <c r="AY681" t="s">
        <v>161</v>
      </c>
      <c r="AZ681">
        <v>49.75</v>
      </c>
      <c r="BA681">
        <v>49.75</v>
      </c>
      <c r="BB681">
        <v>0</v>
      </c>
      <c r="BC681" t="s">
        <v>227</v>
      </c>
      <c r="BD681">
        <v>1509</v>
      </c>
      <c r="BE681" t="s">
        <v>169</v>
      </c>
      <c r="BF681" t="s">
        <v>163</v>
      </c>
      <c r="BG681" t="s">
        <v>164</v>
      </c>
    </row>
    <row r="682" spans="1:59">
      <c r="A682">
        <v>1115</v>
      </c>
      <c r="B682">
        <v>1115</v>
      </c>
      <c r="C682">
        <v>10</v>
      </c>
      <c r="D682">
        <v>2</v>
      </c>
      <c r="E682" t="s">
        <v>152</v>
      </c>
      <c r="F682" t="s">
        <v>153</v>
      </c>
      <c r="G682" t="s">
        <v>154</v>
      </c>
      <c r="H682">
        <v>1526006372</v>
      </c>
      <c r="I682">
        <v>1000006645</v>
      </c>
      <c r="L682" t="s">
        <v>335</v>
      </c>
      <c r="M682">
        <v>5100001666</v>
      </c>
      <c r="N682" t="s">
        <v>155</v>
      </c>
      <c r="O682" t="s">
        <v>156</v>
      </c>
      <c r="P682">
        <v>4110027035</v>
      </c>
      <c r="Q682" t="s">
        <v>225</v>
      </c>
      <c r="R682">
        <v>5000</v>
      </c>
      <c r="S682" t="s">
        <v>166</v>
      </c>
      <c r="V682" t="s">
        <v>167</v>
      </c>
      <c r="W682">
        <v>1502020105</v>
      </c>
      <c r="X682" t="s">
        <v>226</v>
      </c>
      <c r="Y682" t="str">
        <f>VLOOKUP(W682,Sheet4!$A$5:$B$71,2,0)</f>
        <v>RE STYLING</v>
      </c>
      <c r="Z682">
        <v>87082900</v>
      </c>
      <c r="AA682">
        <v>15</v>
      </c>
      <c r="AB682" t="s">
        <v>159</v>
      </c>
      <c r="AC682" s="24">
        <v>6570.77</v>
      </c>
      <c r="AD682" t="s">
        <v>160</v>
      </c>
      <c r="AE682" s="24">
        <v>98561.55</v>
      </c>
      <c r="AF682">
        <v>0</v>
      </c>
      <c r="AG682" s="24">
        <v>98561.55</v>
      </c>
      <c r="AH682">
        <v>0</v>
      </c>
      <c r="AI682">
        <v>0</v>
      </c>
      <c r="AJ682">
        <v>0</v>
      </c>
      <c r="AK682">
        <v>0</v>
      </c>
      <c r="AL682" s="24">
        <v>98561.55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 s="24">
        <v>98561.55</v>
      </c>
      <c r="AV682">
        <v>0</v>
      </c>
      <c r="AW682">
        <v>0</v>
      </c>
      <c r="AX682">
        <v>311000</v>
      </c>
      <c r="AY682" t="s">
        <v>161</v>
      </c>
      <c r="AZ682">
        <v>49.75</v>
      </c>
      <c r="BA682">
        <v>49.75</v>
      </c>
      <c r="BB682">
        <v>0</v>
      </c>
      <c r="BC682" t="s">
        <v>227</v>
      </c>
      <c r="BD682">
        <v>1509</v>
      </c>
      <c r="BE682" t="s">
        <v>169</v>
      </c>
      <c r="BF682" t="s">
        <v>163</v>
      </c>
      <c r="BG682" t="s">
        <v>164</v>
      </c>
    </row>
    <row r="683" spans="1:59">
      <c r="A683">
        <v>1115</v>
      </c>
      <c r="B683">
        <v>1115</v>
      </c>
      <c r="C683">
        <v>10</v>
      </c>
      <c r="D683">
        <v>2</v>
      </c>
      <c r="E683" t="s">
        <v>152</v>
      </c>
      <c r="F683" t="s">
        <v>153</v>
      </c>
      <c r="G683" t="s">
        <v>154</v>
      </c>
      <c r="H683">
        <v>1526006371</v>
      </c>
      <c r="I683">
        <v>1000006644</v>
      </c>
      <c r="L683" t="s">
        <v>335</v>
      </c>
      <c r="M683">
        <v>5100001666</v>
      </c>
      <c r="N683" t="s">
        <v>155</v>
      </c>
      <c r="O683" t="s">
        <v>156</v>
      </c>
      <c r="P683">
        <v>4110027035</v>
      </c>
      <c r="Q683" t="s">
        <v>225</v>
      </c>
      <c r="R683">
        <v>5000</v>
      </c>
      <c r="S683" t="s">
        <v>166</v>
      </c>
      <c r="V683" t="s">
        <v>167</v>
      </c>
      <c r="W683">
        <v>1502020105</v>
      </c>
      <c r="X683" t="s">
        <v>226</v>
      </c>
      <c r="Y683" t="str">
        <f>VLOOKUP(W683,Sheet4!$A$5:$B$71,2,0)</f>
        <v>RE STYLING</v>
      </c>
      <c r="Z683">
        <v>87082900</v>
      </c>
      <c r="AA683">
        <v>15</v>
      </c>
      <c r="AB683" t="s">
        <v>159</v>
      </c>
      <c r="AC683" s="24">
        <v>6570.77</v>
      </c>
      <c r="AD683" t="s">
        <v>160</v>
      </c>
      <c r="AE683" s="24">
        <v>98561.55</v>
      </c>
      <c r="AF683">
        <v>0</v>
      </c>
      <c r="AG683" s="24">
        <v>98561.55</v>
      </c>
      <c r="AH683">
        <v>0</v>
      </c>
      <c r="AI683">
        <v>0</v>
      </c>
      <c r="AJ683">
        <v>0</v>
      </c>
      <c r="AK683">
        <v>0</v>
      </c>
      <c r="AL683" s="24">
        <v>98561.55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 s="24">
        <v>98561.55</v>
      </c>
      <c r="AV683">
        <v>0</v>
      </c>
      <c r="AW683">
        <v>0</v>
      </c>
      <c r="AX683">
        <v>311000</v>
      </c>
      <c r="AY683" t="s">
        <v>161</v>
      </c>
      <c r="AZ683">
        <v>49.75</v>
      </c>
      <c r="BA683">
        <v>49.75</v>
      </c>
      <c r="BB683">
        <v>0</v>
      </c>
      <c r="BC683" t="s">
        <v>227</v>
      </c>
      <c r="BD683">
        <v>1509</v>
      </c>
      <c r="BE683" t="s">
        <v>169</v>
      </c>
      <c r="BF683" t="s">
        <v>163</v>
      </c>
      <c r="BG683" t="s">
        <v>164</v>
      </c>
    </row>
    <row r="684" spans="1:59">
      <c r="A684">
        <v>1115</v>
      </c>
      <c r="B684">
        <v>1115</v>
      </c>
      <c r="C684">
        <v>10</v>
      </c>
      <c r="D684">
        <v>2</v>
      </c>
      <c r="E684" t="s">
        <v>152</v>
      </c>
      <c r="F684" t="s">
        <v>153</v>
      </c>
      <c r="G684" t="s">
        <v>154</v>
      </c>
      <c r="H684">
        <v>1526006370</v>
      </c>
      <c r="I684">
        <v>1000006643</v>
      </c>
      <c r="L684" t="s">
        <v>335</v>
      </c>
      <c r="M684">
        <v>5100001666</v>
      </c>
      <c r="N684" t="s">
        <v>155</v>
      </c>
      <c r="O684" t="s">
        <v>156</v>
      </c>
      <c r="P684">
        <v>4110027035</v>
      </c>
      <c r="Q684" t="s">
        <v>225</v>
      </c>
      <c r="R684">
        <v>5000</v>
      </c>
      <c r="S684" t="s">
        <v>166</v>
      </c>
      <c r="V684" t="s">
        <v>167</v>
      </c>
      <c r="W684">
        <v>1502020105</v>
      </c>
      <c r="X684" t="s">
        <v>226</v>
      </c>
      <c r="Y684" t="str">
        <f>VLOOKUP(W684,Sheet4!$A$5:$B$71,2,0)</f>
        <v>RE STYLING</v>
      </c>
      <c r="Z684">
        <v>87082900</v>
      </c>
      <c r="AA684">
        <v>15</v>
      </c>
      <c r="AB684" t="s">
        <v>159</v>
      </c>
      <c r="AC684" s="24">
        <v>6570.77</v>
      </c>
      <c r="AD684" t="s">
        <v>160</v>
      </c>
      <c r="AE684" s="24">
        <v>98561.55</v>
      </c>
      <c r="AF684">
        <v>0</v>
      </c>
      <c r="AG684" s="24">
        <v>98561.55</v>
      </c>
      <c r="AH684">
        <v>0</v>
      </c>
      <c r="AI684">
        <v>0</v>
      </c>
      <c r="AJ684">
        <v>0</v>
      </c>
      <c r="AK684">
        <v>0</v>
      </c>
      <c r="AL684" s="24">
        <v>98561.55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s="24">
        <v>98561.55</v>
      </c>
      <c r="AV684">
        <v>0</v>
      </c>
      <c r="AW684">
        <v>0</v>
      </c>
      <c r="AX684">
        <v>311000</v>
      </c>
      <c r="AY684" t="s">
        <v>161</v>
      </c>
      <c r="AZ684">
        <v>49.75</v>
      </c>
      <c r="BA684">
        <v>49.75</v>
      </c>
      <c r="BB684">
        <v>0</v>
      </c>
      <c r="BC684" t="s">
        <v>227</v>
      </c>
      <c r="BD684">
        <v>1509</v>
      </c>
      <c r="BE684" t="s">
        <v>169</v>
      </c>
      <c r="BF684" t="s">
        <v>163</v>
      </c>
      <c r="BG684" t="s">
        <v>164</v>
      </c>
    </row>
    <row r="685" spans="1:59">
      <c r="A685">
        <v>1115</v>
      </c>
      <c r="B685">
        <v>1115</v>
      </c>
      <c r="C685">
        <v>10</v>
      </c>
      <c r="D685">
        <v>2</v>
      </c>
      <c r="E685" t="s">
        <v>152</v>
      </c>
      <c r="F685" t="s">
        <v>153</v>
      </c>
      <c r="G685" t="s">
        <v>154</v>
      </c>
      <c r="H685">
        <v>1526006369</v>
      </c>
      <c r="I685">
        <v>1000006642</v>
      </c>
      <c r="L685" t="s">
        <v>335</v>
      </c>
      <c r="M685">
        <v>5100001666</v>
      </c>
      <c r="N685" t="s">
        <v>155</v>
      </c>
      <c r="O685" t="s">
        <v>156</v>
      </c>
      <c r="P685">
        <v>4110027035</v>
      </c>
      <c r="Q685" t="s">
        <v>225</v>
      </c>
      <c r="R685">
        <v>5000</v>
      </c>
      <c r="S685" t="s">
        <v>166</v>
      </c>
      <c r="V685" t="s">
        <v>167</v>
      </c>
      <c r="W685">
        <v>1502020105</v>
      </c>
      <c r="X685" t="s">
        <v>226</v>
      </c>
      <c r="Y685" t="str">
        <f>VLOOKUP(W685,Sheet4!$A$5:$B$71,2,0)</f>
        <v>RE STYLING</v>
      </c>
      <c r="Z685">
        <v>87082900</v>
      </c>
      <c r="AA685">
        <v>15</v>
      </c>
      <c r="AB685" t="s">
        <v>159</v>
      </c>
      <c r="AC685" s="24">
        <v>6570.77</v>
      </c>
      <c r="AD685" t="s">
        <v>160</v>
      </c>
      <c r="AE685" s="24">
        <v>98561.55</v>
      </c>
      <c r="AF685">
        <v>0</v>
      </c>
      <c r="AG685" s="24">
        <v>98561.55</v>
      </c>
      <c r="AH685">
        <v>0</v>
      </c>
      <c r="AI685">
        <v>0</v>
      </c>
      <c r="AJ685">
        <v>0</v>
      </c>
      <c r="AK685">
        <v>0</v>
      </c>
      <c r="AL685" s="24">
        <v>98561.55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s="24">
        <v>98561.55</v>
      </c>
      <c r="AV685">
        <v>0</v>
      </c>
      <c r="AW685">
        <v>0</v>
      </c>
      <c r="AX685">
        <v>311000</v>
      </c>
      <c r="AY685" t="s">
        <v>161</v>
      </c>
      <c r="AZ685">
        <v>49.75</v>
      </c>
      <c r="BA685">
        <v>49.75</v>
      </c>
      <c r="BB685">
        <v>0</v>
      </c>
      <c r="BC685" t="s">
        <v>227</v>
      </c>
      <c r="BD685">
        <v>1509</v>
      </c>
      <c r="BE685" t="s">
        <v>169</v>
      </c>
      <c r="BF685" t="s">
        <v>163</v>
      </c>
      <c r="BG685" t="s">
        <v>164</v>
      </c>
    </row>
    <row r="686" spans="1:59">
      <c r="A686">
        <v>1115</v>
      </c>
      <c r="B686">
        <v>1115</v>
      </c>
      <c r="C686">
        <v>10</v>
      </c>
      <c r="D686">
        <v>2</v>
      </c>
      <c r="E686" t="s">
        <v>152</v>
      </c>
      <c r="F686" t="s">
        <v>153</v>
      </c>
      <c r="G686" t="s">
        <v>154</v>
      </c>
      <c r="H686">
        <v>1526006368</v>
      </c>
      <c r="I686">
        <v>1000006641</v>
      </c>
      <c r="L686" t="s">
        <v>335</v>
      </c>
      <c r="M686">
        <v>5100001666</v>
      </c>
      <c r="N686" t="s">
        <v>155</v>
      </c>
      <c r="O686" t="s">
        <v>156</v>
      </c>
      <c r="P686">
        <v>4110027035</v>
      </c>
      <c r="Q686" t="s">
        <v>225</v>
      </c>
      <c r="R686">
        <v>5000</v>
      </c>
      <c r="S686" t="s">
        <v>166</v>
      </c>
      <c r="V686" t="s">
        <v>167</v>
      </c>
      <c r="W686">
        <v>1502020105</v>
      </c>
      <c r="X686" t="s">
        <v>226</v>
      </c>
      <c r="Y686" t="str">
        <f>VLOOKUP(W686,Sheet4!$A$5:$B$71,2,0)</f>
        <v>RE STYLING</v>
      </c>
      <c r="Z686">
        <v>87082900</v>
      </c>
      <c r="AA686">
        <v>15</v>
      </c>
      <c r="AB686" t="s">
        <v>159</v>
      </c>
      <c r="AC686" s="24">
        <v>6570.77</v>
      </c>
      <c r="AD686" t="s">
        <v>160</v>
      </c>
      <c r="AE686" s="24">
        <v>98561.55</v>
      </c>
      <c r="AF686">
        <v>0</v>
      </c>
      <c r="AG686" s="24">
        <v>98561.55</v>
      </c>
      <c r="AH686">
        <v>0</v>
      </c>
      <c r="AI686">
        <v>0</v>
      </c>
      <c r="AJ686">
        <v>0</v>
      </c>
      <c r="AK686">
        <v>0</v>
      </c>
      <c r="AL686" s="24">
        <v>98561.55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s="24">
        <v>98561.55</v>
      </c>
      <c r="AV686">
        <v>0</v>
      </c>
      <c r="AW686">
        <v>0</v>
      </c>
      <c r="AX686">
        <v>311000</v>
      </c>
      <c r="AY686" t="s">
        <v>161</v>
      </c>
      <c r="AZ686">
        <v>49.75</v>
      </c>
      <c r="BA686">
        <v>49.75</v>
      </c>
      <c r="BB686">
        <v>0</v>
      </c>
      <c r="BC686" t="s">
        <v>227</v>
      </c>
      <c r="BD686">
        <v>1509</v>
      </c>
      <c r="BE686" t="s">
        <v>169</v>
      </c>
      <c r="BF686" t="s">
        <v>163</v>
      </c>
      <c r="BG686" t="s">
        <v>164</v>
      </c>
    </row>
    <row r="687" spans="1:59">
      <c r="A687">
        <v>1115</v>
      </c>
      <c r="B687">
        <v>1115</v>
      </c>
      <c r="C687">
        <v>10</v>
      </c>
      <c r="D687">
        <v>2</v>
      </c>
      <c r="E687" t="s">
        <v>152</v>
      </c>
      <c r="F687" t="s">
        <v>153</v>
      </c>
      <c r="G687" t="s">
        <v>154</v>
      </c>
      <c r="H687">
        <v>1526006367</v>
      </c>
      <c r="I687">
        <v>1000006640</v>
      </c>
      <c r="L687" t="s">
        <v>335</v>
      </c>
      <c r="M687">
        <v>5100001666</v>
      </c>
      <c r="N687" t="s">
        <v>155</v>
      </c>
      <c r="O687" t="s">
        <v>156</v>
      </c>
      <c r="P687">
        <v>4110027035</v>
      </c>
      <c r="Q687" t="s">
        <v>225</v>
      </c>
      <c r="R687">
        <v>5000</v>
      </c>
      <c r="S687" t="s">
        <v>166</v>
      </c>
      <c r="V687" t="s">
        <v>167</v>
      </c>
      <c r="W687">
        <v>1502020105</v>
      </c>
      <c r="X687" t="s">
        <v>226</v>
      </c>
      <c r="Y687" t="str">
        <f>VLOOKUP(W687,Sheet4!$A$5:$B$71,2,0)</f>
        <v>RE STYLING</v>
      </c>
      <c r="Z687">
        <v>87082900</v>
      </c>
      <c r="AA687">
        <v>15</v>
      </c>
      <c r="AB687" t="s">
        <v>159</v>
      </c>
      <c r="AC687" s="24">
        <v>6570.77</v>
      </c>
      <c r="AD687" t="s">
        <v>160</v>
      </c>
      <c r="AE687" s="24">
        <v>98561.55</v>
      </c>
      <c r="AF687">
        <v>0</v>
      </c>
      <c r="AG687" s="24">
        <v>98561.55</v>
      </c>
      <c r="AH687">
        <v>0</v>
      </c>
      <c r="AI687">
        <v>0</v>
      </c>
      <c r="AJ687">
        <v>0</v>
      </c>
      <c r="AK687">
        <v>0</v>
      </c>
      <c r="AL687" s="24">
        <v>98561.55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s="24">
        <v>98561.55</v>
      </c>
      <c r="AV687">
        <v>0</v>
      </c>
      <c r="AW687">
        <v>0</v>
      </c>
      <c r="AX687">
        <v>311000</v>
      </c>
      <c r="AY687" t="s">
        <v>161</v>
      </c>
      <c r="AZ687">
        <v>49.75</v>
      </c>
      <c r="BA687">
        <v>49.75</v>
      </c>
      <c r="BB687">
        <v>0</v>
      </c>
      <c r="BC687" t="s">
        <v>227</v>
      </c>
      <c r="BD687">
        <v>1509</v>
      </c>
      <c r="BE687" t="s">
        <v>169</v>
      </c>
      <c r="BF687" t="s">
        <v>163</v>
      </c>
      <c r="BG687" t="s">
        <v>164</v>
      </c>
    </row>
    <row r="688" spans="1:59">
      <c r="A688">
        <v>1115</v>
      </c>
      <c r="B688">
        <v>1115</v>
      </c>
      <c r="C688">
        <v>10</v>
      </c>
      <c r="D688">
        <v>2</v>
      </c>
      <c r="E688" t="s">
        <v>152</v>
      </c>
      <c r="F688" t="s">
        <v>153</v>
      </c>
      <c r="G688" t="s">
        <v>154</v>
      </c>
      <c r="H688">
        <v>1526006366</v>
      </c>
      <c r="I688">
        <v>1000006639</v>
      </c>
      <c r="L688" t="s">
        <v>335</v>
      </c>
      <c r="M688">
        <v>5100001928</v>
      </c>
      <c r="N688" t="s">
        <v>155</v>
      </c>
      <c r="O688" t="s">
        <v>156</v>
      </c>
      <c r="P688">
        <v>4110057393</v>
      </c>
      <c r="Q688" t="s">
        <v>192</v>
      </c>
      <c r="R688">
        <v>5000</v>
      </c>
      <c r="S688" t="s">
        <v>166</v>
      </c>
      <c r="V688" t="s">
        <v>167</v>
      </c>
      <c r="W688">
        <v>1502020122</v>
      </c>
      <c r="X688" t="s">
        <v>70</v>
      </c>
      <c r="Y688" t="str">
        <f>VLOOKUP(W688,Sheet4!$A$5:$B$71,2,0)</f>
        <v>MAX UG NEW EV</v>
      </c>
      <c r="Z688">
        <v>87082900</v>
      </c>
      <c r="AA688">
        <v>10</v>
      </c>
      <c r="AB688" t="s">
        <v>159</v>
      </c>
      <c r="AC688" s="24">
        <v>9566.51</v>
      </c>
      <c r="AD688" t="s">
        <v>160</v>
      </c>
      <c r="AE688" s="24">
        <v>95665.1</v>
      </c>
      <c r="AF688">
        <v>0</v>
      </c>
      <c r="AG688" s="24">
        <v>95665.1</v>
      </c>
      <c r="AH688">
        <v>0</v>
      </c>
      <c r="AI688">
        <v>0</v>
      </c>
      <c r="AJ688">
        <v>0</v>
      </c>
      <c r="AK688">
        <v>0</v>
      </c>
      <c r="AL688" s="24">
        <v>95665.1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s="24">
        <v>95665.1</v>
      </c>
      <c r="AV688">
        <v>0</v>
      </c>
      <c r="AW688">
        <v>0</v>
      </c>
      <c r="AX688">
        <v>311000</v>
      </c>
      <c r="AY688" t="s">
        <v>161</v>
      </c>
      <c r="AZ688">
        <v>0</v>
      </c>
      <c r="BA688">
        <v>61</v>
      </c>
      <c r="BB688">
        <v>-61</v>
      </c>
      <c r="BC688" t="s">
        <v>193</v>
      </c>
      <c r="BD688">
        <v>1509</v>
      </c>
      <c r="BE688" t="s">
        <v>169</v>
      </c>
      <c r="BF688" t="s">
        <v>163</v>
      </c>
      <c r="BG688" t="s">
        <v>164</v>
      </c>
    </row>
    <row r="689" spans="1:59">
      <c r="A689">
        <v>1115</v>
      </c>
      <c r="B689">
        <v>1115</v>
      </c>
      <c r="C689">
        <v>10</v>
      </c>
      <c r="D689">
        <v>2</v>
      </c>
      <c r="E689" t="s">
        <v>152</v>
      </c>
      <c r="F689" t="s">
        <v>153</v>
      </c>
      <c r="G689" t="s">
        <v>154</v>
      </c>
      <c r="H689">
        <v>1526006365</v>
      </c>
      <c r="I689">
        <v>1000006638</v>
      </c>
      <c r="L689" t="s">
        <v>335</v>
      </c>
      <c r="M689">
        <v>5100001928</v>
      </c>
      <c r="N689" t="s">
        <v>155</v>
      </c>
      <c r="O689" t="s">
        <v>156</v>
      </c>
      <c r="P689">
        <v>4110057393</v>
      </c>
      <c r="Q689" t="s">
        <v>192</v>
      </c>
      <c r="R689">
        <v>5000</v>
      </c>
      <c r="S689" t="s">
        <v>166</v>
      </c>
      <c r="V689" t="s">
        <v>167</v>
      </c>
      <c r="W689">
        <v>1502020122</v>
      </c>
      <c r="X689" t="s">
        <v>70</v>
      </c>
      <c r="Y689" t="str">
        <f>VLOOKUP(W689,Sheet4!$A$5:$B$71,2,0)</f>
        <v>MAX UG NEW EV</v>
      </c>
      <c r="Z689">
        <v>87082900</v>
      </c>
      <c r="AA689">
        <v>10</v>
      </c>
      <c r="AB689" t="s">
        <v>159</v>
      </c>
      <c r="AC689" s="24">
        <v>9566.51</v>
      </c>
      <c r="AD689" t="s">
        <v>160</v>
      </c>
      <c r="AE689" s="24">
        <v>95665.1</v>
      </c>
      <c r="AF689">
        <v>0</v>
      </c>
      <c r="AG689" s="24">
        <v>95665.1</v>
      </c>
      <c r="AH689">
        <v>0</v>
      </c>
      <c r="AI689">
        <v>0</v>
      </c>
      <c r="AJ689">
        <v>0</v>
      </c>
      <c r="AK689">
        <v>0</v>
      </c>
      <c r="AL689" s="24">
        <v>95665.1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 s="24">
        <v>95665.1</v>
      </c>
      <c r="AV689">
        <v>0</v>
      </c>
      <c r="AW689">
        <v>0</v>
      </c>
      <c r="AX689">
        <v>311000</v>
      </c>
      <c r="AY689" t="s">
        <v>161</v>
      </c>
      <c r="AZ689">
        <v>0</v>
      </c>
      <c r="BA689">
        <v>61</v>
      </c>
      <c r="BB689">
        <v>-61</v>
      </c>
      <c r="BC689" t="s">
        <v>193</v>
      </c>
      <c r="BD689">
        <v>1509</v>
      </c>
      <c r="BE689" t="s">
        <v>169</v>
      </c>
      <c r="BF689" t="s">
        <v>163</v>
      </c>
      <c r="BG689" t="s">
        <v>164</v>
      </c>
    </row>
    <row r="690" spans="1:59">
      <c r="A690">
        <v>1115</v>
      </c>
      <c r="B690">
        <v>1115</v>
      </c>
      <c r="C690">
        <v>10</v>
      </c>
      <c r="D690">
        <v>2</v>
      </c>
      <c r="E690" t="s">
        <v>152</v>
      </c>
      <c r="F690" t="s">
        <v>153</v>
      </c>
      <c r="G690" t="s">
        <v>154</v>
      </c>
      <c r="H690">
        <v>1526006364</v>
      </c>
      <c r="I690">
        <v>1000006637</v>
      </c>
      <c r="L690" t="s">
        <v>335</v>
      </c>
      <c r="M690">
        <v>5100001928</v>
      </c>
      <c r="N690" t="s">
        <v>155</v>
      </c>
      <c r="O690" t="s">
        <v>156</v>
      </c>
      <c r="P690">
        <v>4110057393</v>
      </c>
      <c r="Q690" t="s">
        <v>192</v>
      </c>
      <c r="R690">
        <v>5000</v>
      </c>
      <c r="S690" t="s">
        <v>166</v>
      </c>
      <c r="V690" t="s">
        <v>167</v>
      </c>
      <c r="W690">
        <v>1502020122</v>
      </c>
      <c r="X690" t="s">
        <v>70</v>
      </c>
      <c r="Y690" t="str">
        <f>VLOOKUP(W690,Sheet4!$A$5:$B$71,2,0)</f>
        <v>MAX UG NEW EV</v>
      </c>
      <c r="Z690">
        <v>87082900</v>
      </c>
      <c r="AA690">
        <v>10</v>
      </c>
      <c r="AB690" t="s">
        <v>159</v>
      </c>
      <c r="AC690" s="24">
        <v>9566.51</v>
      </c>
      <c r="AD690" t="s">
        <v>160</v>
      </c>
      <c r="AE690" s="24">
        <v>95665.1</v>
      </c>
      <c r="AF690">
        <v>0</v>
      </c>
      <c r="AG690" s="24">
        <v>95665.1</v>
      </c>
      <c r="AH690">
        <v>0</v>
      </c>
      <c r="AI690">
        <v>0</v>
      </c>
      <c r="AJ690">
        <v>0</v>
      </c>
      <c r="AK690">
        <v>0</v>
      </c>
      <c r="AL690" s="24">
        <v>95665.1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 s="24">
        <v>95665.1</v>
      </c>
      <c r="AV690">
        <v>0</v>
      </c>
      <c r="AW690">
        <v>0</v>
      </c>
      <c r="AX690">
        <v>311000</v>
      </c>
      <c r="AY690" t="s">
        <v>161</v>
      </c>
      <c r="AZ690">
        <v>0</v>
      </c>
      <c r="BA690">
        <v>61</v>
      </c>
      <c r="BB690">
        <v>-61</v>
      </c>
      <c r="BC690" t="s">
        <v>193</v>
      </c>
      <c r="BD690">
        <v>1509</v>
      </c>
      <c r="BE690" t="s">
        <v>169</v>
      </c>
      <c r="BF690" t="s">
        <v>163</v>
      </c>
      <c r="BG690" t="s">
        <v>164</v>
      </c>
    </row>
    <row r="691" spans="1:59">
      <c r="A691">
        <v>1115</v>
      </c>
      <c r="B691">
        <v>1115</v>
      </c>
      <c r="C691">
        <v>10</v>
      </c>
      <c r="D691">
        <v>2</v>
      </c>
      <c r="E691" t="s">
        <v>152</v>
      </c>
      <c r="F691" t="s">
        <v>153</v>
      </c>
      <c r="G691" t="s">
        <v>154</v>
      </c>
      <c r="H691">
        <v>1526006363</v>
      </c>
      <c r="I691">
        <v>1000006636</v>
      </c>
      <c r="L691" t="s">
        <v>335</v>
      </c>
      <c r="M691">
        <v>5100001928</v>
      </c>
      <c r="N691" t="s">
        <v>155</v>
      </c>
      <c r="O691" t="s">
        <v>156</v>
      </c>
      <c r="P691">
        <v>4110057393</v>
      </c>
      <c r="Q691" t="s">
        <v>192</v>
      </c>
      <c r="R691">
        <v>5000</v>
      </c>
      <c r="S691" t="s">
        <v>166</v>
      </c>
      <c r="V691" t="s">
        <v>167</v>
      </c>
      <c r="W691">
        <v>1502020122</v>
      </c>
      <c r="X691" t="s">
        <v>70</v>
      </c>
      <c r="Y691" t="str">
        <f>VLOOKUP(W691,Sheet4!$A$5:$B$71,2,0)</f>
        <v>MAX UG NEW EV</v>
      </c>
      <c r="Z691">
        <v>87082900</v>
      </c>
      <c r="AA691">
        <v>10</v>
      </c>
      <c r="AB691" t="s">
        <v>159</v>
      </c>
      <c r="AC691" s="24">
        <v>9566.51</v>
      </c>
      <c r="AD691" t="s">
        <v>160</v>
      </c>
      <c r="AE691" s="24">
        <v>95665.1</v>
      </c>
      <c r="AF691">
        <v>0</v>
      </c>
      <c r="AG691" s="24">
        <v>95665.1</v>
      </c>
      <c r="AH691">
        <v>0</v>
      </c>
      <c r="AI691">
        <v>0</v>
      </c>
      <c r="AJ691">
        <v>0</v>
      </c>
      <c r="AK691">
        <v>0</v>
      </c>
      <c r="AL691" s="24">
        <v>95665.1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 s="24">
        <v>95665.1</v>
      </c>
      <c r="AV691">
        <v>0</v>
      </c>
      <c r="AW691">
        <v>0</v>
      </c>
      <c r="AX691">
        <v>311000</v>
      </c>
      <c r="AY691" t="s">
        <v>161</v>
      </c>
      <c r="AZ691">
        <v>0</v>
      </c>
      <c r="BA691">
        <v>61</v>
      </c>
      <c r="BB691">
        <v>-61</v>
      </c>
      <c r="BC691" t="s">
        <v>193</v>
      </c>
      <c r="BD691">
        <v>1509</v>
      </c>
      <c r="BE691" t="s">
        <v>169</v>
      </c>
      <c r="BF691" t="s">
        <v>163</v>
      </c>
      <c r="BG691" t="s">
        <v>164</v>
      </c>
    </row>
    <row r="692" spans="1:59">
      <c r="A692">
        <v>1115</v>
      </c>
      <c r="B692">
        <v>1115</v>
      </c>
      <c r="C692">
        <v>10</v>
      </c>
      <c r="D692">
        <v>2</v>
      </c>
      <c r="E692" t="s">
        <v>152</v>
      </c>
      <c r="F692" t="s">
        <v>153</v>
      </c>
      <c r="G692" t="s">
        <v>154</v>
      </c>
      <c r="H692">
        <v>1526006362</v>
      </c>
      <c r="I692">
        <v>1000006635</v>
      </c>
      <c r="L692" t="s">
        <v>335</v>
      </c>
      <c r="M692">
        <v>5100001946</v>
      </c>
      <c r="N692" t="s">
        <v>155</v>
      </c>
      <c r="O692" t="s">
        <v>156</v>
      </c>
      <c r="P692">
        <v>4110063010</v>
      </c>
      <c r="Q692" t="s">
        <v>345</v>
      </c>
      <c r="R692">
        <v>5000</v>
      </c>
      <c r="S692" t="s">
        <v>166</v>
      </c>
      <c r="V692" t="s">
        <v>167</v>
      </c>
      <c r="W692">
        <v>1502040308</v>
      </c>
      <c r="X692" t="s">
        <v>346</v>
      </c>
      <c r="Y692" t="str">
        <f>VLOOKUP(W692,Sheet4!$A$5:$B$71,2,0)</f>
        <v>FRONT MUDGAURD</v>
      </c>
      <c r="Z692">
        <v>87082900</v>
      </c>
      <c r="AA692">
        <v>59</v>
      </c>
      <c r="AB692" t="s">
        <v>159</v>
      </c>
      <c r="AC692">
        <v>427.17</v>
      </c>
      <c r="AD692" t="s">
        <v>160</v>
      </c>
      <c r="AE692" s="24">
        <v>25203.03</v>
      </c>
      <c r="AF692">
        <v>0</v>
      </c>
      <c r="AG692" s="24">
        <v>25203.03</v>
      </c>
      <c r="AH692">
        <v>0</v>
      </c>
      <c r="AI692">
        <v>0</v>
      </c>
      <c r="AJ692">
        <v>0</v>
      </c>
      <c r="AK692">
        <v>0</v>
      </c>
      <c r="AL692" s="24">
        <v>25203.03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 s="24">
        <v>25203.03</v>
      </c>
      <c r="AV692">
        <v>0</v>
      </c>
      <c r="AW692">
        <v>0</v>
      </c>
      <c r="AX692">
        <v>311000</v>
      </c>
      <c r="AY692" t="s">
        <v>161</v>
      </c>
      <c r="AZ692">
        <v>2.504</v>
      </c>
      <c r="BA692">
        <v>2.5</v>
      </c>
      <c r="BB692">
        <v>4.0000000000000001E-3</v>
      </c>
      <c r="BC692" t="s">
        <v>347</v>
      </c>
      <c r="BD692">
        <v>1511</v>
      </c>
      <c r="BE692" t="s">
        <v>174</v>
      </c>
      <c r="BF692" t="s">
        <v>163</v>
      </c>
      <c r="BG692" t="s">
        <v>164</v>
      </c>
    </row>
    <row r="693" spans="1:59">
      <c r="A693">
        <v>1115</v>
      </c>
      <c r="B693">
        <v>1115</v>
      </c>
      <c r="C693">
        <v>10</v>
      </c>
      <c r="D693">
        <v>2</v>
      </c>
      <c r="E693" t="s">
        <v>152</v>
      </c>
      <c r="F693" t="s">
        <v>153</v>
      </c>
      <c r="G693" t="s">
        <v>154</v>
      </c>
      <c r="H693">
        <v>1526006361</v>
      </c>
      <c r="I693">
        <v>1000006634</v>
      </c>
      <c r="L693" t="s">
        <v>335</v>
      </c>
      <c r="M693">
        <v>5100001939</v>
      </c>
      <c r="N693" t="s">
        <v>155</v>
      </c>
      <c r="O693" t="s">
        <v>156</v>
      </c>
      <c r="P693">
        <v>4110059608</v>
      </c>
      <c r="Q693" t="s">
        <v>240</v>
      </c>
      <c r="R693">
        <v>5000</v>
      </c>
      <c r="S693" t="s">
        <v>166</v>
      </c>
      <c r="V693" t="s">
        <v>167</v>
      </c>
      <c r="W693">
        <v>1502020129</v>
      </c>
      <c r="X693" t="s">
        <v>241</v>
      </c>
      <c r="Y693" t="str">
        <f>VLOOKUP(W693,Sheet4!$A$5:$B$71,2,0)</f>
        <v>RE STYLING</v>
      </c>
      <c r="Z693">
        <v>87082900</v>
      </c>
      <c r="AA693">
        <v>15</v>
      </c>
      <c r="AB693" t="s">
        <v>159</v>
      </c>
      <c r="AC693" s="24">
        <v>6500.18</v>
      </c>
      <c r="AD693" t="s">
        <v>160</v>
      </c>
      <c r="AE693" s="24">
        <v>97502.7</v>
      </c>
      <c r="AF693">
        <v>0</v>
      </c>
      <c r="AG693" s="24">
        <v>97502.7</v>
      </c>
      <c r="AH693">
        <v>0</v>
      </c>
      <c r="AI693">
        <v>0</v>
      </c>
      <c r="AJ693">
        <v>0</v>
      </c>
      <c r="AK693">
        <v>0</v>
      </c>
      <c r="AL693" s="24">
        <v>97502.7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s="24">
        <v>97502.7</v>
      </c>
      <c r="AV693">
        <v>0</v>
      </c>
      <c r="AW693">
        <v>0</v>
      </c>
      <c r="AX693">
        <v>311000</v>
      </c>
      <c r="AY693" t="s">
        <v>161</v>
      </c>
      <c r="AZ693">
        <v>0</v>
      </c>
      <c r="BA693">
        <v>0</v>
      </c>
      <c r="BB693">
        <v>0</v>
      </c>
      <c r="BC693" t="s">
        <v>242</v>
      </c>
      <c r="BD693">
        <v>1509</v>
      </c>
      <c r="BE693" t="s">
        <v>169</v>
      </c>
      <c r="BF693" t="s">
        <v>163</v>
      </c>
      <c r="BG693" t="s">
        <v>164</v>
      </c>
    </row>
    <row r="694" spans="1:59">
      <c r="A694">
        <v>1115</v>
      </c>
      <c r="B694">
        <v>1115</v>
      </c>
      <c r="C694">
        <v>10</v>
      </c>
      <c r="D694">
        <v>2</v>
      </c>
      <c r="E694" t="s">
        <v>152</v>
      </c>
      <c r="F694" t="s">
        <v>153</v>
      </c>
      <c r="G694" t="s">
        <v>154</v>
      </c>
      <c r="H694">
        <v>1526006360</v>
      </c>
      <c r="I694">
        <v>1000006633</v>
      </c>
      <c r="L694" t="s">
        <v>335</v>
      </c>
      <c r="M694">
        <v>5100001939</v>
      </c>
      <c r="N694" t="s">
        <v>155</v>
      </c>
      <c r="O694" t="s">
        <v>156</v>
      </c>
      <c r="P694">
        <v>4110059608</v>
      </c>
      <c r="Q694" t="s">
        <v>240</v>
      </c>
      <c r="R694">
        <v>5000</v>
      </c>
      <c r="S694" t="s">
        <v>166</v>
      </c>
      <c r="V694" t="s">
        <v>167</v>
      </c>
      <c r="W694">
        <v>1502020129</v>
      </c>
      <c r="X694" t="s">
        <v>241</v>
      </c>
      <c r="Y694" t="str">
        <f>VLOOKUP(W694,Sheet4!$A$5:$B$71,2,0)</f>
        <v>RE STYLING</v>
      </c>
      <c r="Z694">
        <v>87082900</v>
      </c>
      <c r="AA694">
        <v>15</v>
      </c>
      <c r="AB694" t="s">
        <v>159</v>
      </c>
      <c r="AC694" s="24">
        <v>6500.18</v>
      </c>
      <c r="AD694" t="s">
        <v>160</v>
      </c>
      <c r="AE694" s="24">
        <v>97502.7</v>
      </c>
      <c r="AF694">
        <v>0</v>
      </c>
      <c r="AG694" s="24">
        <v>97502.7</v>
      </c>
      <c r="AH694">
        <v>0</v>
      </c>
      <c r="AI694">
        <v>0</v>
      </c>
      <c r="AJ694">
        <v>0</v>
      </c>
      <c r="AK694">
        <v>0</v>
      </c>
      <c r="AL694" s="24">
        <v>97502.7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s="24">
        <v>97502.7</v>
      </c>
      <c r="AV694">
        <v>0</v>
      </c>
      <c r="AW694">
        <v>0</v>
      </c>
      <c r="AX694">
        <v>311000</v>
      </c>
      <c r="AY694" t="s">
        <v>161</v>
      </c>
      <c r="AZ694">
        <v>0</v>
      </c>
      <c r="BA694">
        <v>0</v>
      </c>
      <c r="BB694">
        <v>0</v>
      </c>
      <c r="BC694" t="s">
        <v>242</v>
      </c>
      <c r="BD694">
        <v>1509</v>
      </c>
      <c r="BE694" t="s">
        <v>169</v>
      </c>
      <c r="BF694" t="s">
        <v>163</v>
      </c>
      <c r="BG694" t="s">
        <v>164</v>
      </c>
    </row>
    <row r="695" spans="1:59">
      <c r="A695">
        <v>1115</v>
      </c>
      <c r="B695">
        <v>1115</v>
      </c>
      <c r="C695">
        <v>10</v>
      </c>
      <c r="D695">
        <v>2</v>
      </c>
      <c r="E695" t="s">
        <v>152</v>
      </c>
      <c r="F695" t="s">
        <v>153</v>
      </c>
      <c r="G695" t="s">
        <v>154</v>
      </c>
      <c r="H695">
        <v>1526006359</v>
      </c>
      <c r="I695">
        <v>1000006632</v>
      </c>
      <c r="L695" t="s">
        <v>335</v>
      </c>
      <c r="M695">
        <v>5100001939</v>
      </c>
      <c r="N695" t="s">
        <v>155</v>
      </c>
      <c r="O695" t="s">
        <v>156</v>
      </c>
      <c r="P695">
        <v>4110059608</v>
      </c>
      <c r="Q695" t="s">
        <v>240</v>
      </c>
      <c r="R695">
        <v>5000</v>
      </c>
      <c r="S695" t="s">
        <v>166</v>
      </c>
      <c r="V695" t="s">
        <v>167</v>
      </c>
      <c r="W695">
        <v>1502020129</v>
      </c>
      <c r="X695" t="s">
        <v>241</v>
      </c>
      <c r="Y695" t="str">
        <f>VLOOKUP(W695,Sheet4!$A$5:$B$71,2,0)</f>
        <v>RE STYLING</v>
      </c>
      <c r="Z695">
        <v>87082900</v>
      </c>
      <c r="AA695">
        <v>15</v>
      </c>
      <c r="AB695" t="s">
        <v>159</v>
      </c>
      <c r="AC695" s="24">
        <v>6500.18</v>
      </c>
      <c r="AD695" t="s">
        <v>160</v>
      </c>
      <c r="AE695" s="24">
        <v>97502.7</v>
      </c>
      <c r="AF695">
        <v>0</v>
      </c>
      <c r="AG695" s="24">
        <v>97502.7</v>
      </c>
      <c r="AH695">
        <v>0</v>
      </c>
      <c r="AI695">
        <v>0</v>
      </c>
      <c r="AJ695">
        <v>0</v>
      </c>
      <c r="AK695">
        <v>0</v>
      </c>
      <c r="AL695" s="24">
        <v>97502.7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s="24">
        <v>97502.7</v>
      </c>
      <c r="AV695">
        <v>0</v>
      </c>
      <c r="AW695">
        <v>0</v>
      </c>
      <c r="AX695">
        <v>311000</v>
      </c>
      <c r="AY695" t="s">
        <v>161</v>
      </c>
      <c r="AZ695">
        <v>0</v>
      </c>
      <c r="BA695">
        <v>0</v>
      </c>
      <c r="BB695">
        <v>0</v>
      </c>
      <c r="BC695" t="s">
        <v>242</v>
      </c>
      <c r="BD695">
        <v>1509</v>
      </c>
      <c r="BE695" t="s">
        <v>169</v>
      </c>
      <c r="BF695" t="s">
        <v>163</v>
      </c>
      <c r="BG695" t="s">
        <v>164</v>
      </c>
    </row>
    <row r="696" spans="1:59">
      <c r="A696">
        <v>1115</v>
      </c>
      <c r="B696">
        <v>1115</v>
      </c>
      <c r="C696">
        <v>10</v>
      </c>
      <c r="D696">
        <v>2</v>
      </c>
      <c r="E696" t="s">
        <v>152</v>
      </c>
      <c r="F696" t="s">
        <v>153</v>
      </c>
      <c r="G696" t="s">
        <v>154</v>
      </c>
      <c r="H696">
        <v>1526006358</v>
      </c>
      <c r="I696">
        <v>1000006631</v>
      </c>
      <c r="L696" t="s">
        <v>335</v>
      </c>
      <c r="M696">
        <v>5100001939</v>
      </c>
      <c r="N696" t="s">
        <v>155</v>
      </c>
      <c r="O696" t="s">
        <v>156</v>
      </c>
      <c r="P696">
        <v>4110059608</v>
      </c>
      <c r="Q696" t="s">
        <v>240</v>
      </c>
      <c r="R696">
        <v>5000</v>
      </c>
      <c r="S696" t="s">
        <v>166</v>
      </c>
      <c r="V696" t="s">
        <v>167</v>
      </c>
      <c r="W696">
        <v>1502020129</v>
      </c>
      <c r="X696" t="s">
        <v>241</v>
      </c>
      <c r="Y696" t="str">
        <f>VLOOKUP(W696,Sheet4!$A$5:$B$71,2,0)</f>
        <v>RE STYLING</v>
      </c>
      <c r="Z696">
        <v>87082900</v>
      </c>
      <c r="AA696">
        <v>15</v>
      </c>
      <c r="AB696" t="s">
        <v>159</v>
      </c>
      <c r="AC696" s="24">
        <v>6500.18</v>
      </c>
      <c r="AD696" t="s">
        <v>160</v>
      </c>
      <c r="AE696" s="24">
        <v>97502.7</v>
      </c>
      <c r="AF696">
        <v>0</v>
      </c>
      <c r="AG696" s="24">
        <v>97502.7</v>
      </c>
      <c r="AH696">
        <v>0</v>
      </c>
      <c r="AI696">
        <v>0</v>
      </c>
      <c r="AJ696">
        <v>0</v>
      </c>
      <c r="AK696">
        <v>0</v>
      </c>
      <c r="AL696" s="24">
        <v>97502.7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s="24">
        <v>97502.7</v>
      </c>
      <c r="AV696">
        <v>0</v>
      </c>
      <c r="AW696">
        <v>0</v>
      </c>
      <c r="AX696">
        <v>311000</v>
      </c>
      <c r="AY696" t="s">
        <v>161</v>
      </c>
      <c r="AZ696">
        <v>0</v>
      </c>
      <c r="BA696">
        <v>0</v>
      </c>
      <c r="BB696">
        <v>0</v>
      </c>
      <c r="BC696" t="s">
        <v>242</v>
      </c>
      <c r="BD696">
        <v>1509</v>
      </c>
      <c r="BE696" t="s">
        <v>169</v>
      </c>
      <c r="BF696" t="s">
        <v>163</v>
      </c>
      <c r="BG696" t="s">
        <v>164</v>
      </c>
    </row>
    <row r="697" spans="1:59">
      <c r="A697">
        <v>1115</v>
      </c>
      <c r="B697">
        <v>1115</v>
      </c>
      <c r="C697">
        <v>10</v>
      </c>
      <c r="D697">
        <v>2</v>
      </c>
      <c r="E697" t="s">
        <v>152</v>
      </c>
      <c r="F697" t="s">
        <v>153</v>
      </c>
      <c r="G697" t="s">
        <v>154</v>
      </c>
      <c r="H697">
        <v>1526006357</v>
      </c>
      <c r="I697">
        <v>1000006630</v>
      </c>
      <c r="L697" t="s">
        <v>335</v>
      </c>
      <c r="M697">
        <v>5100001603</v>
      </c>
      <c r="N697" t="s">
        <v>155</v>
      </c>
      <c r="O697" t="s">
        <v>156</v>
      </c>
      <c r="P697">
        <v>4110025468</v>
      </c>
      <c r="Q697" t="s">
        <v>165</v>
      </c>
      <c r="R697">
        <v>5000</v>
      </c>
      <c r="S697" t="s">
        <v>166</v>
      </c>
      <c r="V697" t="s">
        <v>167</v>
      </c>
      <c r="W697">
        <v>1502020102</v>
      </c>
      <c r="X697" t="s">
        <v>58</v>
      </c>
      <c r="Y697" t="str">
        <f>VLOOKUP(W697,Sheet4!$A$5:$B$71,2,0)</f>
        <v>MAXIMA HD</v>
      </c>
      <c r="Z697">
        <v>87082900</v>
      </c>
      <c r="AA697">
        <v>8</v>
      </c>
      <c r="AB697" t="s">
        <v>159</v>
      </c>
      <c r="AC697" s="24">
        <v>8593.51</v>
      </c>
      <c r="AD697" t="s">
        <v>160</v>
      </c>
      <c r="AE697" s="24">
        <v>68748.08</v>
      </c>
      <c r="AF697">
        <v>0</v>
      </c>
      <c r="AG697" s="24">
        <v>68748.08</v>
      </c>
      <c r="AH697">
        <v>0</v>
      </c>
      <c r="AI697">
        <v>0</v>
      </c>
      <c r="AJ697">
        <v>0</v>
      </c>
      <c r="AK697">
        <v>0</v>
      </c>
      <c r="AL697" s="24">
        <v>68748.08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s="24">
        <v>68748.08</v>
      </c>
      <c r="AV697">
        <v>0</v>
      </c>
      <c r="AW697">
        <v>0</v>
      </c>
      <c r="AX697">
        <v>311000</v>
      </c>
      <c r="AY697" t="s">
        <v>161</v>
      </c>
      <c r="AZ697">
        <v>93.34</v>
      </c>
      <c r="BA697">
        <v>75.430000000000007</v>
      </c>
      <c r="BB697">
        <v>17.91</v>
      </c>
      <c r="BC697" t="s">
        <v>168</v>
      </c>
      <c r="BD697">
        <v>1509</v>
      </c>
      <c r="BE697" t="s">
        <v>169</v>
      </c>
      <c r="BF697" t="s">
        <v>163</v>
      </c>
      <c r="BG697" t="s">
        <v>164</v>
      </c>
    </row>
    <row r="698" spans="1:59">
      <c r="A698">
        <v>1115</v>
      </c>
      <c r="B698">
        <v>1115</v>
      </c>
      <c r="C698">
        <v>10</v>
      </c>
      <c r="D698">
        <v>2</v>
      </c>
      <c r="E698" t="s">
        <v>152</v>
      </c>
      <c r="F698" t="s">
        <v>153</v>
      </c>
      <c r="G698" t="s">
        <v>154</v>
      </c>
      <c r="H698">
        <v>1526006356</v>
      </c>
      <c r="I698">
        <v>1000006629</v>
      </c>
      <c r="L698" t="s">
        <v>335</v>
      </c>
      <c r="M698">
        <v>5100001603</v>
      </c>
      <c r="N698" t="s">
        <v>155</v>
      </c>
      <c r="O698" t="s">
        <v>156</v>
      </c>
      <c r="P698">
        <v>4110025468</v>
      </c>
      <c r="Q698" t="s">
        <v>165</v>
      </c>
      <c r="R698">
        <v>5000</v>
      </c>
      <c r="S698" t="s">
        <v>166</v>
      </c>
      <c r="V698" t="s">
        <v>167</v>
      </c>
      <c r="W698">
        <v>1502020102</v>
      </c>
      <c r="X698" t="s">
        <v>58</v>
      </c>
      <c r="Y698" t="str">
        <f>VLOOKUP(W698,Sheet4!$A$5:$B$71,2,0)</f>
        <v>MAXIMA HD</v>
      </c>
      <c r="Z698">
        <v>87082900</v>
      </c>
      <c r="AA698">
        <v>8</v>
      </c>
      <c r="AB698" t="s">
        <v>159</v>
      </c>
      <c r="AC698" s="24">
        <v>8593.51</v>
      </c>
      <c r="AD698" t="s">
        <v>160</v>
      </c>
      <c r="AE698" s="24">
        <v>68748.08</v>
      </c>
      <c r="AF698">
        <v>0</v>
      </c>
      <c r="AG698" s="24">
        <v>68748.08</v>
      </c>
      <c r="AH698">
        <v>0</v>
      </c>
      <c r="AI698">
        <v>0</v>
      </c>
      <c r="AJ698">
        <v>0</v>
      </c>
      <c r="AK698">
        <v>0</v>
      </c>
      <c r="AL698" s="24">
        <v>68748.08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 s="24">
        <v>68748.08</v>
      </c>
      <c r="AV698">
        <v>0</v>
      </c>
      <c r="AW698">
        <v>0</v>
      </c>
      <c r="AX698">
        <v>311000</v>
      </c>
      <c r="AY698" t="s">
        <v>161</v>
      </c>
      <c r="AZ698">
        <v>93.34</v>
      </c>
      <c r="BA698">
        <v>75.430000000000007</v>
      </c>
      <c r="BB698">
        <v>17.91</v>
      </c>
      <c r="BC698" t="s">
        <v>168</v>
      </c>
      <c r="BD698">
        <v>1509</v>
      </c>
      <c r="BE698" t="s">
        <v>169</v>
      </c>
      <c r="BF698" t="s">
        <v>163</v>
      </c>
      <c r="BG698" t="s">
        <v>164</v>
      </c>
    </row>
    <row r="699" spans="1:59">
      <c r="A699">
        <v>1115</v>
      </c>
      <c r="B699">
        <v>1115</v>
      </c>
      <c r="C699">
        <v>10</v>
      </c>
      <c r="D699">
        <v>2</v>
      </c>
      <c r="E699" t="s">
        <v>152</v>
      </c>
      <c r="F699" t="s">
        <v>153</v>
      </c>
      <c r="G699" t="s">
        <v>154</v>
      </c>
      <c r="H699">
        <v>1526006355</v>
      </c>
      <c r="I699">
        <v>1000006628</v>
      </c>
      <c r="L699" t="s">
        <v>335</v>
      </c>
      <c r="M699">
        <v>5100001603</v>
      </c>
      <c r="N699" t="s">
        <v>155</v>
      </c>
      <c r="O699" t="s">
        <v>156</v>
      </c>
      <c r="P699">
        <v>4110025468</v>
      </c>
      <c r="Q699" t="s">
        <v>165</v>
      </c>
      <c r="R699">
        <v>5000</v>
      </c>
      <c r="S699" t="s">
        <v>166</v>
      </c>
      <c r="V699" t="s">
        <v>167</v>
      </c>
      <c r="W699">
        <v>1502020102</v>
      </c>
      <c r="X699" t="s">
        <v>58</v>
      </c>
      <c r="Y699" t="str">
        <f>VLOOKUP(W699,Sheet4!$A$5:$B$71,2,0)</f>
        <v>MAXIMA HD</v>
      </c>
      <c r="Z699">
        <v>87082900</v>
      </c>
      <c r="AA699">
        <v>8</v>
      </c>
      <c r="AB699" t="s">
        <v>159</v>
      </c>
      <c r="AC699" s="24">
        <v>8593.51</v>
      </c>
      <c r="AD699" t="s">
        <v>160</v>
      </c>
      <c r="AE699" s="24">
        <v>68748.08</v>
      </c>
      <c r="AF699">
        <v>0</v>
      </c>
      <c r="AG699" s="24">
        <v>68748.08</v>
      </c>
      <c r="AH699">
        <v>0</v>
      </c>
      <c r="AI699">
        <v>0</v>
      </c>
      <c r="AJ699">
        <v>0</v>
      </c>
      <c r="AK699">
        <v>0</v>
      </c>
      <c r="AL699" s="24">
        <v>68748.08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 s="24">
        <v>68748.08</v>
      </c>
      <c r="AV699">
        <v>0</v>
      </c>
      <c r="AW699">
        <v>0</v>
      </c>
      <c r="AX699">
        <v>311000</v>
      </c>
      <c r="AY699" t="s">
        <v>161</v>
      </c>
      <c r="AZ699">
        <v>93.34</v>
      </c>
      <c r="BA699">
        <v>75.430000000000007</v>
      </c>
      <c r="BB699">
        <v>17.91</v>
      </c>
      <c r="BC699" t="s">
        <v>168</v>
      </c>
      <c r="BD699">
        <v>1509</v>
      </c>
      <c r="BE699" t="s">
        <v>169</v>
      </c>
      <c r="BF699" t="s">
        <v>163</v>
      </c>
      <c r="BG699" t="s">
        <v>164</v>
      </c>
    </row>
    <row r="700" spans="1:59">
      <c r="A700">
        <v>1115</v>
      </c>
      <c r="B700">
        <v>1115</v>
      </c>
      <c r="C700">
        <v>10</v>
      </c>
      <c r="D700">
        <v>2</v>
      </c>
      <c r="E700" t="s">
        <v>152</v>
      </c>
      <c r="F700" t="s">
        <v>153</v>
      </c>
      <c r="G700" t="s">
        <v>154</v>
      </c>
      <c r="H700">
        <v>1526006354</v>
      </c>
      <c r="I700">
        <v>1000006627</v>
      </c>
      <c r="L700" t="s">
        <v>335</v>
      </c>
      <c r="M700">
        <v>5100001603</v>
      </c>
      <c r="N700" t="s">
        <v>155</v>
      </c>
      <c r="O700" t="s">
        <v>156</v>
      </c>
      <c r="P700">
        <v>4110025468</v>
      </c>
      <c r="Q700" t="s">
        <v>165</v>
      </c>
      <c r="R700">
        <v>5000</v>
      </c>
      <c r="S700" t="s">
        <v>166</v>
      </c>
      <c r="V700" t="s">
        <v>167</v>
      </c>
      <c r="W700">
        <v>1502020102</v>
      </c>
      <c r="X700" t="s">
        <v>58</v>
      </c>
      <c r="Y700" t="str">
        <f>VLOOKUP(W700,Sheet4!$A$5:$B$71,2,0)</f>
        <v>MAXIMA HD</v>
      </c>
      <c r="Z700">
        <v>87082900</v>
      </c>
      <c r="AA700">
        <v>8</v>
      </c>
      <c r="AB700" t="s">
        <v>159</v>
      </c>
      <c r="AC700" s="24">
        <v>8593.51</v>
      </c>
      <c r="AD700" t="s">
        <v>160</v>
      </c>
      <c r="AE700" s="24">
        <v>68748.08</v>
      </c>
      <c r="AF700">
        <v>0</v>
      </c>
      <c r="AG700" s="24">
        <v>68748.08</v>
      </c>
      <c r="AH700">
        <v>0</v>
      </c>
      <c r="AI700">
        <v>0</v>
      </c>
      <c r="AJ700">
        <v>0</v>
      </c>
      <c r="AK700">
        <v>0</v>
      </c>
      <c r="AL700" s="24">
        <v>68748.08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 s="24">
        <v>68748.08</v>
      </c>
      <c r="AV700">
        <v>0</v>
      </c>
      <c r="AW700">
        <v>0</v>
      </c>
      <c r="AX700">
        <v>311000</v>
      </c>
      <c r="AY700" t="s">
        <v>161</v>
      </c>
      <c r="AZ700">
        <v>93.34</v>
      </c>
      <c r="BA700">
        <v>75.430000000000007</v>
      </c>
      <c r="BB700">
        <v>17.91</v>
      </c>
      <c r="BC700" t="s">
        <v>168</v>
      </c>
      <c r="BD700">
        <v>1509</v>
      </c>
      <c r="BE700" t="s">
        <v>169</v>
      </c>
      <c r="BF700" t="s">
        <v>163</v>
      </c>
      <c r="BG700" t="s">
        <v>164</v>
      </c>
    </row>
    <row r="701" spans="1:59">
      <c r="A701">
        <v>1115</v>
      </c>
      <c r="B701">
        <v>1115</v>
      </c>
      <c r="C701">
        <v>10</v>
      </c>
      <c r="D701">
        <v>2</v>
      </c>
      <c r="E701" t="s">
        <v>152</v>
      </c>
      <c r="F701" t="s">
        <v>153</v>
      </c>
      <c r="G701" t="s">
        <v>154</v>
      </c>
      <c r="H701">
        <v>1526006353</v>
      </c>
      <c r="I701">
        <v>1000006626</v>
      </c>
      <c r="L701" t="s">
        <v>335</v>
      </c>
      <c r="M701">
        <v>5100001939</v>
      </c>
      <c r="N701" t="s">
        <v>155</v>
      </c>
      <c r="O701" t="s">
        <v>156</v>
      </c>
      <c r="P701">
        <v>4110059608</v>
      </c>
      <c r="Q701" t="s">
        <v>240</v>
      </c>
      <c r="R701">
        <v>5000</v>
      </c>
      <c r="S701" t="s">
        <v>166</v>
      </c>
      <c r="V701" t="s">
        <v>167</v>
      </c>
      <c r="W701">
        <v>1502020129</v>
      </c>
      <c r="X701" t="s">
        <v>241</v>
      </c>
      <c r="Y701" t="str">
        <f>VLOOKUP(W701,Sheet4!$A$5:$B$71,2,0)</f>
        <v>RE STYLING</v>
      </c>
      <c r="Z701">
        <v>87082900</v>
      </c>
      <c r="AA701">
        <v>15</v>
      </c>
      <c r="AB701" t="s">
        <v>159</v>
      </c>
      <c r="AC701" s="24">
        <v>6500.18</v>
      </c>
      <c r="AD701" t="s">
        <v>160</v>
      </c>
      <c r="AE701" s="24">
        <v>97502.7</v>
      </c>
      <c r="AF701">
        <v>0</v>
      </c>
      <c r="AG701" s="24">
        <v>97502.7</v>
      </c>
      <c r="AH701">
        <v>0</v>
      </c>
      <c r="AI701">
        <v>0</v>
      </c>
      <c r="AJ701">
        <v>0</v>
      </c>
      <c r="AK701">
        <v>0</v>
      </c>
      <c r="AL701" s="24">
        <v>97502.7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 s="24">
        <v>97502.7</v>
      </c>
      <c r="AV701">
        <v>0</v>
      </c>
      <c r="AW701">
        <v>0</v>
      </c>
      <c r="AX701">
        <v>311000</v>
      </c>
      <c r="AY701" t="s">
        <v>161</v>
      </c>
      <c r="AZ701">
        <v>0</v>
      </c>
      <c r="BA701">
        <v>0</v>
      </c>
      <c r="BB701">
        <v>0</v>
      </c>
      <c r="BC701" t="s">
        <v>242</v>
      </c>
      <c r="BD701">
        <v>1509</v>
      </c>
      <c r="BE701" t="s">
        <v>169</v>
      </c>
      <c r="BF701" t="s">
        <v>163</v>
      </c>
      <c r="BG701" t="s">
        <v>164</v>
      </c>
    </row>
    <row r="702" spans="1:59">
      <c r="A702">
        <v>1115</v>
      </c>
      <c r="B702">
        <v>1115</v>
      </c>
      <c r="C702">
        <v>10</v>
      </c>
      <c r="D702">
        <v>2</v>
      </c>
      <c r="E702" t="s">
        <v>152</v>
      </c>
      <c r="F702" t="s">
        <v>153</v>
      </c>
      <c r="G702" t="s">
        <v>154</v>
      </c>
      <c r="H702">
        <v>1526006352</v>
      </c>
      <c r="I702">
        <v>1000006625</v>
      </c>
      <c r="L702" t="s">
        <v>335</v>
      </c>
      <c r="M702">
        <v>5100001939</v>
      </c>
      <c r="N702" t="s">
        <v>155</v>
      </c>
      <c r="O702" t="s">
        <v>156</v>
      </c>
      <c r="P702">
        <v>4110059608</v>
      </c>
      <c r="Q702" t="s">
        <v>240</v>
      </c>
      <c r="R702">
        <v>5000</v>
      </c>
      <c r="S702" t="s">
        <v>166</v>
      </c>
      <c r="V702" t="s">
        <v>167</v>
      </c>
      <c r="W702">
        <v>1502020129</v>
      </c>
      <c r="X702" t="s">
        <v>241</v>
      </c>
      <c r="Y702" t="str">
        <f>VLOOKUP(W702,Sheet4!$A$5:$B$71,2,0)</f>
        <v>RE STYLING</v>
      </c>
      <c r="Z702">
        <v>87082900</v>
      </c>
      <c r="AA702">
        <v>15</v>
      </c>
      <c r="AB702" t="s">
        <v>159</v>
      </c>
      <c r="AC702" s="24">
        <v>6500.18</v>
      </c>
      <c r="AD702" t="s">
        <v>160</v>
      </c>
      <c r="AE702" s="24">
        <v>97502.7</v>
      </c>
      <c r="AF702">
        <v>0</v>
      </c>
      <c r="AG702" s="24">
        <v>97502.7</v>
      </c>
      <c r="AH702">
        <v>0</v>
      </c>
      <c r="AI702">
        <v>0</v>
      </c>
      <c r="AJ702">
        <v>0</v>
      </c>
      <c r="AK702">
        <v>0</v>
      </c>
      <c r="AL702" s="24">
        <v>97502.7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s="24">
        <v>97502.7</v>
      </c>
      <c r="AV702">
        <v>0</v>
      </c>
      <c r="AW702">
        <v>0</v>
      </c>
      <c r="AX702">
        <v>311000</v>
      </c>
      <c r="AY702" t="s">
        <v>161</v>
      </c>
      <c r="AZ702">
        <v>0</v>
      </c>
      <c r="BA702">
        <v>0</v>
      </c>
      <c r="BB702">
        <v>0</v>
      </c>
      <c r="BC702" t="s">
        <v>242</v>
      </c>
      <c r="BD702">
        <v>1509</v>
      </c>
      <c r="BE702" t="s">
        <v>169</v>
      </c>
      <c r="BF702" t="s">
        <v>163</v>
      </c>
      <c r="BG702" t="s">
        <v>164</v>
      </c>
    </row>
    <row r="703" spans="1:59">
      <c r="A703">
        <v>1115</v>
      </c>
      <c r="B703">
        <v>1115</v>
      </c>
      <c r="C703">
        <v>10</v>
      </c>
      <c r="D703">
        <v>2</v>
      </c>
      <c r="E703" t="s">
        <v>152</v>
      </c>
      <c r="F703" t="s">
        <v>153</v>
      </c>
      <c r="G703" t="s">
        <v>154</v>
      </c>
      <c r="H703">
        <v>1526006351</v>
      </c>
      <c r="I703">
        <v>1000006624</v>
      </c>
      <c r="L703" t="s">
        <v>335</v>
      </c>
      <c r="M703">
        <v>5100001928</v>
      </c>
      <c r="N703" t="s">
        <v>155</v>
      </c>
      <c r="O703" t="s">
        <v>156</v>
      </c>
      <c r="P703">
        <v>4110057393</v>
      </c>
      <c r="Q703" t="s">
        <v>192</v>
      </c>
      <c r="R703">
        <v>5000</v>
      </c>
      <c r="S703" t="s">
        <v>166</v>
      </c>
      <c r="V703" t="s">
        <v>167</v>
      </c>
      <c r="W703">
        <v>1502020122</v>
      </c>
      <c r="X703" t="s">
        <v>70</v>
      </c>
      <c r="Y703" t="str">
        <f>VLOOKUP(W703,Sheet4!$A$5:$B$71,2,0)</f>
        <v>MAX UG NEW EV</v>
      </c>
      <c r="Z703">
        <v>87082900</v>
      </c>
      <c r="AA703">
        <v>10</v>
      </c>
      <c r="AB703" t="s">
        <v>159</v>
      </c>
      <c r="AC703" s="24">
        <v>9566.51</v>
      </c>
      <c r="AD703" t="s">
        <v>160</v>
      </c>
      <c r="AE703" s="24">
        <v>95665.1</v>
      </c>
      <c r="AF703">
        <v>0</v>
      </c>
      <c r="AG703" s="24">
        <v>95665.1</v>
      </c>
      <c r="AH703">
        <v>0</v>
      </c>
      <c r="AI703">
        <v>0</v>
      </c>
      <c r="AJ703">
        <v>0</v>
      </c>
      <c r="AK703">
        <v>0</v>
      </c>
      <c r="AL703" s="24">
        <v>95665.1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s="24">
        <v>95665.1</v>
      </c>
      <c r="AV703">
        <v>0</v>
      </c>
      <c r="AW703">
        <v>0</v>
      </c>
      <c r="AX703">
        <v>311000</v>
      </c>
      <c r="AY703" t="s">
        <v>161</v>
      </c>
      <c r="AZ703">
        <v>0</v>
      </c>
      <c r="BA703">
        <v>61</v>
      </c>
      <c r="BB703">
        <v>-61</v>
      </c>
      <c r="BC703" t="s">
        <v>193</v>
      </c>
      <c r="BD703">
        <v>1509</v>
      </c>
      <c r="BE703" t="s">
        <v>169</v>
      </c>
      <c r="BF703" t="s">
        <v>163</v>
      </c>
      <c r="BG703" t="s">
        <v>164</v>
      </c>
    </row>
    <row r="704" spans="1:59">
      <c r="A704">
        <v>1115</v>
      </c>
      <c r="B704">
        <v>1115</v>
      </c>
      <c r="C704">
        <v>10</v>
      </c>
      <c r="D704">
        <v>2</v>
      </c>
      <c r="E704" t="s">
        <v>152</v>
      </c>
      <c r="F704" t="s">
        <v>153</v>
      </c>
      <c r="G704" t="s">
        <v>154</v>
      </c>
      <c r="H704">
        <v>1526006350</v>
      </c>
      <c r="I704">
        <v>1000006623</v>
      </c>
      <c r="L704" t="s">
        <v>335</v>
      </c>
      <c r="M704">
        <v>5100001928</v>
      </c>
      <c r="N704" t="s">
        <v>155</v>
      </c>
      <c r="O704" t="s">
        <v>156</v>
      </c>
      <c r="P704">
        <v>4110057393</v>
      </c>
      <c r="Q704" t="s">
        <v>192</v>
      </c>
      <c r="R704">
        <v>5000</v>
      </c>
      <c r="S704" t="s">
        <v>166</v>
      </c>
      <c r="V704" t="s">
        <v>167</v>
      </c>
      <c r="W704">
        <v>1502020122</v>
      </c>
      <c r="X704" t="s">
        <v>70</v>
      </c>
      <c r="Y704" t="str">
        <f>VLOOKUP(W704,Sheet4!$A$5:$B$71,2,0)</f>
        <v>MAX UG NEW EV</v>
      </c>
      <c r="Z704">
        <v>87082900</v>
      </c>
      <c r="AA704">
        <v>10</v>
      </c>
      <c r="AB704" t="s">
        <v>159</v>
      </c>
      <c r="AC704" s="24">
        <v>9566.51</v>
      </c>
      <c r="AD704" t="s">
        <v>160</v>
      </c>
      <c r="AE704" s="24">
        <v>95665.1</v>
      </c>
      <c r="AF704">
        <v>0</v>
      </c>
      <c r="AG704" s="24">
        <v>95665.1</v>
      </c>
      <c r="AH704">
        <v>0</v>
      </c>
      <c r="AI704">
        <v>0</v>
      </c>
      <c r="AJ704">
        <v>0</v>
      </c>
      <c r="AK704">
        <v>0</v>
      </c>
      <c r="AL704" s="24">
        <v>95665.1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 s="24">
        <v>95665.1</v>
      </c>
      <c r="AV704">
        <v>0</v>
      </c>
      <c r="AW704">
        <v>0</v>
      </c>
      <c r="AX704">
        <v>311000</v>
      </c>
      <c r="AY704" t="s">
        <v>161</v>
      </c>
      <c r="AZ704">
        <v>0</v>
      </c>
      <c r="BA704">
        <v>61</v>
      </c>
      <c r="BB704">
        <v>-61</v>
      </c>
      <c r="BC704" t="s">
        <v>193</v>
      </c>
      <c r="BD704">
        <v>1509</v>
      </c>
      <c r="BE704" t="s">
        <v>169</v>
      </c>
      <c r="BF704" t="s">
        <v>163</v>
      </c>
      <c r="BG704" t="s">
        <v>164</v>
      </c>
    </row>
    <row r="705" spans="1:59">
      <c r="A705">
        <v>1115</v>
      </c>
      <c r="B705">
        <v>1115</v>
      </c>
      <c r="C705">
        <v>10</v>
      </c>
      <c r="D705">
        <v>2</v>
      </c>
      <c r="E705" t="s">
        <v>152</v>
      </c>
      <c r="F705" t="s">
        <v>153</v>
      </c>
      <c r="G705" t="s">
        <v>154</v>
      </c>
      <c r="H705">
        <v>1526006349</v>
      </c>
      <c r="I705">
        <v>1000006622</v>
      </c>
      <c r="L705" t="s">
        <v>335</v>
      </c>
      <c r="M705">
        <v>5100001928</v>
      </c>
      <c r="N705" t="s">
        <v>155</v>
      </c>
      <c r="O705" t="s">
        <v>156</v>
      </c>
      <c r="P705">
        <v>4110057393</v>
      </c>
      <c r="Q705" t="s">
        <v>192</v>
      </c>
      <c r="R705">
        <v>5000</v>
      </c>
      <c r="S705" t="s">
        <v>166</v>
      </c>
      <c r="V705" t="s">
        <v>167</v>
      </c>
      <c r="W705">
        <v>1502020122</v>
      </c>
      <c r="X705" t="s">
        <v>70</v>
      </c>
      <c r="Y705" t="str">
        <f>VLOOKUP(W705,Sheet4!$A$5:$B$71,2,0)</f>
        <v>MAX UG NEW EV</v>
      </c>
      <c r="Z705">
        <v>87082900</v>
      </c>
      <c r="AA705">
        <v>10</v>
      </c>
      <c r="AB705" t="s">
        <v>159</v>
      </c>
      <c r="AC705" s="24">
        <v>9566.51</v>
      </c>
      <c r="AD705" t="s">
        <v>160</v>
      </c>
      <c r="AE705" s="24">
        <v>95665.1</v>
      </c>
      <c r="AF705">
        <v>0</v>
      </c>
      <c r="AG705" s="24">
        <v>95665.1</v>
      </c>
      <c r="AH705">
        <v>0</v>
      </c>
      <c r="AI705">
        <v>0</v>
      </c>
      <c r="AJ705">
        <v>0</v>
      </c>
      <c r="AK705">
        <v>0</v>
      </c>
      <c r="AL705" s="24">
        <v>95665.1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 s="24">
        <v>95665.1</v>
      </c>
      <c r="AV705">
        <v>0</v>
      </c>
      <c r="AW705">
        <v>0</v>
      </c>
      <c r="AX705">
        <v>311000</v>
      </c>
      <c r="AY705" t="s">
        <v>161</v>
      </c>
      <c r="AZ705">
        <v>0</v>
      </c>
      <c r="BA705">
        <v>61</v>
      </c>
      <c r="BB705">
        <v>-61</v>
      </c>
      <c r="BC705" t="s">
        <v>193</v>
      </c>
      <c r="BD705">
        <v>1509</v>
      </c>
      <c r="BE705" t="s">
        <v>169</v>
      </c>
      <c r="BF705" t="s">
        <v>163</v>
      </c>
      <c r="BG705" t="s">
        <v>164</v>
      </c>
    </row>
    <row r="706" spans="1:59">
      <c r="A706">
        <v>1115</v>
      </c>
      <c r="B706">
        <v>1115</v>
      </c>
      <c r="C706">
        <v>10</v>
      </c>
      <c r="D706">
        <v>2</v>
      </c>
      <c r="E706" t="s">
        <v>152</v>
      </c>
      <c r="F706" t="s">
        <v>153</v>
      </c>
      <c r="G706" t="s">
        <v>154</v>
      </c>
      <c r="H706">
        <v>1526006348</v>
      </c>
      <c r="I706">
        <v>1000006621</v>
      </c>
      <c r="L706" t="s">
        <v>335</v>
      </c>
      <c r="M706">
        <v>5100001928</v>
      </c>
      <c r="N706" t="s">
        <v>155</v>
      </c>
      <c r="O706" t="s">
        <v>156</v>
      </c>
      <c r="P706">
        <v>4110057393</v>
      </c>
      <c r="Q706" t="s">
        <v>192</v>
      </c>
      <c r="R706">
        <v>5000</v>
      </c>
      <c r="S706" t="s">
        <v>166</v>
      </c>
      <c r="V706" t="s">
        <v>167</v>
      </c>
      <c r="W706">
        <v>1502020122</v>
      </c>
      <c r="X706" t="s">
        <v>70</v>
      </c>
      <c r="Y706" t="str">
        <f>VLOOKUP(W706,Sheet4!$A$5:$B$71,2,0)</f>
        <v>MAX UG NEW EV</v>
      </c>
      <c r="Z706">
        <v>87082900</v>
      </c>
      <c r="AA706">
        <v>10</v>
      </c>
      <c r="AB706" t="s">
        <v>159</v>
      </c>
      <c r="AC706" s="24">
        <v>9566.51</v>
      </c>
      <c r="AD706" t="s">
        <v>160</v>
      </c>
      <c r="AE706" s="24">
        <v>95665.1</v>
      </c>
      <c r="AF706">
        <v>0</v>
      </c>
      <c r="AG706" s="24">
        <v>95665.1</v>
      </c>
      <c r="AH706">
        <v>0</v>
      </c>
      <c r="AI706">
        <v>0</v>
      </c>
      <c r="AJ706">
        <v>0</v>
      </c>
      <c r="AK706">
        <v>0</v>
      </c>
      <c r="AL706" s="24">
        <v>95665.1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s="24">
        <v>95665.1</v>
      </c>
      <c r="AV706">
        <v>0</v>
      </c>
      <c r="AW706">
        <v>0</v>
      </c>
      <c r="AX706">
        <v>311000</v>
      </c>
      <c r="AY706" t="s">
        <v>161</v>
      </c>
      <c r="AZ706">
        <v>0</v>
      </c>
      <c r="BA706">
        <v>61</v>
      </c>
      <c r="BB706">
        <v>-61</v>
      </c>
      <c r="BC706" t="s">
        <v>193</v>
      </c>
      <c r="BD706">
        <v>1509</v>
      </c>
      <c r="BE706" t="s">
        <v>169</v>
      </c>
      <c r="BF706" t="s">
        <v>163</v>
      </c>
      <c r="BG706" t="s">
        <v>164</v>
      </c>
    </row>
    <row r="707" spans="1:59">
      <c r="A707">
        <v>1115</v>
      </c>
      <c r="B707">
        <v>1115</v>
      </c>
      <c r="C707">
        <v>10</v>
      </c>
      <c r="D707">
        <v>2</v>
      </c>
      <c r="E707" t="s">
        <v>152</v>
      </c>
      <c r="F707" t="s">
        <v>153</v>
      </c>
      <c r="G707" t="s">
        <v>154</v>
      </c>
      <c r="H707">
        <v>1526006347</v>
      </c>
      <c r="I707">
        <v>1000006620</v>
      </c>
      <c r="L707" t="s">
        <v>335</v>
      </c>
      <c r="M707">
        <v>5100001636</v>
      </c>
      <c r="N707" t="s">
        <v>155</v>
      </c>
      <c r="O707" t="s">
        <v>156</v>
      </c>
      <c r="P707">
        <v>4110026445</v>
      </c>
      <c r="Q707" t="s">
        <v>170</v>
      </c>
      <c r="R707">
        <v>5000</v>
      </c>
      <c r="S707" t="s">
        <v>166</v>
      </c>
      <c r="V707" t="s">
        <v>167</v>
      </c>
      <c r="W707">
        <v>1502020104</v>
      </c>
      <c r="X707" t="s">
        <v>26</v>
      </c>
      <c r="Y707" t="str">
        <f>VLOOKUP(W707,Sheet4!$A$5:$B$71,2,0)</f>
        <v>RE STYLING</v>
      </c>
      <c r="Z707">
        <v>87082900</v>
      </c>
      <c r="AA707">
        <v>15</v>
      </c>
      <c r="AB707" t="s">
        <v>159</v>
      </c>
      <c r="AC707" s="24">
        <v>6585.55</v>
      </c>
      <c r="AD707" t="s">
        <v>160</v>
      </c>
      <c r="AE707" s="24">
        <v>98783.25</v>
      </c>
      <c r="AF707">
        <v>0</v>
      </c>
      <c r="AG707" s="24">
        <v>98783.25</v>
      </c>
      <c r="AH707">
        <v>0</v>
      </c>
      <c r="AI707">
        <v>0</v>
      </c>
      <c r="AJ707">
        <v>0</v>
      </c>
      <c r="AK707">
        <v>0</v>
      </c>
      <c r="AL707" s="24">
        <v>98783.25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 s="24">
        <v>98783.25</v>
      </c>
      <c r="AV707">
        <v>0</v>
      </c>
      <c r="AW707">
        <v>0</v>
      </c>
      <c r="AX707">
        <v>311000</v>
      </c>
      <c r="AY707" t="s">
        <v>161</v>
      </c>
      <c r="AZ707">
        <v>49.75</v>
      </c>
      <c r="BA707">
        <v>49.75</v>
      </c>
      <c r="BB707">
        <v>0</v>
      </c>
      <c r="BC707" t="s">
        <v>171</v>
      </c>
      <c r="BD707">
        <v>1509</v>
      </c>
      <c r="BE707" t="s">
        <v>169</v>
      </c>
      <c r="BF707" t="s">
        <v>163</v>
      </c>
      <c r="BG707" t="s">
        <v>164</v>
      </c>
    </row>
    <row r="708" spans="1:59">
      <c r="A708">
        <v>1115</v>
      </c>
      <c r="B708">
        <v>1115</v>
      </c>
      <c r="C708">
        <v>10</v>
      </c>
      <c r="D708">
        <v>2</v>
      </c>
      <c r="E708" t="s">
        <v>152</v>
      </c>
      <c r="F708" t="s">
        <v>153</v>
      </c>
      <c r="G708" t="s">
        <v>154</v>
      </c>
      <c r="H708">
        <v>1526006346</v>
      </c>
      <c r="I708">
        <v>1000006619</v>
      </c>
      <c r="L708" t="s">
        <v>335</v>
      </c>
      <c r="M708">
        <v>5100001636</v>
      </c>
      <c r="N708" t="s">
        <v>155</v>
      </c>
      <c r="O708" t="s">
        <v>156</v>
      </c>
      <c r="P708">
        <v>4110026445</v>
      </c>
      <c r="Q708" t="s">
        <v>170</v>
      </c>
      <c r="R708">
        <v>5000</v>
      </c>
      <c r="S708" t="s">
        <v>166</v>
      </c>
      <c r="V708" t="s">
        <v>167</v>
      </c>
      <c r="W708">
        <v>1502020104</v>
      </c>
      <c r="X708" t="s">
        <v>26</v>
      </c>
      <c r="Y708" t="str">
        <f>VLOOKUP(W708,Sheet4!$A$5:$B$71,2,0)</f>
        <v>RE STYLING</v>
      </c>
      <c r="Z708">
        <v>87082900</v>
      </c>
      <c r="AA708">
        <v>15</v>
      </c>
      <c r="AB708" t="s">
        <v>159</v>
      </c>
      <c r="AC708" s="24">
        <v>6585.55</v>
      </c>
      <c r="AD708" t="s">
        <v>160</v>
      </c>
      <c r="AE708" s="24">
        <v>98783.25</v>
      </c>
      <c r="AF708">
        <v>0</v>
      </c>
      <c r="AG708" s="24">
        <v>98783.25</v>
      </c>
      <c r="AH708">
        <v>0</v>
      </c>
      <c r="AI708">
        <v>0</v>
      </c>
      <c r="AJ708">
        <v>0</v>
      </c>
      <c r="AK708">
        <v>0</v>
      </c>
      <c r="AL708" s="24">
        <v>98783.25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s="24">
        <v>98783.25</v>
      </c>
      <c r="AV708">
        <v>0</v>
      </c>
      <c r="AW708">
        <v>0</v>
      </c>
      <c r="AX708">
        <v>311000</v>
      </c>
      <c r="AY708" t="s">
        <v>161</v>
      </c>
      <c r="AZ708">
        <v>49.75</v>
      </c>
      <c r="BA708">
        <v>49.75</v>
      </c>
      <c r="BB708">
        <v>0</v>
      </c>
      <c r="BC708" t="s">
        <v>171</v>
      </c>
      <c r="BD708">
        <v>1509</v>
      </c>
      <c r="BE708" t="s">
        <v>169</v>
      </c>
      <c r="BF708" t="s">
        <v>163</v>
      </c>
      <c r="BG708" t="s">
        <v>164</v>
      </c>
    </row>
    <row r="709" spans="1:59">
      <c r="A709">
        <v>1115</v>
      </c>
      <c r="B709">
        <v>1115</v>
      </c>
      <c r="C709">
        <v>10</v>
      </c>
      <c r="D709">
        <v>2</v>
      </c>
      <c r="E709" t="s">
        <v>152</v>
      </c>
      <c r="F709" t="s">
        <v>153</v>
      </c>
      <c r="G709" t="s">
        <v>154</v>
      </c>
      <c r="H709">
        <v>1526006345</v>
      </c>
      <c r="I709">
        <v>1000006618</v>
      </c>
      <c r="L709" t="s">
        <v>335</v>
      </c>
      <c r="M709">
        <v>5100001636</v>
      </c>
      <c r="N709" t="s">
        <v>155</v>
      </c>
      <c r="O709" t="s">
        <v>156</v>
      </c>
      <c r="P709">
        <v>4110026445</v>
      </c>
      <c r="Q709" t="s">
        <v>170</v>
      </c>
      <c r="R709">
        <v>5000</v>
      </c>
      <c r="S709" t="s">
        <v>166</v>
      </c>
      <c r="V709" t="s">
        <v>167</v>
      </c>
      <c r="W709">
        <v>1502020104</v>
      </c>
      <c r="X709" t="s">
        <v>26</v>
      </c>
      <c r="Y709" t="str">
        <f>VLOOKUP(W709,Sheet4!$A$5:$B$71,2,0)</f>
        <v>RE STYLING</v>
      </c>
      <c r="Z709">
        <v>87082900</v>
      </c>
      <c r="AA709">
        <v>15</v>
      </c>
      <c r="AB709" t="s">
        <v>159</v>
      </c>
      <c r="AC709" s="24">
        <v>6585.55</v>
      </c>
      <c r="AD709" t="s">
        <v>160</v>
      </c>
      <c r="AE709" s="24">
        <v>98783.25</v>
      </c>
      <c r="AF709">
        <v>0</v>
      </c>
      <c r="AG709" s="24">
        <v>98783.25</v>
      </c>
      <c r="AH709">
        <v>0</v>
      </c>
      <c r="AI709">
        <v>0</v>
      </c>
      <c r="AJ709">
        <v>0</v>
      </c>
      <c r="AK709">
        <v>0</v>
      </c>
      <c r="AL709" s="24">
        <v>98783.25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 s="24">
        <v>98783.25</v>
      </c>
      <c r="AV709">
        <v>0</v>
      </c>
      <c r="AW709">
        <v>0</v>
      </c>
      <c r="AX709">
        <v>311000</v>
      </c>
      <c r="AY709" t="s">
        <v>161</v>
      </c>
      <c r="AZ709">
        <v>49.75</v>
      </c>
      <c r="BA709">
        <v>49.75</v>
      </c>
      <c r="BB709">
        <v>0</v>
      </c>
      <c r="BC709" t="s">
        <v>171</v>
      </c>
      <c r="BD709">
        <v>1509</v>
      </c>
      <c r="BE709" t="s">
        <v>169</v>
      </c>
      <c r="BF709" t="s">
        <v>163</v>
      </c>
      <c r="BG709" t="s">
        <v>164</v>
      </c>
    </row>
    <row r="710" spans="1:59">
      <c r="A710">
        <v>1115</v>
      </c>
      <c r="B710">
        <v>1115</v>
      </c>
      <c r="C710">
        <v>10</v>
      </c>
      <c r="D710">
        <v>6</v>
      </c>
      <c r="E710" t="s">
        <v>340</v>
      </c>
      <c r="F710" t="s">
        <v>153</v>
      </c>
      <c r="G710" t="s">
        <v>154</v>
      </c>
      <c r="H710">
        <v>1526006344</v>
      </c>
      <c r="I710">
        <v>1000006617</v>
      </c>
      <c r="L710" t="s">
        <v>335</v>
      </c>
      <c r="M710">
        <v>5900001676</v>
      </c>
      <c r="N710" t="s">
        <v>341</v>
      </c>
      <c r="O710" t="s">
        <v>342</v>
      </c>
      <c r="P710">
        <v>5500001142</v>
      </c>
      <c r="Q710" t="s">
        <v>343</v>
      </c>
      <c r="R710">
        <v>5356</v>
      </c>
      <c r="S710" t="s">
        <v>158</v>
      </c>
      <c r="W710">
        <v>1104012289</v>
      </c>
      <c r="X710" t="s">
        <v>344</v>
      </c>
      <c r="Y710" t="s">
        <v>339</v>
      </c>
      <c r="Z710">
        <v>87141090</v>
      </c>
      <c r="AA710">
        <v>100</v>
      </c>
      <c r="AB710" t="s">
        <v>159</v>
      </c>
      <c r="AC710">
        <v>35.22</v>
      </c>
      <c r="AD710" t="s">
        <v>160</v>
      </c>
      <c r="AE710" s="24">
        <v>3522</v>
      </c>
      <c r="AF710">
        <v>0</v>
      </c>
      <c r="AG710" s="24">
        <v>3522</v>
      </c>
      <c r="AH710">
        <v>0</v>
      </c>
      <c r="AI710">
        <v>0</v>
      </c>
      <c r="AJ710">
        <v>0</v>
      </c>
      <c r="AK710">
        <v>0</v>
      </c>
      <c r="AL710" s="24">
        <v>3522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 s="24">
        <v>3522</v>
      </c>
      <c r="AV710">
        <v>0</v>
      </c>
      <c r="AW710">
        <v>0</v>
      </c>
      <c r="AX710">
        <v>311003</v>
      </c>
      <c r="AY710" t="s">
        <v>322</v>
      </c>
      <c r="AZ710">
        <v>0.436</v>
      </c>
      <c r="BA710">
        <v>0.25900000000000001</v>
      </c>
      <c r="BB710">
        <v>0.17699999999999999</v>
      </c>
      <c r="BC710">
        <v>2000000542</v>
      </c>
      <c r="BD710">
        <v>1123</v>
      </c>
      <c r="BE710" t="s">
        <v>323</v>
      </c>
      <c r="BF710" t="s">
        <v>163</v>
      </c>
      <c r="BG710" t="s">
        <v>164</v>
      </c>
    </row>
    <row r="711" spans="1:59">
      <c r="A711">
        <v>1115</v>
      </c>
      <c r="B711">
        <v>1115</v>
      </c>
      <c r="C711">
        <v>10</v>
      </c>
      <c r="D711">
        <v>2</v>
      </c>
      <c r="E711" t="s">
        <v>152</v>
      </c>
      <c r="F711" t="s">
        <v>153</v>
      </c>
      <c r="G711" t="s">
        <v>154</v>
      </c>
      <c r="H711">
        <v>1526006343</v>
      </c>
      <c r="I711">
        <v>1000006616</v>
      </c>
      <c r="L711" t="s">
        <v>335</v>
      </c>
      <c r="M711">
        <v>5100001939</v>
      </c>
      <c r="N711" t="s">
        <v>155</v>
      </c>
      <c r="O711" t="s">
        <v>156</v>
      </c>
      <c r="P711">
        <v>4110059608</v>
      </c>
      <c r="Q711" t="s">
        <v>240</v>
      </c>
      <c r="R711">
        <v>5000</v>
      </c>
      <c r="S711" t="s">
        <v>166</v>
      </c>
      <c r="V711" t="s">
        <v>167</v>
      </c>
      <c r="W711">
        <v>1502020129</v>
      </c>
      <c r="X711" t="s">
        <v>241</v>
      </c>
      <c r="Y711" t="str">
        <f>VLOOKUP(W711,Sheet4!$A$5:$B$71,2,0)</f>
        <v>RE STYLING</v>
      </c>
      <c r="Z711">
        <v>87082900</v>
      </c>
      <c r="AA711">
        <v>15</v>
      </c>
      <c r="AB711" t="s">
        <v>159</v>
      </c>
      <c r="AC711" s="24">
        <v>6500.18</v>
      </c>
      <c r="AD711" t="s">
        <v>160</v>
      </c>
      <c r="AE711" s="24">
        <v>97502.7</v>
      </c>
      <c r="AF711">
        <v>0</v>
      </c>
      <c r="AG711" s="24">
        <v>97502.7</v>
      </c>
      <c r="AH711">
        <v>0</v>
      </c>
      <c r="AI711">
        <v>0</v>
      </c>
      <c r="AJ711">
        <v>0</v>
      </c>
      <c r="AK711">
        <v>0</v>
      </c>
      <c r="AL711" s="24">
        <v>97502.7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 s="24">
        <v>97502.7</v>
      </c>
      <c r="AV711">
        <v>0</v>
      </c>
      <c r="AW711">
        <v>0</v>
      </c>
      <c r="AX711">
        <v>311000</v>
      </c>
      <c r="AY711" t="s">
        <v>161</v>
      </c>
      <c r="AZ711">
        <v>0</v>
      </c>
      <c r="BA711">
        <v>0</v>
      </c>
      <c r="BB711">
        <v>0</v>
      </c>
      <c r="BC711" t="s">
        <v>242</v>
      </c>
      <c r="BD711">
        <v>1509</v>
      </c>
      <c r="BE711" t="s">
        <v>169</v>
      </c>
      <c r="BF711" t="s">
        <v>163</v>
      </c>
      <c r="BG711" t="s">
        <v>164</v>
      </c>
    </row>
    <row r="712" spans="1:59">
      <c r="A712">
        <v>1115</v>
      </c>
      <c r="B712">
        <v>1115</v>
      </c>
      <c r="C712">
        <v>10</v>
      </c>
      <c r="D712">
        <v>2</v>
      </c>
      <c r="E712" t="s">
        <v>152</v>
      </c>
      <c r="F712" t="s">
        <v>153</v>
      </c>
      <c r="G712" t="s">
        <v>154</v>
      </c>
      <c r="H712">
        <v>1526006342</v>
      </c>
      <c r="I712">
        <v>1000006615</v>
      </c>
      <c r="L712" t="s">
        <v>335</v>
      </c>
      <c r="M712">
        <v>5100001939</v>
      </c>
      <c r="N712" t="s">
        <v>155</v>
      </c>
      <c r="O712" t="s">
        <v>156</v>
      </c>
      <c r="P712">
        <v>4110059608</v>
      </c>
      <c r="Q712" t="s">
        <v>240</v>
      </c>
      <c r="R712">
        <v>5000</v>
      </c>
      <c r="S712" t="s">
        <v>166</v>
      </c>
      <c r="V712" t="s">
        <v>167</v>
      </c>
      <c r="W712">
        <v>1502020129</v>
      </c>
      <c r="X712" t="s">
        <v>241</v>
      </c>
      <c r="Y712" t="str">
        <f>VLOOKUP(W712,Sheet4!$A$5:$B$71,2,0)</f>
        <v>RE STYLING</v>
      </c>
      <c r="Z712">
        <v>87082900</v>
      </c>
      <c r="AA712">
        <v>15</v>
      </c>
      <c r="AB712" t="s">
        <v>159</v>
      </c>
      <c r="AC712" s="24">
        <v>6500.18</v>
      </c>
      <c r="AD712" t="s">
        <v>160</v>
      </c>
      <c r="AE712" s="24">
        <v>97502.7</v>
      </c>
      <c r="AF712">
        <v>0</v>
      </c>
      <c r="AG712" s="24">
        <v>97502.7</v>
      </c>
      <c r="AH712">
        <v>0</v>
      </c>
      <c r="AI712">
        <v>0</v>
      </c>
      <c r="AJ712">
        <v>0</v>
      </c>
      <c r="AK712">
        <v>0</v>
      </c>
      <c r="AL712" s="24">
        <v>97502.7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 s="24">
        <v>97502.7</v>
      </c>
      <c r="AV712">
        <v>0</v>
      </c>
      <c r="AW712">
        <v>0</v>
      </c>
      <c r="AX712">
        <v>311000</v>
      </c>
      <c r="AY712" t="s">
        <v>161</v>
      </c>
      <c r="AZ712">
        <v>0</v>
      </c>
      <c r="BA712">
        <v>0</v>
      </c>
      <c r="BB712">
        <v>0</v>
      </c>
      <c r="BC712" t="s">
        <v>242</v>
      </c>
      <c r="BD712">
        <v>1509</v>
      </c>
      <c r="BE712" t="s">
        <v>169</v>
      </c>
      <c r="BF712" t="s">
        <v>163</v>
      </c>
      <c r="BG712" t="s">
        <v>164</v>
      </c>
    </row>
    <row r="713" spans="1:59">
      <c r="A713">
        <v>1115</v>
      </c>
      <c r="B713">
        <v>1115</v>
      </c>
      <c r="C713">
        <v>10</v>
      </c>
      <c r="D713">
        <v>2</v>
      </c>
      <c r="E713" t="s">
        <v>152</v>
      </c>
      <c r="F713" t="s">
        <v>153</v>
      </c>
      <c r="G713" t="s">
        <v>154</v>
      </c>
      <c r="H713">
        <v>1526006337</v>
      </c>
      <c r="I713">
        <v>1000006611</v>
      </c>
      <c r="L713" t="s">
        <v>335</v>
      </c>
      <c r="M713">
        <v>5100001934</v>
      </c>
      <c r="N713" t="s">
        <v>155</v>
      </c>
      <c r="O713" t="s">
        <v>156</v>
      </c>
      <c r="P713">
        <v>4110058649</v>
      </c>
      <c r="Q713" t="s">
        <v>196</v>
      </c>
      <c r="R713">
        <v>5000</v>
      </c>
      <c r="S713" t="s">
        <v>166</v>
      </c>
      <c r="V713" t="s">
        <v>167</v>
      </c>
      <c r="W713">
        <v>1502040217</v>
      </c>
      <c r="X713" t="s">
        <v>197</v>
      </c>
      <c r="Y713" t="str">
        <f>VLOOKUP(W713,Sheet4!$A$5:$B$71,2,0)</f>
        <v>FRONT MUDGARD GOGO</v>
      </c>
      <c r="Z713">
        <v>87082900</v>
      </c>
      <c r="AA713">
        <v>150</v>
      </c>
      <c r="AB713" t="s">
        <v>159</v>
      </c>
      <c r="AC713">
        <v>380.93</v>
      </c>
      <c r="AD713" t="s">
        <v>160</v>
      </c>
      <c r="AE713" s="24">
        <v>57139.5</v>
      </c>
      <c r="AF713">
        <v>0</v>
      </c>
      <c r="AG713" s="24">
        <v>57139.5</v>
      </c>
      <c r="AH713">
        <v>0</v>
      </c>
      <c r="AI713">
        <v>0</v>
      </c>
      <c r="AJ713">
        <v>0</v>
      </c>
      <c r="AK713">
        <v>0</v>
      </c>
      <c r="AL713" s="24">
        <v>57139.5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s="24">
        <v>57139.5</v>
      </c>
      <c r="AV713">
        <v>0</v>
      </c>
      <c r="AW713">
        <v>0</v>
      </c>
      <c r="AX713">
        <v>311000</v>
      </c>
      <c r="AY713" t="s">
        <v>161</v>
      </c>
      <c r="AZ713">
        <v>2.13</v>
      </c>
      <c r="BA713">
        <v>2.13</v>
      </c>
      <c r="BB713">
        <v>0</v>
      </c>
      <c r="BC713" t="s">
        <v>198</v>
      </c>
      <c r="BD713">
        <v>1511</v>
      </c>
      <c r="BE713" t="s">
        <v>174</v>
      </c>
      <c r="BF713" t="s">
        <v>163</v>
      </c>
      <c r="BG713" t="s">
        <v>164</v>
      </c>
    </row>
    <row r="714" spans="1:59">
      <c r="A714">
        <v>1115</v>
      </c>
      <c r="B714">
        <v>1115</v>
      </c>
      <c r="C714">
        <v>10</v>
      </c>
      <c r="D714">
        <v>2</v>
      </c>
      <c r="E714" t="s">
        <v>152</v>
      </c>
      <c r="F714" t="s">
        <v>153</v>
      </c>
      <c r="G714" t="s">
        <v>154</v>
      </c>
      <c r="H714">
        <v>1526006336</v>
      </c>
      <c r="I714">
        <v>1000006610</v>
      </c>
      <c r="L714" t="s">
        <v>335</v>
      </c>
      <c r="M714">
        <v>5100001603</v>
      </c>
      <c r="N714" t="s">
        <v>155</v>
      </c>
      <c r="O714" t="s">
        <v>156</v>
      </c>
      <c r="P714">
        <v>4110025468</v>
      </c>
      <c r="Q714" t="s">
        <v>165</v>
      </c>
      <c r="R714">
        <v>5000</v>
      </c>
      <c r="S714" t="s">
        <v>166</v>
      </c>
      <c r="V714" t="s">
        <v>167</v>
      </c>
      <c r="W714">
        <v>1502020102</v>
      </c>
      <c r="X714" t="s">
        <v>58</v>
      </c>
      <c r="Y714" t="str">
        <f>VLOOKUP(W714,Sheet4!$A$5:$B$71,2,0)</f>
        <v>MAXIMA HD</v>
      </c>
      <c r="Z714">
        <v>87082900</v>
      </c>
      <c r="AA714">
        <v>6</v>
      </c>
      <c r="AB714" t="s">
        <v>159</v>
      </c>
      <c r="AC714" s="24">
        <v>8593.51</v>
      </c>
      <c r="AD714" t="s">
        <v>160</v>
      </c>
      <c r="AE714" s="24">
        <v>51561.06</v>
      </c>
      <c r="AF714">
        <v>0</v>
      </c>
      <c r="AG714" s="24">
        <v>51561.06</v>
      </c>
      <c r="AH714">
        <v>0</v>
      </c>
      <c r="AI714">
        <v>0</v>
      </c>
      <c r="AJ714">
        <v>0</v>
      </c>
      <c r="AK714">
        <v>0</v>
      </c>
      <c r="AL714" s="24">
        <v>51561.06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 s="24">
        <v>51561.06</v>
      </c>
      <c r="AV714">
        <v>0</v>
      </c>
      <c r="AW714">
        <v>0</v>
      </c>
      <c r="AX714">
        <v>311000</v>
      </c>
      <c r="AY714" t="s">
        <v>161</v>
      </c>
      <c r="AZ714">
        <v>93.34</v>
      </c>
      <c r="BA714">
        <v>75.430000000000007</v>
      </c>
      <c r="BB714">
        <v>17.91</v>
      </c>
      <c r="BC714" t="s">
        <v>168</v>
      </c>
      <c r="BD714">
        <v>1509</v>
      </c>
      <c r="BE714" t="s">
        <v>169</v>
      </c>
      <c r="BF714" t="s">
        <v>163</v>
      </c>
      <c r="BG714" t="s">
        <v>164</v>
      </c>
    </row>
    <row r="715" spans="1:59">
      <c r="A715">
        <v>1115</v>
      </c>
      <c r="B715">
        <v>1115</v>
      </c>
      <c r="C715">
        <v>10</v>
      </c>
      <c r="D715">
        <v>2</v>
      </c>
      <c r="E715" t="s">
        <v>152</v>
      </c>
      <c r="F715" t="s">
        <v>153</v>
      </c>
      <c r="G715" t="s">
        <v>154</v>
      </c>
      <c r="H715">
        <v>1526006335</v>
      </c>
      <c r="I715">
        <v>1000006609</v>
      </c>
      <c r="L715" t="s">
        <v>335</v>
      </c>
      <c r="M715">
        <v>5100001949</v>
      </c>
      <c r="N715" t="s">
        <v>155</v>
      </c>
      <c r="O715" t="s">
        <v>156</v>
      </c>
      <c r="P715">
        <v>4110063766</v>
      </c>
      <c r="Q715" t="s">
        <v>252</v>
      </c>
      <c r="R715">
        <v>5000</v>
      </c>
      <c r="S715" t="s">
        <v>166</v>
      </c>
      <c r="V715" t="s">
        <v>167</v>
      </c>
      <c r="W715">
        <v>1502040322</v>
      </c>
      <c r="X715" t="s">
        <v>250</v>
      </c>
      <c r="Y715" t="str">
        <f>VLOOKUP(W715,Sheet4!$A$5:$B$71,2,0)</f>
        <v>DASH BOARD</v>
      </c>
      <c r="Z715">
        <v>87082900</v>
      </c>
      <c r="AA715">
        <v>150</v>
      </c>
      <c r="AB715" t="s">
        <v>159</v>
      </c>
      <c r="AC715">
        <v>291.27999999999997</v>
      </c>
      <c r="AD715" t="s">
        <v>160</v>
      </c>
      <c r="AE715" s="24">
        <v>43692</v>
      </c>
      <c r="AF715">
        <v>0</v>
      </c>
      <c r="AG715" s="24">
        <v>43692</v>
      </c>
      <c r="AH715">
        <v>0</v>
      </c>
      <c r="AI715">
        <v>0</v>
      </c>
      <c r="AJ715">
        <v>0</v>
      </c>
      <c r="AK715">
        <v>0</v>
      </c>
      <c r="AL715" s="24">
        <v>43692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 s="24">
        <v>43692</v>
      </c>
      <c r="AV715">
        <v>0</v>
      </c>
      <c r="AW715">
        <v>0</v>
      </c>
      <c r="AX715">
        <v>311000</v>
      </c>
      <c r="AY715" t="s">
        <v>161</v>
      </c>
      <c r="AZ715">
        <v>2.37</v>
      </c>
      <c r="BA715">
        <v>2.37</v>
      </c>
      <c r="BB715">
        <v>0</v>
      </c>
      <c r="BC715" t="s">
        <v>251</v>
      </c>
      <c r="BD715">
        <v>1511</v>
      </c>
      <c r="BE715" t="s">
        <v>174</v>
      </c>
      <c r="BF715" t="s">
        <v>163</v>
      </c>
      <c r="BG715" t="s">
        <v>164</v>
      </c>
    </row>
    <row r="716" spans="1:59">
      <c r="A716">
        <v>1115</v>
      </c>
      <c r="B716">
        <v>1115</v>
      </c>
      <c r="C716">
        <v>10</v>
      </c>
      <c r="D716">
        <v>2</v>
      </c>
      <c r="E716" t="s">
        <v>152</v>
      </c>
      <c r="F716" t="s">
        <v>153</v>
      </c>
      <c r="G716" t="s">
        <v>154</v>
      </c>
      <c r="H716">
        <v>1526006334</v>
      </c>
      <c r="I716">
        <v>1000006608</v>
      </c>
      <c r="L716" t="s">
        <v>335</v>
      </c>
      <c r="M716">
        <v>5100001899</v>
      </c>
      <c r="N716" t="s">
        <v>155</v>
      </c>
      <c r="O716" t="s">
        <v>156</v>
      </c>
      <c r="P716">
        <v>4110041854</v>
      </c>
      <c r="Q716" t="s">
        <v>172</v>
      </c>
      <c r="R716">
        <v>5000</v>
      </c>
      <c r="S716" t="s">
        <v>166</v>
      </c>
      <c r="V716" t="s">
        <v>167</v>
      </c>
      <c r="W716">
        <v>1502040267</v>
      </c>
      <c r="X716" t="s">
        <v>63</v>
      </c>
      <c r="Y716" t="str">
        <f>VLOOKUP(W716,Sheet4!$A$5:$B$71,2,0)</f>
        <v>DASH BOARD</v>
      </c>
      <c r="Z716">
        <v>87082900</v>
      </c>
      <c r="AA716">
        <v>256</v>
      </c>
      <c r="AB716" t="s">
        <v>159</v>
      </c>
      <c r="AC716">
        <v>290.89999999999998</v>
      </c>
      <c r="AD716" t="s">
        <v>160</v>
      </c>
      <c r="AE716" s="24">
        <v>74470.399999999994</v>
      </c>
      <c r="AF716">
        <v>0</v>
      </c>
      <c r="AG716" s="24">
        <v>74470.399999999994</v>
      </c>
      <c r="AH716">
        <v>0</v>
      </c>
      <c r="AI716">
        <v>0</v>
      </c>
      <c r="AJ716">
        <v>0</v>
      </c>
      <c r="AK716">
        <v>0</v>
      </c>
      <c r="AL716" s="24">
        <v>74470.399999999994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 s="24">
        <v>74470.399999999994</v>
      </c>
      <c r="AV716">
        <v>0</v>
      </c>
      <c r="AW716">
        <v>0</v>
      </c>
      <c r="AX716">
        <v>311000</v>
      </c>
      <c r="AY716" t="s">
        <v>161</v>
      </c>
      <c r="AZ716">
        <v>4.5</v>
      </c>
      <c r="BA716">
        <v>4.5</v>
      </c>
      <c r="BB716">
        <v>0</v>
      </c>
      <c r="BC716" t="s">
        <v>173</v>
      </c>
      <c r="BD716">
        <v>1511</v>
      </c>
      <c r="BE716" t="s">
        <v>174</v>
      </c>
      <c r="BF716" t="s">
        <v>163</v>
      </c>
      <c r="BG716" t="s">
        <v>164</v>
      </c>
    </row>
    <row r="717" spans="1:59">
      <c r="A717">
        <v>1115</v>
      </c>
      <c r="B717">
        <v>1115</v>
      </c>
      <c r="C717">
        <v>10</v>
      </c>
      <c r="D717">
        <v>2</v>
      </c>
      <c r="E717" t="s">
        <v>152</v>
      </c>
      <c r="F717" t="s">
        <v>153</v>
      </c>
      <c r="G717" t="s">
        <v>154</v>
      </c>
      <c r="H717">
        <v>1526006333</v>
      </c>
      <c r="I717">
        <v>1000006607</v>
      </c>
      <c r="L717" t="s">
        <v>335</v>
      </c>
      <c r="M717">
        <v>5100001955</v>
      </c>
      <c r="N717" t="s">
        <v>155</v>
      </c>
      <c r="O717" t="s">
        <v>156</v>
      </c>
      <c r="P717">
        <v>5500001432</v>
      </c>
      <c r="Q717" t="s">
        <v>320</v>
      </c>
      <c r="R717">
        <v>5356</v>
      </c>
      <c r="S717" t="s">
        <v>158</v>
      </c>
      <c r="W717">
        <v>1104040829</v>
      </c>
      <c r="X717" t="s">
        <v>321</v>
      </c>
      <c r="Y717" t="s">
        <v>339</v>
      </c>
      <c r="Z717">
        <v>87141090</v>
      </c>
      <c r="AA717">
        <v>197</v>
      </c>
      <c r="AB717" t="s">
        <v>159</v>
      </c>
      <c r="AC717">
        <v>136.6</v>
      </c>
      <c r="AD717" t="s">
        <v>160</v>
      </c>
      <c r="AE717" s="24">
        <v>26910.2</v>
      </c>
      <c r="AF717">
        <v>0</v>
      </c>
      <c r="AG717" s="24">
        <v>26910.2</v>
      </c>
      <c r="AH717">
        <v>0</v>
      </c>
      <c r="AI717">
        <v>0</v>
      </c>
      <c r="AJ717">
        <v>0</v>
      </c>
      <c r="AK717">
        <v>0</v>
      </c>
      <c r="AL717" s="24">
        <v>26910.2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s="24">
        <v>26910.2</v>
      </c>
      <c r="AV717">
        <v>0</v>
      </c>
      <c r="AW717">
        <v>0</v>
      </c>
      <c r="AX717">
        <v>311003</v>
      </c>
      <c r="AY717" t="s">
        <v>322</v>
      </c>
      <c r="AZ717">
        <v>2.62</v>
      </c>
      <c r="BA717">
        <v>2.62</v>
      </c>
      <c r="BB717">
        <v>0</v>
      </c>
      <c r="BC717">
        <v>2000000894</v>
      </c>
      <c r="BD717">
        <v>1123</v>
      </c>
      <c r="BE717" t="s">
        <v>323</v>
      </c>
      <c r="BF717" t="s">
        <v>163</v>
      </c>
      <c r="BG717" t="s">
        <v>164</v>
      </c>
    </row>
    <row r="718" spans="1:59">
      <c r="A718">
        <v>1115</v>
      </c>
      <c r="B718">
        <v>1115</v>
      </c>
      <c r="C718">
        <v>10</v>
      </c>
      <c r="D718">
        <v>2</v>
      </c>
      <c r="E718" t="s">
        <v>152</v>
      </c>
      <c r="F718" t="s">
        <v>153</v>
      </c>
      <c r="G718" t="s">
        <v>154</v>
      </c>
      <c r="H718">
        <v>1526006279</v>
      </c>
      <c r="I718">
        <v>1000006548</v>
      </c>
      <c r="L718" t="s">
        <v>335</v>
      </c>
      <c r="M718">
        <v>5100001919</v>
      </c>
      <c r="N718" t="s">
        <v>155</v>
      </c>
      <c r="O718" t="s">
        <v>156</v>
      </c>
      <c r="P718">
        <v>5500000930</v>
      </c>
      <c r="Q718" t="s">
        <v>157</v>
      </c>
      <c r="R718">
        <v>5356</v>
      </c>
      <c r="S718" t="s">
        <v>158</v>
      </c>
      <c r="W718">
        <v>1502010011</v>
      </c>
      <c r="X718" t="s">
        <v>35</v>
      </c>
      <c r="Y718" t="str">
        <f>VLOOKUP(W718,Sheet4!$A$5:$B$71,2,0)</f>
        <v>REAR MUDGAURD</v>
      </c>
      <c r="Z718">
        <v>87082900</v>
      </c>
      <c r="AA718">
        <v>432</v>
      </c>
      <c r="AB718" t="s">
        <v>159</v>
      </c>
      <c r="AC718">
        <v>89.25</v>
      </c>
      <c r="AD718" t="s">
        <v>160</v>
      </c>
      <c r="AE718" s="24">
        <v>38556</v>
      </c>
      <c r="AF718">
        <v>0</v>
      </c>
      <c r="AG718" s="24">
        <v>38556</v>
      </c>
      <c r="AH718">
        <v>0</v>
      </c>
      <c r="AI718">
        <v>0</v>
      </c>
      <c r="AJ718">
        <v>0</v>
      </c>
      <c r="AK718">
        <v>0</v>
      </c>
      <c r="AL718" s="24">
        <v>38556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 s="24">
        <v>38556</v>
      </c>
      <c r="AV718">
        <v>0</v>
      </c>
      <c r="AW718">
        <v>0</v>
      </c>
      <c r="AX718">
        <v>311000</v>
      </c>
      <c r="AY718" t="s">
        <v>161</v>
      </c>
      <c r="AZ718">
        <v>1.32</v>
      </c>
      <c r="BA718">
        <v>0.72399999999999998</v>
      </c>
      <c r="BB718">
        <v>0.59599999999999997</v>
      </c>
      <c r="BC718">
        <v>2000001017</v>
      </c>
      <c r="BD718">
        <v>1508</v>
      </c>
      <c r="BE718" t="s">
        <v>162</v>
      </c>
      <c r="BF718" t="s">
        <v>163</v>
      </c>
      <c r="BG718" t="s">
        <v>164</v>
      </c>
    </row>
    <row r="719" spans="1:59">
      <c r="A719">
        <v>1115</v>
      </c>
      <c r="B719">
        <v>1115</v>
      </c>
      <c r="C719">
        <v>10</v>
      </c>
      <c r="D719">
        <v>2</v>
      </c>
      <c r="E719" t="s">
        <v>152</v>
      </c>
      <c r="F719" t="s">
        <v>153</v>
      </c>
      <c r="G719" t="s">
        <v>154</v>
      </c>
      <c r="H719">
        <v>1526006233</v>
      </c>
      <c r="I719">
        <v>1000006495</v>
      </c>
      <c r="L719" t="s">
        <v>335</v>
      </c>
      <c r="M719">
        <v>5100001913</v>
      </c>
      <c r="N719" t="s">
        <v>155</v>
      </c>
      <c r="O719" t="s">
        <v>156</v>
      </c>
      <c r="P719">
        <v>4110050475</v>
      </c>
      <c r="Q719" t="s">
        <v>178</v>
      </c>
      <c r="R719">
        <v>5000</v>
      </c>
      <c r="S719" t="s">
        <v>166</v>
      </c>
      <c r="V719" t="s">
        <v>167</v>
      </c>
      <c r="W719">
        <v>1502040289</v>
      </c>
      <c r="X719" t="s">
        <v>49</v>
      </c>
      <c r="Y719" t="str">
        <f>VLOOKUP(W719,Sheet4!$A$5:$B$71,2,0)</f>
        <v>SUPPORT TOP</v>
      </c>
      <c r="Z719">
        <v>87082900</v>
      </c>
      <c r="AA719">
        <v>480</v>
      </c>
      <c r="AB719" t="s">
        <v>159</v>
      </c>
      <c r="AC719">
        <v>174.61</v>
      </c>
      <c r="AD719" t="s">
        <v>160</v>
      </c>
      <c r="AE719" s="24">
        <v>83812.800000000003</v>
      </c>
      <c r="AF719">
        <v>0</v>
      </c>
      <c r="AG719" s="24">
        <v>83812.800000000003</v>
      </c>
      <c r="AH719">
        <v>0</v>
      </c>
      <c r="AI719">
        <v>0</v>
      </c>
      <c r="AJ719">
        <v>0</v>
      </c>
      <c r="AK719">
        <v>0</v>
      </c>
      <c r="AL719" s="24">
        <v>83812.800000000003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s="24">
        <v>83812.800000000003</v>
      </c>
      <c r="AV719">
        <v>0</v>
      </c>
      <c r="AW719">
        <v>0</v>
      </c>
      <c r="AX719">
        <v>311000</v>
      </c>
      <c r="AY719" t="s">
        <v>161</v>
      </c>
      <c r="AZ719">
        <v>0</v>
      </c>
      <c r="BA719">
        <v>0</v>
      </c>
      <c r="BB719">
        <v>0</v>
      </c>
      <c r="BC719" t="s">
        <v>179</v>
      </c>
      <c r="BD719">
        <v>1511</v>
      </c>
      <c r="BE719" t="s">
        <v>174</v>
      </c>
      <c r="BF719" t="s">
        <v>163</v>
      </c>
      <c r="BG719" t="s">
        <v>164</v>
      </c>
    </row>
    <row r="720" spans="1:59">
      <c r="A720">
        <v>1115</v>
      </c>
      <c r="B720">
        <v>1115</v>
      </c>
      <c r="C720">
        <v>10</v>
      </c>
      <c r="D720">
        <v>2</v>
      </c>
      <c r="E720" t="s">
        <v>152</v>
      </c>
      <c r="F720" t="s">
        <v>153</v>
      </c>
      <c r="G720" t="s">
        <v>154</v>
      </c>
      <c r="H720">
        <v>1526006232</v>
      </c>
      <c r="I720">
        <v>1000006494</v>
      </c>
      <c r="L720" t="s">
        <v>335</v>
      </c>
      <c r="M720">
        <v>5100001939</v>
      </c>
      <c r="N720" t="s">
        <v>155</v>
      </c>
      <c r="O720" t="s">
        <v>156</v>
      </c>
      <c r="P720">
        <v>4110059608</v>
      </c>
      <c r="Q720" t="s">
        <v>240</v>
      </c>
      <c r="R720">
        <v>5000</v>
      </c>
      <c r="S720" t="s">
        <v>166</v>
      </c>
      <c r="V720" t="s">
        <v>167</v>
      </c>
      <c r="W720">
        <v>1502020129</v>
      </c>
      <c r="X720" t="s">
        <v>241</v>
      </c>
      <c r="Y720" t="str">
        <f>VLOOKUP(W720,Sheet4!$A$5:$B$71,2,0)</f>
        <v>RE STYLING</v>
      </c>
      <c r="Z720">
        <v>87082900</v>
      </c>
      <c r="AA720">
        <v>15</v>
      </c>
      <c r="AB720" t="s">
        <v>159</v>
      </c>
      <c r="AC720" s="24">
        <v>6500.18</v>
      </c>
      <c r="AD720" t="s">
        <v>160</v>
      </c>
      <c r="AE720" s="24">
        <v>97502.7</v>
      </c>
      <c r="AF720">
        <v>0</v>
      </c>
      <c r="AG720" s="24">
        <v>97502.7</v>
      </c>
      <c r="AH720">
        <v>0</v>
      </c>
      <c r="AI720">
        <v>0</v>
      </c>
      <c r="AJ720">
        <v>0</v>
      </c>
      <c r="AK720">
        <v>0</v>
      </c>
      <c r="AL720" s="24">
        <v>97502.7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 s="24">
        <v>97502.7</v>
      </c>
      <c r="AV720">
        <v>0</v>
      </c>
      <c r="AW720">
        <v>0</v>
      </c>
      <c r="AX720">
        <v>311000</v>
      </c>
      <c r="AY720" t="s">
        <v>161</v>
      </c>
      <c r="AZ720">
        <v>0</v>
      </c>
      <c r="BA720">
        <v>0</v>
      </c>
      <c r="BB720">
        <v>0</v>
      </c>
      <c r="BC720" t="s">
        <v>242</v>
      </c>
      <c r="BD720">
        <v>1509</v>
      </c>
      <c r="BE720" t="s">
        <v>169</v>
      </c>
      <c r="BF720" t="s">
        <v>163</v>
      </c>
      <c r="BG720" t="s">
        <v>164</v>
      </c>
    </row>
    <row r="721" spans="1:59">
      <c r="A721">
        <v>1115</v>
      </c>
      <c r="B721">
        <v>1115</v>
      </c>
      <c r="C721">
        <v>10</v>
      </c>
      <c r="D721">
        <v>6</v>
      </c>
      <c r="E721" t="s">
        <v>340</v>
      </c>
      <c r="F721" t="s">
        <v>153</v>
      </c>
      <c r="G721" t="s">
        <v>154</v>
      </c>
      <c r="H721">
        <v>1526006231</v>
      </c>
      <c r="I721">
        <v>1000006493</v>
      </c>
      <c r="L721" t="s">
        <v>335</v>
      </c>
      <c r="M721">
        <v>5900001676</v>
      </c>
      <c r="N721" t="s">
        <v>341</v>
      </c>
      <c r="O721" t="s">
        <v>342</v>
      </c>
      <c r="P721">
        <v>5500001142</v>
      </c>
      <c r="Q721" t="s">
        <v>343</v>
      </c>
      <c r="R721">
        <v>5356</v>
      </c>
      <c r="S721" t="s">
        <v>158</v>
      </c>
      <c r="W721">
        <v>1104012289</v>
      </c>
      <c r="X721" t="s">
        <v>344</v>
      </c>
      <c r="Y721" t="s">
        <v>339</v>
      </c>
      <c r="Z721">
        <v>87141090</v>
      </c>
      <c r="AA721">
        <v>100</v>
      </c>
      <c r="AB721" t="s">
        <v>159</v>
      </c>
      <c r="AC721">
        <v>35.22</v>
      </c>
      <c r="AD721" t="s">
        <v>160</v>
      </c>
      <c r="AE721" s="24">
        <v>3522</v>
      </c>
      <c r="AF721">
        <v>0</v>
      </c>
      <c r="AG721" s="24">
        <v>3522</v>
      </c>
      <c r="AH721">
        <v>0</v>
      </c>
      <c r="AI721">
        <v>0</v>
      </c>
      <c r="AJ721">
        <v>0</v>
      </c>
      <c r="AK721">
        <v>0</v>
      </c>
      <c r="AL721" s="24">
        <v>3522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 s="24">
        <v>3522</v>
      </c>
      <c r="AV721">
        <v>0</v>
      </c>
      <c r="AW721">
        <v>0</v>
      </c>
      <c r="AX721">
        <v>311003</v>
      </c>
      <c r="AY721" t="s">
        <v>322</v>
      </c>
      <c r="AZ721">
        <v>0.436</v>
      </c>
      <c r="BA721">
        <v>0.25900000000000001</v>
      </c>
      <c r="BB721">
        <v>0.17699999999999999</v>
      </c>
      <c r="BC721">
        <v>2000000542</v>
      </c>
      <c r="BD721">
        <v>1123</v>
      </c>
      <c r="BE721" t="s">
        <v>323</v>
      </c>
      <c r="BF721" t="s">
        <v>163</v>
      </c>
      <c r="BG721" t="s">
        <v>164</v>
      </c>
    </row>
    <row r="722" spans="1:59">
      <c r="A722">
        <v>1115</v>
      </c>
      <c r="B722">
        <v>1115</v>
      </c>
      <c r="C722">
        <v>10</v>
      </c>
      <c r="D722">
        <v>2</v>
      </c>
      <c r="E722" t="s">
        <v>152</v>
      </c>
      <c r="F722" t="s">
        <v>153</v>
      </c>
      <c r="G722" t="s">
        <v>154</v>
      </c>
      <c r="H722">
        <v>1526006230</v>
      </c>
      <c r="I722">
        <v>1000006492</v>
      </c>
      <c r="L722" t="s">
        <v>335</v>
      </c>
      <c r="M722">
        <v>5100001939</v>
      </c>
      <c r="N722" t="s">
        <v>155</v>
      </c>
      <c r="O722" t="s">
        <v>156</v>
      </c>
      <c r="P722">
        <v>4110059608</v>
      </c>
      <c r="Q722" t="s">
        <v>240</v>
      </c>
      <c r="R722">
        <v>5000</v>
      </c>
      <c r="S722" t="s">
        <v>166</v>
      </c>
      <c r="V722" t="s">
        <v>167</v>
      </c>
      <c r="W722">
        <v>1502020129</v>
      </c>
      <c r="X722" t="s">
        <v>241</v>
      </c>
      <c r="Y722" t="str">
        <f>VLOOKUP(W722,Sheet4!$A$5:$B$71,2,0)</f>
        <v>RE STYLING</v>
      </c>
      <c r="Z722">
        <v>87082900</v>
      </c>
      <c r="AA722">
        <v>15</v>
      </c>
      <c r="AB722" t="s">
        <v>159</v>
      </c>
      <c r="AC722" s="24">
        <v>6500.18</v>
      </c>
      <c r="AD722" t="s">
        <v>160</v>
      </c>
      <c r="AE722" s="24">
        <v>97502.7</v>
      </c>
      <c r="AF722">
        <v>0</v>
      </c>
      <c r="AG722" s="24">
        <v>97502.7</v>
      </c>
      <c r="AH722">
        <v>0</v>
      </c>
      <c r="AI722">
        <v>0</v>
      </c>
      <c r="AJ722">
        <v>0</v>
      </c>
      <c r="AK722">
        <v>0</v>
      </c>
      <c r="AL722" s="24">
        <v>97502.7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 s="24">
        <v>97502.7</v>
      </c>
      <c r="AV722">
        <v>0</v>
      </c>
      <c r="AW722">
        <v>0</v>
      </c>
      <c r="AX722">
        <v>311000</v>
      </c>
      <c r="AY722" t="s">
        <v>161</v>
      </c>
      <c r="AZ722">
        <v>0</v>
      </c>
      <c r="BA722">
        <v>0</v>
      </c>
      <c r="BB722">
        <v>0</v>
      </c>
      <c r="BC722" t="s">
        <v>242</v>
      </c>
      <c r="BD722">
        <v>1509</v>
      </c>
      <c r="BE722" t="s">
        <v>169</v>
      </c>
      <c r="BF722" t="s">
        <v>163</v>
      </c>
      <c r="BG722" t="s">
        <v>164</v>
      </c>
    </row>
    <row r="723" spans="1:59">
      <c r="A723">
        <v>1115</v>
      </c>
      <c r="B723">
        <v>1115</v>
      </c>
      <c r="C723">
        <v>10</v>
      </c>
      <c r="D723">
        <v>2</v>
      </c>
      <c r="E723" t="s">
        <v>152</v>
      </c>
      <c r="F723" t="s">
        <v>153</v>
      </c>
      <c r="G723" t="s">
        <v>154</v>
      </c>
      <c r="H723">
        <v>1526006225</v>
      </c>
      <c r="I723">
        <v>1000006490</v>
      </c>
      <c r="L723" t="s">
        <v>335</v>
      </c>
      <c r="M723">
        <v>5100001939</v>
      </c>
      <c r="N723" t="s">
        <v>155</v>
      </c>
      <c r="O723" t="s">
        <v>156</v>
      </c>
      <c r="P723">
        <v>4110059608</v>
      </c>
      <c r="Q723" t="s">
        <v>240</v>
      </c>
      <c r="R723">
        <v>5000</v>
      </c>
      <c r="S723" t="s">
        <v>166</v>
      </c>
      <c r="V723" t="s">
        <v>167</v>
      </c>
      <c r="W723">
        <v>1502020129</v>
      </c>
      <c r="X723" t="s">
        <v>241</v>
      </c>
      <c r="Y723" t="str">
        <f>VLOOKUP(W723,Sheet4!$A$5:$B$71,2,0)</f>
        <v>RE STYLING</v>
      </c>
      <c r="Z723">
        <v>87082900</v>
      </c>
      <c r="AA723">
        <v>15</v>
      </c>
      <c r="AB723" t="s">
        <v>159</v>
      </c>
      <c r="AC723" s="24">
        <v>6500.18</v>
      </c>
      <c r="AD723" t="s">
        <v>160</v>
      </c>
      <c r="AE723" s="24">
        <v>97502.7</v>
      </c>
      <c r="AF723">
        <v>0</v>
      </c>
      <c r="AG723" s="24">
        <v>97502.7</v>
      </c>
      <c r="AH723">
        <v>0</v>
      </c>
      <c r="AI723">
        <v>0</v>
      </c>
      <c r="AJ723">
        <v>0</v>
      </c>
      <c r="AK723">
        <v>0</v>
      </c>
      <c r="AL723" s="24">
        <v>97502.7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s="24">
        <v>97502.7</v>
      </c>
      <c r="AV723">
        <v>0</v>
      </c>
      <c r="AW723">
        <v>0</v>
      </c>
      <c r="AX723">
        <v>311000</v>
      </c>
      <c r="AY723" t="s">
        <v>161</v>
      </c>
      <c r="AZ723">
        <v>0</v>
      </c>
      <c r="BA723">
        <v>0</v>
      </c>
      <c r="BB723">
        <v>0</v>
      </c>
      <c r="BC723" t="s">
        <v>242</v>
      </c>
      <c r="BD723">
        <v>1509</v>
      </c>
      <c r="BE723" t="s">
        <v>169</v>
      </c>
      <c r="BF723" t="s">
        <v>163</v>
      </c>
      <c r="BG723" t="s">
        <v>164</v>
      </c>
    </row>
    <row r="724" spans="1:59">
      <c r="A724">
        <v>1115</v>
      </c>
      <c r="B724">
        <v>1115</v>
      </c>
      <c r="C724">
        <v>10</v>
      </c>
      <c r="D724">
        <v>2</v>
      </c>
      <c r="E724" t="s">
        <v>152</v>
      </c>
      <c r="F724" t="s">
        <v>153</v>
      </c>
      <c r="G724" t="s">
        <v>154</v>
      </c>
      <c r="H724">
        <v>1526006223</v>
      </c>
      <c r="I724">
        <v>1000006489</v>
      </c>
      <c r="L724" t="s">
        <v>335</v>
      </c>
      <c r="M724">
        <v>5100001939</v>
      </c>
      <c r="N724" t="s">
        <v>155</v>
      </c>
      <c r="O724" t="s">
        <v>156</v>
      </c>
      <c r="P724">
        <v>4110059608</v>
      </c>
      <c r="Q724" t="s">
        <v>240</v>
      </c>
      <c r="R724">
        <v>5000</v>
      </c>
      <c r="S724" t="s">
        <v>166</v>
      </c>
      <c r="V724" t="s">
        <v>167</v>
      </c>
      <c r="W724">
        <v>1502020129</v>
      </c>
      <c r="X724" t="s">
        <v>241</v>
      </c>
      <c r="Y724" t="str">
        <f>VLOOKUP(W724,Sheet4!$A$5:$B$71,2,0)</f>
        <v>RE STYLING</v>
      </c>
      <c r="Z724">
        <v>87082900</v>
      </c>
      <c r="AA724">
        <v>15</v>
      </c>
      <c r="AB724" t="s">
        <v>159</v>
      </c>
      <c r="AC724" s="24">
        <v>6500.18</v>
      </c>
      <c r="AD724" t="s">
        <v>160</v>
      </c>
      <c r="AE724" s="24">
        <v>97502.7</v>
      </c>
      <c r="AF724">
        <v>0</v>
      </c>
      <c r="AG724" s="24">
        <v>97502.7</v>
      </c>
      <c r="AH724">
        <v>0</v>
      </c>
      <c r="AI724">
        <v>0</v>
      </c>
      <c r="AJ724">
        <v>0</v>
      </c>
      <c r="AK724">
        <v>0</v>
      </c>
      <c r="AL724" s="24">
        <v>97502.7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 s="24">
        <v>97502.7</v>
      </c>
      <c r="AV724">
        <v>0</v>
      </c>
      <c r="AW724">
        <v>0</v>
      </c>
      <c r="AX724">
        <v>311000</v>
      </c>
      <c r="AY724" t="s">
        <v>161</v>
      </c>
      <c r="AZ724">
        <v>0</v>
      </c>
      <c r="BA724">
        <v>0</v>
      </c>
      <c r="BB724">
        <v>0</v>
      </c>
      <c r="BC724" t="s">
        <v>242</v>
      </c>
      <c r="BD724">
        <v>1509</v>
      </c>
      <c r="BE724" t="s">
        <v>169</v>
      </c>
      <c r="BF724" t="s">
        <v>163</v>
      </c>
      <c r="BG724" t="s">
        <v>164</v>
      </c>
    </row>
    <row r="725" spans="1:59">
      <c r="A725">
        <v>1115</v>
      </c>
      <c r="B725">
        <v>1115</v>
      </c>
      <c r="C725">
        <v>10</v>
      </c>
      <c r="D725">
        <v>2</v>
      </c>
      <c r="E725" t="s">
        <v>152</v>
      </c>
      <c r="F725" t="s">
        <v>153</v>
      </c>
      <c r="G725" t="s">
        <v>154</v>
      </c>
      <c r="H725">
        <v>1526006220</v>
      </c>
      <c r="I725">
        <v>1000006488</v>
      </c>
      <c r="L725" t="s">
        <v>335</v>
      </c>
      <c r="M725">
        <v>5100001928</v>
      </c>
      <c r="N725" t="s">
        <v>155</v>
      </c>
      <c r="O725" t="s">
        <v>156</v>
      </c>
      <c r="P725">
        <v>4110057393</v>
      </c>
      <c r="Q725" t="s">
        <v>192</v>
      </c>
      <c r="R725">
        <v>5000</v>
      </c>
      <c r="S725" t="s">
        <v>166</v>
      </c>
      <c r="V725" t="s">
        <v>167</v>
      </c>
      <c r="W725">
        <v>1502020122</v>
      </c>
      <c r="X725" t="s">
        <v>70</v>
      </c>
      <c r="Y725" t="str">
        <f>VLOOKUP(W725,Sheet4!$A$5:$B$71,2,0)</f>
        <v>MAX UG NEW EV</v>
      </c>
      <c r="Z725">
        <v>87082900</v>
      </c>
      <c r="AA725">
        <v>10</v>
      </c>
      <c r="AB725" t="s">
        <v>159</v>
      </c>
      <c r="AC725" s="24">
        <v>9566.51</v>
      </c>
      <c r="AD725" t="s">
        <v>160</v>
      </c>
      <c r="AE725" s="24">
        <v>95665.1</v>
      </c>
      <c r="AF725">
        <v>0</v>
      </c>
      <c r="AG725" s="24">
        <v>95665.1</v>
      </c>
      <c r="AH725">
        <v>0</v>
      </c>
      <c r="AI725">
        <v>0</v>
      </c>
      <c r="AJ725">
        <v>0</v>
      </c>
      <c r="AK725">
        <v>0</v>
      </c>
      <c r="AL725" s="24">
        <v>95665.1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 s="24">
        <v>95665.1</v>
      </c>
      <c r="AV725">
        <v>0</v>
      </c>
      <c r="AW725">
        <v>0</v>
      </c>
      <c r="AX725">
        <v>311000</v>
      </c>
      <c r="AY725" t="s">
        <v>161</v>
      </c>
      <c r="AZ725">
        <v>0</v>
      </c>
      <c r="BA725">
        <v>61</v>
      </c>
      <c r="BB725">
        <v>-61</v>
      </c>
      <c r="BC725" t="s">
        <v>193</v>
      </c>
      <c r="BD725">
        <v>1509</v>
      </c>
      <c r="BE725" t="s">
        <v>169</v>
      </c>
      <c r="BF725" t="s">
        <v>163</v>
      </c>
      <c r="BG725" t="s">
        <v>164</v>
      </c>
    </row>
    <row r="726" spans="1:59">
      <c r="A726">
        <v>1115</v>
      </c>
      <c r="B726">
        <v>1115</v>
      </c>
      <c r="C726">
        <v>10</v>
      </c>
      <c r="D726">
        <v>2</v>
      </c>
      <c r="E726" t="s">
        <v>152</v>
      </c>
      <c r="F726" t="s">
        <v>153</v>
      </c>
      <c r="G726" t="s">
        <v>154</v>
      </c>
      <c r="H726">
        <v>1526006219</v>
      </c>
      <c r="I726">
        <v>1000006487</v>
      </c>
      <c r="L726" t="s">
        <v>335</v>
      </c>
      <c r="M726">
        <v>5100001928</v>
      </c>
      <c r="N726" t="s">
        <v>155</v>
      </c>
      <c r="O726" t="s">
        <v>156</v>
      </c>
      <c r="P726">
        <v>4110057393</v>
      </c>
      <c r="Q726" t="s">
        <v>192</v>
      </c>
      <c r="R726">
        <v>5000</v>
      </c>
      <c r="S726" t="s">
        <v>166</v>
      </c>
      <c r="V726" t="s">
        <v>167</v>
      </c>
      <c r="W726">
        <v>1502020122</v>
      </c>
      <c r="X726" t="s">
        <v>70</v>
      </c>
      <c r="Y726" t="str">
        <f>VLOOKUP(W726,Sheet4!$A$5:$B$71,2,0)</f>
        <v>MAX UG NEW EV</v>
      </c>
      <c r="Z726">
        <v>87082900</v>
      </c>
      <c r="AA726">
        <v>10</v>
      </c>
      <c r="AB726" t="s">
        <v>159</v>
      </c>
      <c r="AC726" s="24">
        <v>9566.51</v>
      </c>
      <c r="AD726" t="s">
        <v>160</v>
      </c>
      <c r="AE726" s="24">
        <v>95665.1</v>
      </c>
      <c r="AF726">
        <v>0</v>
      </c>
      <c r="AG726" s="24">
        <v>95665.1</v>
      </c>
      <c r="AH726">
        <v>0</v>
      </c>
      <c r="AI726">
        <v>0</v>
      </c>
      <c r="AJ726">
        <v>0</v>
      </c>
      <c r="AK726">
        <v>0</v>
      </c>
      <c r="AL726" s="24">
        <v>95665.1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 s="24">
        <v>95665.1</v>
      </c>
      <c r="AV726">
        <v>0</v>
      </c>
      <c r="AW726">
        <v>0</v>
      </c>
      <c r="AX726">
        <v>311000</v>
      </c>
      <c r="AY726" t="s">
        <v>161</v>
      </c>
      <c r="AZ726">
        <v>0</v>
      </c>
      <c r="BA726">
        <v>61</v>
      </c>
      <c r="BB726">
        <v>-61</v>
      </c>
      <c r="BC726" t="s">
        <v>193</v>
      </c>
      <c r="BD726">
        <v>1509</v>
      </c>
      <c r="BE726" t="s">
        <v>169</v>
      </c>
      <c r="BF726" t="s">
        <v>163</v>
      </c>
      <c r="BG726" t="s">
        <v>164</v>
      </c>
    </row>
    <row r="727" spans="1:59">
      <c r="A727">
        <v>1115</v>
      </c>
      <c r="B727">
        <v>1115</v>
      </c>
      <c r="C727">
        <v>10</v>
      </c>
      <c r="D727">
        <v>2</v>
      </c>
      <c r="E727" t="s">
        <v>152</v>
      </c>
      <c r="F727" t="s">
        <v>153</v>
      </c>
      <c r="G727" t="s">
        <v>154</v>
      </c>
      <c r="H727">
        <v>1526006218</v>
      </c>
      <c r="I727">
        <v>1000006486</v>
      </c>
      <c r="L727" t="s">
        <v>335</v>
      </c>
      <c r="M727">
        <v>5100001928</v>
      </c>
      <c r="N727" t="s">
        <v>155</v>
      </c>
      <c r="O727" t="s">
        <v>156</v>
      </c>
      <c r="P727">
        <v>4110057393</v>
      </c>
      <c r="Q727" t="s">
        <v>192</v>
      </c>
      <c r="R727">
        <v>5000</v>
      </c>
      <c r="S727" t="s">
        <v>166</v>
      </c>
      <c r="V727" t="s">
        <v>167</v>
      </c>
      <c r="W727">
        <v>1502020122</v>
      </c>
      <c r="X727" t="s">
        <v>70</v>
      </c>
      <c r="Y727" t="str">
        <f>VLOOKUP(W727,Sheet4!$A$5:$B$71,2,0)</f>
        <v>MAX UG NEW EV</v>
      </c>
      <c r="Z727">
        <v>87082900</v>
      </c>
      <c r="AA727">
        <v>10</v>
      </c>
      <c r="AB727" t="s">
        <v>159</v>
      </c>
      <c r="AC727" s="24">
        <v>9566.51</v>
      </c>
      <c r="AD727" t="s">
        <v>160</v>
      </c>
      <c r="AE727" s="24">
        <v>95665.1</v>
      </c>
      <c r="AF727">
        <v>0</v>
      </c>
      <c r="AG727" s="24">
        <v>95665.1</v>
      </c>
      <c r="AH727">
        <v>0</v>
      </c>
      <c r="AI727">
        <v>0</v>
      </c>
      <c r="AJ727">
        <v>0</v>
      </c>
      <c r="AK727">
        <v>0</v>
      </c>
      <c r="AL727" s="24">
        <v>95665.1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 s="24">
        <v>95665.1</v>
      </c>
      <c r="AV727">
        <v>0</v>
      </c>
      <c r="AW727">
        <v>0</v>
      </c>
      <c r="AX727">
        <v>311000</v>
      </c>
      <c r="AY727" t="s">
        <v>161</v>
      </c>
      <c r="AZ727">
        <v>0</v>
      </c>
      <c r="BA727">
        <v>61</v>
      </c>
      <c r="BB727">
        <v>-61</v>
      </c>
      <c r="BC727" t="s">
        <v>193</v>
      </c>
      <c r="BD727">
        <v>1509</v>
      </c>
      <c r="BE727" t="s">
        <v>169</v>
      </c>
      <c r="BF727">
        <v>5094134577</v>
      </c>
      <c r="BG727" t="s">
        <v>335</v>
      </c>
    </row>
    <row r="728" spans="1:59">
      <c r="A728">
        <v>1115</v>
      </c>
      <c r="B728">
        <v>1115</v>
      </c>
      <c r="C728">
        <v>10</v>
      </c>
      <c r="D728">
        <v>2</v>
      </c>
      <c r="E728" t="s">
        <v>152</v>
      </c>
      <c r="F728" t="s">
        <v>153</v>
      </c>
      <c r="G728" t="s">
        <v>154</v>
      </c>
      <c r="H728">
        <v>1526006217</v>
      </c>
      <c r="I728">
        <v>1000006485</v>
      </c>
      <c r="L728" t="s">
        <v>335</v>
      </c>
      <c r="M728">
        <v>5100001928</v>
      </c>
      <c r="N728" t="s">
        <v>155</v>
      </c>
      <c r="O728" t="s">
        <v>156</v>
      </c>
      <c r="P728">
        <v>4110057393</v>
      </c>
      <c r="Q728" t="s">
        <v>192</v>
      </c>
      <c r="R728">
        <v>5000</v>
      </c>
      <c r="S728" t="s">
        <v>166</v>
      </c>
      <c r="V728" t="s">
        <v>167</v>
      </c>
      <c r="W728">
        <v>1502020122</v>
      </c>
      <c r="X728" t="s">
        <v>70</v>
      </c>
      <c r="Y728" t="str">
        <f>VLOOKUP(W728,Sheet4!$A$5:$B$71,2,0)</f>
        <v>MAX UG NEW EV</v>
      </c>
      <c r="Z728">
        <v>87082900</v>
      </c>
      <c r="AA728">
        <v>10</v>
      </c>
      <c r="AB728" t="s">
        <v>159</v>
      </c>
      <c r="AC728" s="24">
        <v>9566.51</v>
      </c>
      <c r="AD728" t="s">
        <v>160</v>
      </c>
      <c r="AE728" s="24">
        <v>95665.1</v>
      </c>
      <c r="AF728">
        <v>0</v>
      </c>
      <c r="AG728" s="24">
        <v>95665.1</v>
      </c>
      <c r="AH728">
        <v>0</v>
      </c>
      <c r="AI728">
        <v>0</v>
      </c>
      <c r="AJ728">
        <v>0</v>
      </c>
      <c r="AK728">
        <v>0</v>
      </c>
      <c r="AL728" s="24">
        <v>95665.1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 s="24">
        <v>95665.1</v>
      </c>
      <c r="AV728">
        <v>0</v>
      </c>
      <c r="AW728">
        <v>0</v>
      </c>
      <c r="AX728">
        <v>311000</v>
      </c>
      <c r="AY728" t="s">
        <v>161</v>
      </c>
      <c r="AZ728">
        <v>0</v>
      </c>
      <c r="BA728">
        <v>61</v>
      </c>
      <c r="BB728">
        <v>-61</v>
      </c>
      <c r="BC728" t="s">
        <v>193</v>
      </c>
      <c r="BD728">
        <v>1509</v>
      </c>
      <c r="BE728" t="s">
        <v>169</v>
      </c>
      <c r="BF728" t="s">
        <v>163</v>
      </c>
      <c r="BG728" t="s">
        <v>164</v>
      </c>
    </row>
    <row r="729" spans="1:59">
      <c r="A729">
        <v>1115</v>
      </c>
      <c r="B729">
        <v>1115</v>
      </c>
      <c r="C729">
        <v>10</v>
      </c>
      <c r="D729">
        <v>2</v>
      </c>
      <c r="E729" t="s">
        <v>152</v>
      </c>
      <c r="F729" t="s">
        <v>153</v>
      </c>
      <c r="G729" t="s">
        <v>154</v>
      </c>
      <c r="H729">
        <v>1526006216</v>
      </c>
      <c r="I729">
        <v>1000006484</v>
      </c>
      <c r="L729" t="s">
        <v>335</v>
      </c>
      <c r="M729">
        <v>5100001603</v>
      </c>
      <c r="N729" t="s">
        <v>155</v>
      </c>
      <c r="O729" t="s">
        <v>156</v>
      </c>
      <c r="P729">
        <v>4110025468</v>
      </c>
      <c r="Q729" t="s">
        <v>165</v>
      </c>
      <c r="R729">
        <v>5000</v>
      </c>
      <c r="S729" t="s">
        <v>166</v>
      </c>
      <c r="V729" t="s">
        <v>167</v>
      </c>
      <c r="W729">
        <v>1502020102</v>
      </c>
      <c r="X729" t="s">
        <v>58</v>
      </c>
      <c r="Y729" t="str">
        <f>VLOOKUP(W729,Sheet4!$A$5:$B$71,2,0)</f>
        <v>MAXIMA HD</v>
      </c>
      <c r="Z729">
        <v>87082900</v>
      </c>
      <c r="AA729">
        <v>8</v>
      </c>
      <c r="AB729" t="s">
        <v>159</v>
      </c>
      <c r="AC729" s="24">
        <v>8593.51</v>
      </c>
      <c r="AD729" t="s">
        <v>160</v>
      </c>
      <c r="AE729" s="24">
        <v>68748.08</v>
      </c>
      <c r="AF729">
        <v>0</v>
      </c>
      <c r="AG729" s="24">
        <v>68748.08</v>
      </c>
      <c r="AH729">
        <v>0</v>
      </c>
      <c r="AI729">
        <v>0</v>
      </c>
      <c r="AJ729">
        <v>0</v>
      </c>
      <c r="AK729">
        <v>0</v>
      </c>
      <c r="AL729" s="24">
        <v>68748.08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s="24">
        <v>68748.08</v>
      </c>
      <c r="AV729">
        <v>0</v>
      </c>
      <c r="AW729">
        <v>0</v>
      </c>
      <c r="AX729">
        <v>311000</v>
      </c>
      <c r="AY729" t="s">
        <v>161</v>
      </c>
      <c r="AZ729">
        <v>93.34</v>
      </c>
      <c r="BA729">
        <v>75.430000000000007</v>
      </c>
      <c r="BB729">
        <v>17.91</v>
      </c>
      <c r="BC729" t="s">
        <v>168</v>
      </c>
      <c r="BD729">
        <v>1509</v>
      </c>
      <c r="BE729" t="s">
        <v>169</v>
      </c>
      <c r="BF729" t="s">
        <v>163</v>
      </c>
      <c r="BG729" t="s">
        <v>164</v>
      </c>
    </row>
    <row r="730" spans="1:59">
      <c r="A730">
        <v>1115</v>
      </c>
      <c r="B730">
        <v>1115</v>
      </c>
      <c r="C730">
        <v>10</v>
      </c>
      <c r="D730">
        <v>2</v>
      </c>
      <c r="E730" t="s">
        <v>152</v>
      </c>
      <c r="F730" t="s">
        <v>153</v>
      </c>
      <c r="G730" t="s">
        <v>154</v>
      </c>
      <c r="H730">
        <v>1526006215</v>
      </c>
      <c r="I730">
        <v>1000006483</v>
      </c>
      <c r="L730" t="s">
        <v>335</v>
      </c>
      <c r="M730">
        <v>5100001603</v>
      </c>
      <c r="N730" t="s">
        <v>155</v>
      </c>
      <c r="O730" t="s">
        <v>156</v>
      </c>
      <c r="P730">
        <v>4110025468</v>
      </c>
      <c r="Q730" t="s">
        <v>165</v>
      </c>
      <c r="R730">
        <v>5000</v>
      </c>
      <c r="S730" t="s">
        <v>166</v>
      </c>
      <c r="V730" t="s">
        <v>167</v>
      </c>
      <c r="W730">
        <v>1502020102</v>
      </c>
      <c r="X730" t="s">
        <v>58</v>
      </c>
      <c r="Y730" t="str">
        <f>VLOOKUP(W730,Sheet4!$A$5:$B$71,2,0)</f>
        <v>MAXIMA HD</v>
      </c>
      <c r="Z730">
        <v>87082900</v>
      </c>
      <c r="AA730">
        <v>8</v>
      </c>
      <c r="AB730" t="s">
        <v>159</v>
      </c>
      <c r="AC730" s="24">
        <v>8593.51</v>
      </c>
      <c r="AD730" t="s">
        <v>160</v>
      </c>
      <c r="AE730" s="24">
        <v>68748.08</v>
      </c>
      <c r="AF730">
        <v>0</v>
      </c>
      <c r="AG730" s="24">
        <v>68748.08</v>
      </c>
      <c r="AH730">
        <v>0</v>
      </c>
      <c r="AI730">
        <v>0</v>
      </c>
      <c r="AJ730">
        <v>0</v>
      </c>
      <c r="AK730">
        <v>0</v>
      </c>
      <c r="AL730" s="24">
        <v>68748.08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 s="24">
        <v>68748.08</v>
      </c>
      <c r="AV730">
        <v>0</v>
      </c>
      <c r="AW730">
        <v>0</v>
      </c>
      <c r="AX730">
        <v>311000</v>
      </c>
      <c r="AY730" t="s">
        <v>161</v>
      </c>
      <c r="AZ730">
        <v>93.34</v>
      </c>
      <c r="BA730">
        <v>75.430000000000007</v>
      </c>
      <c r="BB730">
        <v>17.91</v>
      </c>
      <c r="BC730" t="s">
        <v>168</v>
      </c>
      <c r="BD730">
        <v>1509</v>
      </c>
      <c r="BE730" t="s">
        <v>169</v>
      </c>
      <c r="BF730" t="s">
        <v>163</v>
      </c>
      <c r="BG730" t="s">
        <v>164</v>
      </c>
    </row>
    <row r="731" spans="1:59">
      <c r="A731">
        <v>1115</v>
      </c>
      <c r="B731">
        <v>1115</v>
      </c>
      <c r="C731">
        <v>10</v>
      </c>
      <c r="D731">
        <v>2</v>
      </c>
      <c r="E731" t="s">
        <v>152</v>
      </c>
      <c r="F731" t="s">
        <v>153</v>
      </c>
      <c r="G731" t="s">
        <v>154</v>
      </c>
      <c r="H731">
        <v>1526006214</v>
      </c>
      <c r="I731">
        <v>1000006482</v>
      </c>
      <c r="L731" t="s">
        <v>335</v>
      </c>
      <c r="M731">
        <v>5100001101</v>
      </c>
      <c r="N731" t="s">
        <v>155</v>
      </c>
      <c r="O731" t="s">
        <v>156</v>
      </c>
      <c r="P731">
        <v>4110004653</v>
      </c>
      <c r="Q731" t="s">
        <v>177</v>
      </c>
      <c r="R731">
        <v>5000</v>
      </c>
      <c r="S731" t="s">
        <v>166</v>
      </c>
      <c r="V731" t="s">
        <v>167</v>
      </c>
      <c r="W731">
        <v>1502040194</v>
      </c>
      <c r="X731" t="s">
        <v>44</v>
      </c>
      <c r="Y731" t="str">
        <f>VLOOKUP(W731,Sheet4!$A$5:$B$71,2,0)</f>
        <v>CRADEL</v>
      </c>
      <c r="Z731">
        <v>87082900</v>
      </c>
      <c r="AA731">
        <v>48</v>
      </c>
      <c r="AB731" t="s">
        <v>159</v>
      </c>
      <c r="AC731">
        <v>956.92</v>
      </c>
      <c r="AD731" t="s">
        <v>160</v>
      </c>
      <c r="AE731" s="24">
        <v>45932.160000000003</v>
      </c>
      <c r="AF731">
        <v>0</v>
      </c>
      <c r="AG731" s="24">
        <v>45932.160000000003</v>
      </c>
      <c r="AH731">
        <v>0</v>
      </c>
      <c r="AI731">
        <v>0</v>
      </c>
      <c r="AJ731">
        <v>0</v>
      </c>
      <c r="AK731">
        <v>0</v>
      </c>
      <c r="AL731" s="24">
        <v>45932.160000000003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s="24">
        <v>45932.160000000003</v>
      </c>
      <c r="AV731">
        <v>0</v>
      </c>
      <c r="AW731">
        <v>0</v>
      </c>
      <c r="AX731">
        <v>311000</v>
      </c>
      <c r="AY731" t="s">
        <v>161</v>
      </c>
      <c r="AZ731">
        <v>6.3769999999999998</v>
      </c>
      <c r="BA731">
        <v>6.3769999999999998</v>
      </c>
      <c r="BB731">
        <v>0</v>
      </c>
      <c r="BC731" t="s">
        <v>184</v>
      </c>
      <c r="BD731">
        <v>1511</v>
      </c>
      <c r="BE731" t="s">
        <v>174</v>
      </c>
      <c r="BF731" t="s">
        <v>163</v>
      </c>
      <c r="BG731" t="s">
        <v>164</v>
      </c>
    </row>
    <row r="732" spans="1:59">
      <c r="A732">
        <v>1115</v>
      </c>
      <c r="B732">
        <v>1115</v>
      </c>
      <c r="C732">
        <v>10</v>
      </c>
      <c r="D732">
        <v>2</v>
      </c>
      <c r="E732" t="s">
        <v>152</v>
      </c>
      <c r="F732" t="s">
        <v>153</v>
      </c>
      <c r="G732" t="s">
        <v>154</v>
      </c>
      <c r="H732">
        <v>1526006213</v>
      </c>
      <c r="I732">
        <v>1000006481</v>
      </c>
      <c r="L732" t="s">
        <v>335</v>
      </c>
      <c r="M732">
        <v>5100001925</v>
      </c>
      <c r="N732" t="s">
        <v>155</v>
      </c>
      <c r="O732" t="s">
        <v>156</v>
      </c>
      <c r="P732">
        <v>4110055667</v>
      </c>
      <c r="Q732" t="s">
        <v>185</v>
      </c>
      <c r="R732">
        <v>5000</v>
      </c>
      <c r="S732" t="s">
        <v>166</v>
      </c>
      <c r="V732" t="s">
        <v>167</v>
      </c>
      <c r="W732">
        <v>1502040318</v>
      </c>
      <c r="X732" t="s">
        <v>72</v>
      </c>
      <c r="Y732" t="str">
        <f>VLOOKUP(W732,Sheet4!$A$5:$B$71,2,0)</f>
        <v>Re Side Door</v>
      </c>
      <c r="Z732">
        <v>87082900</v>
      </c>
      <c r="AA732">
        <v>120</v>
      </c>
      <c r="AB732" t="s">
        <v>159</v>
      </c>
      <c r="AC732">
        <v>506.59</v>
      </c>
      <c r="AD732" t="s">
        <v>160</v>
      </c>
      <c r="AE732" s="24">
        <v>60790.8</v>
      </c>
      <c r="AF732">
        <v>0</v>
      </c>
      <c r="AG732" s="24">
        <v>60790.8</v>
      </c>
      <c r="AH732">
        <v>0</v>
      </c>
      <c r="AI732">
        <v>0</v>
      </c>
      <c r="AJ732">
        <v>0</v>
      </c>
      <c r="AK732">
        <v>0</v>
      </c>
      <c r="AL732" s="24">
        <v>60790.8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 s="24">
        <v>60790.8</v>
      </c>
      <c r="AV732">
        <v>0</v>
      </c>
      <c r="AW732">
        <v>0</v>
      </c>
      <c r="AX732">
        <v>311000</v>
      </c>
      <c r="AY732" t="s">
        <v>161</v>
      </c>
      <c r="AZ732">
        <v>2.27</v>
      </c>
      <c r="BA732">
        <v>2.27</v>
      </c>
      <c r="BB732">
        <v>0</v>
      </c>
      <c r="BC732" t="s">
        <v>187</v>
      </c>
      <c r="BD732">
        <v>1511</v>
      </c>
      <c r="BE732" t="s">
        <v>174</v>
      </c>
      <c r="BF732" t="s">
        <v>163</v>
      </c>
      <c r="BG732" t="s">
        <v>164</v>
      </c>
    </row>
    <row r="733" spans="1:59">
      <c r="A733">
        <v>1115</v>
      </c>
      <c r="B733">
        <v>1115</v>
      </c>
      <c r="C733">
        <v>10</v>
      </c>
      <c r="D733">
        <v>2</v>
      </c>
      <c r="E733" t="s">
        <v>152</v>
      </c>
      <c r="F733" t="s">
        <v>153</v>
      </c>
      <c r="G733" t="s">
        <v>154</v>
      </c>
      <c r="H733">
        <v>1526006212</v>
      </c>
      <c r="I733">
        <v>1000006480</v>
      </c>
      <c r="L733" t="s">
        <v>335</v>
      </c>
      <c r="M733">
        <v>5100001588</v>
      </c>
      <c r="N733" t="s">
        <v>155</v>
      </c>
      <c r="O733" t="s">
        <v>156</v>
      </c>
      <c r="P733">
        <v>4110025058</v>
      </c>
      <c r="Q733" t="s">
        <v>180</v>
      </c>
      <c r="R733">
        <v>5000</v>
      </c>
      <c r="S733" t="s">
        <v>166</v>
      </c>
      <c r="V733" t="s">
        <v>167</v>
      </c>
      <c r="W733">
        <v>1502040235</v>
      </c>
      <c r="X733" t="s">
        <v>47</v>
      </c>
      <c r="Y733" t="str">
        <f>VLOOKUP(W733,Sheet4!$A$5:$B$71,2,0)</f>
        <v>STARTING HANDLE</v>
      </c>
      <c r="Z733">
        <v>87082900</v>
      </c>
      <c r="AA733">
        <v>270</v>
      </c>
      <c r="AB733" t="s">
        <v>159</v>
      </c>
      <c r="AC733">
        <v>217.33</v>
      </c>
      <c r="AD733" t="s">
        <v>160</v>
      </c>
      <c r="AE733" s="24">
        <v>58679.1</v>
      </c>
      <c r="AF733">
        <v>0</v>
      </c>
      <c r="AG733" s="24">
        <v>58679.1</v>
      </c>
      <c r="AH733">
        <v>0</v>
      </c>
      <c r="AI733">
        <v>0</v>
      </c>
      <c r="AJ733">
        <v>0</v>
      </c>
      <c r="AK733">
        <v>0</v>
      </c>
      <c r="AL733" s="24">
        <v>58679.1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 s="24">
        <v>58679.1</v>
      </c>
      <c r="AV733">
        <v>0</v>
      </c>
      <c r="AW733">
        <v>0</v>
      </c>
      <c r="AX733">
        <v>311000</v>
      </c>
      <c r="AY733" t="s">
        <v>161</v>
      </c>
      <c r="AZ733">
        <v>1.19</v>
      </c>
      <c r="BA733">
        <v>1.19</v>
      </c>
      <c r="BB733">
        <v>0</v>
      </c>
      <c r="BC733" t="s">
        <v>181</v>
      </c>
      <c r="BD733">
        <v>1511</v>
      </c>
      <c r="BE733" t="s">
        <v>174</v>
      </c>
      <c r="BF733" t="s">
        <v>163</v>
      </c>
      <c r="BG733" t="s">
        <v>164</v>
      </c>
    </row>
    <row r="734" spans="1:59">
      <c r="A734">
        <v>1115</v>
      </c>
      <c r="B734">
        <v>1115</v>
      </c>
      <c r="C734">
        <v>10</v>
      </c>
      <c r="D734">
        <v>2</v>
      </c>
      <c r="E734" t="s">
        <v>152</v>
      </c>
      <c r="F734" t="s">
        <v>153</v>
      </c>
      <c r="G734" t="s">
        <v>154</v>
      </c>
      <c r="H734">
        <v>1526006211</v>
      </c>
      <c r="I734">
        <v>1000006479</v>
      </c>
      <c r="L734" t="s">
        <v>335</v>
      </c>
      <c r="M734">
        <v>5100001099</v>
      </c>
      <c r="N734" t="s">
        <v>155</v>
      </c>
      <c r="O734" t="s">
        <v>156</v>
      </c>
      <c r="P734">
        <v>4110004650</v>
      </c>
      <c r="Q734" t="s">
        <v>177</v>
      </c>
      <c r="R734">
        <v>5000</v>
      </c>
      <c r="S734" t="s">
        <v>166</v>
      </c>
      <c r="V734" t="s">
        <v>167</v>
      </c>
      <c r="W734">
        <v>1502040133</v>
      </c>
      <c r="X734" t="s">
        <v>228</v>
      </c>
      <c r="Y734" t="str">
        <f>VLOOKUP(W734,Sheet4!$A$5:$B$71,2,0)</f>
        <v>REAR COVER</v>
      </c>
      <c r="Z734">
        <v>87082900</v>
      </c>
      <c r="AA734">
        <v>55</v>
      </c>
      <c r="AB734" t="s">
        <v>159</v>
      </c>
      <c r="AC734">
        <v>164.49</v>
      </c>
      <c r="AD734" t="s">
        <v>160</v>
      </c>
      <c r="AE734" s="24">
        <v>9046.9500000000007</v>
      </c>
      <c r="AF734">
        <v>0</v>
      </c>
      <c r="AG734" s="24">
        <v>9046.9500000000007</v>
      </c>
      <c r="AH734">
        <v>0</v>
      </c>
      <c r="AI734">
        <v>0</v>
      </c>
      <c r="AJ734">
        <v>0</v>
      </c>
      <c r="AK734">
        <v>0</v>
      </c>
      <c r="AL734" s="24">
        <v>9046.9500000000007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s="24">
        <v>9046.9500000000007</v>
      </c>
      <c r="AV734">
        <v>0</v>
      </c>
      <c r="AW734">
        <v>0</v>
      </c>
      <c r="AX734">
        <v>311000</v>
      </c>
      <c r="AY734" t="s">
        <v>161</v>
      </c>
      <c r="AZ734">
        <v>1.248</v>
      </c>
      <c r="BA734">
        <v>1.248</v>
      </c>
      <c r="BB734">
        <v>0</v>
      </c>
      <c r="BC734" t="s">
        <v>229</v>
      </c>
      <c r="BD734">
        <v>1511</v>
      </c>
      <c r="BE734" t="s">
        <v>174</v>
      </c>
      <c r="BF734">
        <v>5094133949</v>
      </c>
      <c r="BG734" t="s">
        <v>335</v>
      </c>
    </row>
    <row r="735" spans="1:59">
      <c r="A735">
        <v>1115</v>
      </c>
      <c r="B735">
        <v>1115</v>
      </c>
      <c r="C735">
        <v>10</v>
      </c>
      <c r="D735">
        <v>2</v>
      </c>
      <c r="E735" t="s">
        <v>152</v>
      </c>
      <c r="F735" t="s">
        <v>153</v>
      </c>
      <c r="G735" t="s">
        <v>154</v>
      </c>
      <c r="H735">
        <v>1526006210</v>
      </c>
      <c r="I735">
        <v>1000006478</v>
      </c>
      <c r="L735" t="s">
        <v>335</v>
      </c>
      <c r="M735">
        <v>5100001099</v>
      </c>
      <c r="N735" t="s">
        <v>155</v>
      </c>
      <c r="O735" t="s">
        <v>156</v>
      </c>
      <c r="P735">
        <v>4110004650</v>
      </c>
      <c r="Q735" t="s">
        <v>177</v>
      </c>
      <c r="R735">
        <v>5000</v>
      </c>
      <c r="S735" t="s">
        <v>166</v>
      </c>
      <c r="V735" t="s">
        <v>167</v>
      </c>
      <c r="W735">
        <v>1502040132</v>
      </c>
      <c r="X735" t="s">
        <v>230</v>
      </c>
      <c r="Y735" t="str">
        <f>VLOOKUP(W735,Sheet4!$A$5:$B$71,2,0)</f>
        <v>REAR COVER</v>
      </c>
      <c r="Z735">
        <v>87082900</v>
      </c>
      <c r="AA735">
        <v>55</v>
      </c>
      <c r="AB735" t="s">
        <v>159</v>
      </c>
      <c r="AC735">
        <v>159.41</v>
      </c>
      <c r="AD735" t="s">
        <v>160</v>
      </c>
      <c r="AE735" s="24">
        <v>8767.5499999999993</v>
      </c>
      <c r="AF735">
        <v>0</v>
      </c>
      <c r="AG735" s="24">
        <v>8767.5499999999993</v>
      </c>
      <c r="AH735">
        <v>0</v>
      </c>
      <c r="AI735">
        <v>0</v>
      </c>
      <c r="AJ735">
        <v>0</v>
      </c>
      <c r="AK735">
        <v>0</v>
      </c>
      <c r="AL735" s="24">
        <v>8767.5499999999993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 s="24">
        <v>8767.5499999999993</v>
      </c>
      <c r="AV735">
        <v>0</v>
      </c>
      <c r="AW735">
        <v>0</v>
      </c>
      <c r="AX735">
        <v>311000</v>
      </c>
      <c r="AY735" t="s">
        <v>161</v>
      </c>
      <c r="AZ735">
        <v>1.1659999999999999</v>
      </c>
      <c r="BA735">
        <v>1.1659999999999999</v>
      </c>
      <c r="BB735">
        <v>0</v>
      </c>
      <c r="BC735" t="s">
        <v>231</v>
      </c>
      <c r="BD735">
        <v>1511</v>
      </c>
      <c r="BE735" t="s">
        <v>174</v>
      </c>
      <c r="BF735">
        <v>5094133918</v>
      </c>
      <c r="BG735" t="s">
        <v>335</v>
      </c>
    </row>
    <row r="736" spans="1:59">
      <c r="A736">
        <v>1115</v>
      </c>
      <c r="B736">
        <v>1115</v>
      </c>
      <c r="C736">
        <v>10</v>
      </c>
      <c r="D736">
        <v>2</v>
      </c>
      <c r="E736" t="s">
        <v>152</v>
      </c>
      <c r="F736" t="s">
        <v>153</v>
      </c>
      <c r="G736" t="s">
        <v>154</v>
      </c>
      <c r="H736">
        <v>1526006209</v>
      </c>
      <c r="I736">
        <v>1000006477</v>
      </c>
      <c r="L736" t="s">
        <v>335</v>
      </c>
      <c r="M736">
        <v>5100001925</v>
      </c>
      <c r="N736" t="s">
        <v>155</v>
      </c>
      <c r="O736" t="s">
        <v>156</v>
      </c>
      <c r="P736">
        <v>4110055667</v>
      </c>
      <c r="Q736" t="s">
        <v>185</v>
      </c>
      <c r="R736">
        <v>5000</v>
      </c>
      <c r="S736" t="s">
        <v>166</v>
      </c>
      <c r="V736" t="s">
        <v>167</v>
      </c>
      <c r="W736">
        <v>1502040317</v>
      </c>
      <c r="X736" t="s">
        <v>73</v>
      </c>
      <c r="Y736" t="str">
        <f>VLOOKUP(W736,Sheet4!$A$5:$B$71,2,0)</f>
        <v>Re Side Door</v>
      </c>
      <c r="Z736">
        <v>87082900</v>
      </c>
      <c r="AA736">
        <v>120</v>
      </c>
      <c r="AB736" t="s">
        <v>159</v>
      </c>
      <c r="AC736">
        <v>506.59</v>
      </c>
      <c r="AD736" t="s">
        <v>160</v>
      </c>
      <c r="AE736" s="24">
        <v>60790.8</v>
      </c>
      <c r="AF736">
        <v>0</v>
      </c>
      <c r="AG736" s="24">
        <v>60790.8</v>
      </c>
      <c r="AH736">
        <v>0</v>
      </c>
      <c r="AI736">
        <v>0</v>
      </c>
      <c r="AJ736">
        <v>0</v>
      </c>
      <c r="AK736">
        <v>0</v>
      </c>
      <c r="AL736" s="24">
        <v>60790.8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 s="24">
        <v>60790.8</v>
      </c>
      <c r="AV736">
        <v>0</v>
      </c>
      <c r="AW736">
        <v>0</v>
      </c>
      <c r="AX736">
        <v>311000</v>
      </c>
      <c r="AY736" t="s">
        <v>161</v>
      </c>
      <c r="AZ736">
        <v>2.27</v>
      </c>
      <c r="BA736">
        <v>2.27</v>
      </c>
      <c r="BB736">
        <v>0</v>
      </c>
      <c r="BC736" t="s">
        <v>186</v>
      </c>
      <c r="BD736">
        <v>1511</v>
      </c>
      <c r="BE736" t="s">
        <v>174</v>
      </c>
      <c r="BF736" t="s">
        <v>163</v>
      </c>
      <c r="BG736" t="s">
        <v>164</v>
      </c>
    </row>
    <row r="737" spans="1:59">
      <c r="A737">
        <v>1115</v>
      </c>
      <c r="B737">
        <v>1115</v>
      </c>
      <c r="C737">
        <v>10</v>
      </c>
      <c r="D737">
        <v>2</v>
      </c>
      <c r="E737" t="s">
        <v>152</v>
      </c>
      <c r="F737" t="s">
        <v>153</v>
      </c>
      <c r="G737" t="s">
        <v>154</v>
      </c>
      <c r="H737">
        <v>1526006208</v>
      </c>
      <c r="I737">
        <v>1000006476</v>
      </c>
      <c r="L737" t="s">
        <v>335</v>
      </c>
      <c r="M737">
        <v>5100001588</v>
      </c>
      <c r="N737" t="s">
        <v>155</v>
      </c>
      <c r="O737" t="s">
        <v>156</v>
      </c>
      <c r="P737">
        <v>4110025058</v>
      </c>
      <c r="Q737" t="s">
        <v>180</v>
      </c>
      <c r="R737">
        <v>5000</v>
      </c>
      <c r="S737" t="s">
        <v>166</v>
      </c>
      <c r="V737" t="s">
        <v>167</v>
      </c>
      <c r="W737">
        <v>1502040235</v>
      </c>
      <c r="X737" t="s">
        <v>47</v>
      </c>
      <c r="Y737" t="str">
        <f>VLOOKUP(W737,Sheet4!$A$5:$B$71,2,0)</f>
        <v>STARTING HANDLE</v>
      </c>
      <c r="Z737">
        <v>87082900</v>
      </c>
      <c r="AA737">
        <v>270</v>
      </c>
      <c r="AB737" t="s">
        <v>159</v>
      </c>
      <c r="AC737">
        <v>217.33</v>
      </c>
      <c r="AD737" t="s">
        <v>160</v>
      </c>
      <c r="AE737" s="24">
        <v>58679.1</v>
      </c>
      <c r="AF737">
        <v>0</v>
      </c>
      <c r="AG737" s="24">
        <v>58679.1</v>
      </c>
      <c r="AH737">
        <v>0</v>
      </c>
      <c r="AI737">
        <v>0</v>
      </c>
      <c r="AJ737">
        <v>0</v>
      </c>
      <c r="AK737">
        <v>0</v>
      </c>
      <c r="AL737" s="24">
        <v>58679.1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 s="24">
        <v>58679.1</v>
      </c>
      <c r="AV737">
        <v>0</v>
      </c>
      <c r="AW737">
        <v>0</v>
      </c>
      <c r="AX737">
        <v>311000</v>
      </c>
      <c r="AY737" t="s">
        <v>161</v>
      </c>
      <c r="AZ737">
        <v>1.19</v>
      </c>
      <c r="BA737">
        <v>1.19</v>
      </c>
      <c r="BB737">
        <v>0</v>
      </c>
      <c r="BC737" t="s">
        <v>181</v>
      </c>
      <c r="BD737">
        <v>1511</v>
      </c>
      <c r="BE737" t="s">
        <v>174</v>
      </c>
      <c r="BF737" t="s">
        <v>163</v>
      </c>
      <c r="BG737" t="s">
        <v>164</v>
      </c>
    </row>
    <row r="738" spans="1:59">
      <c r="A738">
        <v>1115</v>
      </c>
      <c r="B738">
        <v>1115</v>
      </c>
      <c r="C738">
        <v>10</v>
      </c>
      <c r="D738">
        <v>2</v>
      </c>
      <c r="E738" t="s">
        <v>152</v>
      </c>
      <c r="F738" t="s">
        <v>153</v>
      </c>
      <c r="G738" t="s">
        <v>154</v>
      </c>
      <c r="H738">
        <v>1526006207</v>
      </c>
      <c r="I738">
        <v>1000006475</v>
      </c>
      <c r="L738" t="s">
        <v>335</v>
      </c>
      <c r="M738">
        <v>5100001227</v>
      </c>
      <c r="N738" t="s">
        <v>155</v>
      </c>
      <c r="O738" t="s">
        <v>156</v>
      </c>
      <c r="P738">
        <v>4110011319</v>
      </c>
      <c r="Q738" t="s">
        <v>175</v>
      </c>
      <c r="R738">
        <v>5000</v>
      </c>
      <c r="S738" t="s">
        <v>166</v>
      </c>
      <c r="V738" t="s">
        <v>167</v>
      </c>
      <c r="W738">
        <v>1502020074</v>
      </c>
      <c r="X738" t="s">
        <v>28</v>
      </c>
      <c r="Y738" t="str">
        <f>VLOOKUP(W738,Sheet4!$A$5:$B$71,2,0)</f>
        <v>MAX UG NEW</v>
      </c>
      <c r="Z738">
        <v>87082900</v>
      </c>
      <c r="AA738">
        <v>8</v>
      </c>
      <c r="AB738" t="s">
        <v>159</v>
      </c>
      <c r="AC738" s="24">
        <v>9397.5</v>
      </c>
      <c r="AD738" t="s">
        <v>160</v>
      </c>
      <c r="AE738" s="24">
        <v>75180</v>
      </c>
      <c r="AF738">
        <v>0</v>
      </c>
      <c r="AG738" s="24">
        <v>75180</v>
      </c>
      <c r="AH738">
        <v>0</v>
      </c>
      <c r="AI738">
        <v>0</v>
      </c>
      <c r="AJ738">
        <v>0</v>
      </c>
      <c r="AK738">
        <v>0</v>
      </c>
      <c r="AL738" s="24">
        <v>75180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 s="24">
        <v>75180</v>
      </c>
      <c r="AV738">
        <v>0</v>
      </c>
      <c r="AW738">
        <v>0</v>
      </c>
      <c r="AX738">
        <v>311000</v>
      </c>
      <c r="AY738" t="s">
        <v>161</v>
      </c>
      <c r="AZ738">
        <v>69.5</v>
      </c>
      <c r="BA738">
        <v>69.5</v>
      </c>
      <c r="BB738">
        <v>0</v>
      </c>
      <c r="BC738" t="s">
        <v>176</v>
      </c>
      <c r="BD738">
        <v>1509</v>
      </c>
      <c r="BE738" t="s">
        <v>169</v>
      </c>
      <c r="BF738">
        <v>5094131926</v>
      </c>
      <c r="BG738" t="s">
        <v>335</v>
      </c>
    </row>
    <row r="739" spans="1:59">
      <c r="A739">
        <v>1115</v>
      </c>
      <c r="B739">
        <v>1115</v>
      </c>
      <c r="C739">
        <v>10</v>
      </c>
      <c r="D739">
        <v>2</v>
      </c>
      <c r="E739" t="s">
        <v>152</v>
      </c>
      <c r="F739" t="s">
        <v>153</v>
      </c>
      <c r="G739" t="s">
        <v>154</v>
      </c>
      <c r="H739">
        <v>1526006206</v>
      </c>
      <c r="I739">
        <v>1000006474</v>
      </c>
      <c r="L739" t="s">
        <v>335</v>
      </c>
      <c r="M739">
        <v>5100001227</v>
      </c>
      <c r="N739" t="s">
        <v>155</v>
      </c>
      <c r="O739" t="s">
        <v>156</v>
      </c>
      <c r="P739">
        <v>4110011319</v>
      </c>
      <c r="Q739" t="s">
        <v>175</v>
      </c>
      <c r="R739">
        <v>5000</v>
      </c>
      <c r="S739" t="s">
        <v>166</v>
      </c>
      <c r="V739" t="s">
        <v>167</v>
      </c>
      <c r="W739">
        <v>1502020074</v>
      </c>
      <c r="X739" t="s">
        <v>28</v>
      </c>
      <c r="Y739" t="str">
        <f>VLOOKUP(W739,Sheet4!$A$5:$B$71,2,0)</f>
        <v>MAX UG NEW</v>
      </c>
      <c r="Z739">
        <v>87082900</v>
      </c>
      <c r="AA739">
        <v>10</v>
      </c>
      <c r="AB739" t="s">
        <v>159</v>
      </c>
      <c r="AC739" s="24">
        <v>9397.5</v>
      </c>
      <c r="AD739" t="s">
        <v>160</v>
      </c>
      <c r="AE739" s="24">
        <v>93975</v>
      </c>
      <c r="AF739">
        <v>0</v>
      </c>
      <c r="AG739" s="24">
        <v>93975</v>
      </c>
      <c r="AH739">
        <v>0</v>
      </c>
      <c r="AI739">
        <v>0</v>
      </c>
      <c r="AJ739">
        <v>0</v>
      </c>
      <c r="AK739">
        <v>0</v>
      </c>
      <c r="AL739" s="24">
        <v>93975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 s="24">
        <v>93975</v>
      </c>
      <c r="AV739">
        <v>0</v>
      </c>
      <c r="AW739">
        <v>0</v>
      </c>
      <c r="AX739">
        <v>311000</v>
      </c>
      <c r="AY739" t="s">
        <v>161</v>
      </c>
      <c r="AZ739">
        <v>69.5</v>
      </c>
      <c r="BA739">
        <v>69.5</v>
      </c>
      <c r="BB739">
        <v>0</v>
      </c>
      <c r="BC739" t="s">
        <v>176</v>
      </c>
      <c r="BD739">
        <v>1509</v>
      </c>
      <c r="BE739" t="s">
        <v>169</v>
      </c>
      <c r="BF739">
        <v>5094132247</v>
      </c>
      <c r="BG739" t="s">
        <v>335</v>
      </c>
    </row>
    <row r="740" spans="1:59">
      <c r="A740">
        <v>1115</v>
      </c>
      <c r="B740">
        <v>1115</v>
      </c>
      <c r="C740">
        <v>10</v>
      </c>
      <c r="D740">
        <v>2</v>
      </c>
      <c r="E740" t="s">
        <v>152</v>
      </c>
      <c r="F740" t="s">
        <v>153</v>
      </c>
      <c r="G740" t="s">
        <v>154</v>
      </c>
      <c r="H740">
        <v>1526006205</v>
      </c>
      <c r="I740">
        <v>1000006473</v>
      </c>
      <c r="L740" t="s">
        <v>335</v>
      </c>
      <c r="M740">
        <v>5100001227</v>
      </c>
      <c r="N740" t="s">
        <v>155</v>
      </c>
      <c r="O740" t="s">
        <v>156</v>
      </c>
      <c r="P740">
        <v>4110011319</v>
      </c>
      <c r="Q740" t="s">
        <v>175</v>
      </c>
      <c r="R740">
        <v>5000</v>
      </c>
      <c r="S740" t="s">
        <v>166</v>
      </c>
      <c r="V740" t="s">
        <v>167</v>
      </c>
      <c r="W740">
        <v>1502020074</v>
      </c>
      <c r="X740" t="s">
        <v>28</v>
      </c>
      <c r="Y740" t="str">
        <f>VLOOKUP(W740,Sheet4!$A$5:$B$71,2,0)</f>
        <v>MAX UG NEW</v>
      </c>
      <c r="Z740">
        <v>87082900</v>
      </c>
      <c r="AA740">
        <v>10</v>
      </c>
      <c r="AB740" t="s">
        <v>159</v>
      </c>
      <c r="AC740" s="24">
        <v>9397.5</v>
      </c>
      <c r="AD740" t="s">
        <v>160</v>
      </c>
      <c r="AE740" s="24">
        <v>93975</v>
      </c>
      <c r="AF740">
        <v>0</v>
      </c>
      <c r="AG740" s="24">
        <v>93975</v>
      </c>
      <c r="AH740">
        <v>0</v>
      </c>
      <c r="AI740">
        <v>0</v>
      </c>
      <c r="AJ740">
        <v>0</v>
      </c>
      <c r="AK740">
        <v>0</v>
      </c>
      <c r="AL740" s="24">
        <v>93975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 s="24">
        <v>93975</v>
      </c>
      <c r="AV740">
        <v>0</v>
      </c>
      <c r="AW740">
        <v>0</v>
      </c>
      <c r="AX740">
        <v>311000</v>
      </c>
      <c r="AY740" t="s">
        <v>161</v>
      </c>
      <c r="AZ740">
        <v>69.5</v>
      </c>
      <c r="BA740">
        <v>69.5</v>
      </c>
      <c r="BB740">
        <v>0</v>
      </c>
      <c r="BC740" t="s">
        <v>176</v>
      </c>
      <c r="BD740">
        <v>1509</v>
      </c>
      <c r="BE740" t="s">
        <v>169</v>
      </c>
      <c r="BF740">
        <v>5094132177</v>
      </c>
      <c r="BG740" t="s">
        <v>335</v>
      </c>
    </row>
    <row r="741" spans="1:59">
      <c r="A741">
        <v>1115</v>
      </c>
      <c r="B741">
        <v>1115</v>
      </c>
      <c r="C741">
        <v>10</v>
      </c>
      <c r="D741">
        <v>2</v>
      </c>
      <c r="E741" t="s">
        <v>152</v>
      </c>
      <c r="F741" t="s">
        <v>153</v>
      </c>
      <c r="G741" t="s">
        <v>154</v>
      </c>
      <c r="H741">
        <v>1526006204</v>
      </c>
      <c r="I741">
        <v>1000006472</v>
      </c>
      <c r="L741" t="s">
        <v>335</v>
      </c>
      <c r="M741">
        <v>5100001227</v>
      </c>
      <c r="N741" t="s">
        <v>155</v>
      </c>
      <c r="O741" t="s">
        <v>156</v>
      </c>
      <c r="P741">
        <v>4110011319</v>
      </c>
      <c r="Q741" t="s">
        <v>175</v>
      </c>
      <c r="R741">
        <v>5000</v>
      </c>
      <c r="S741" t="s">
        <v>166</v>
      </c>
      <c r="V741" t="s">
        <v>167</v>
      </c>
      <c r="W741">
        <v>1502020074</v>
      </c>
      <c r="X741" t="s">
        <v>28</v>
      </c>
      <c r="Y741" t="str">
        <f>VLOOKUP(W741,Sheet4!$A$5:$B$71,2,0)</f>
        <v>MAX UG NEW</v>
      </c>
      <c r="Z741">
        <v>87082900</v>
      </c>
      <c r="AA741">
        <v>10</v>
      </c>
      <c r="AB741" t="s">
        <v>159</v>
      </c>
      <c r="AC741" s="24">
        <v>9397.5</v>
      </c>
      <c r="AD741" t="s">
        <v>160</v>
      </c>
      <c r="AE741" s="24">
        <v>93975</v>
      </c>
      <c r="AF741">
        <v>0</v>
      </c>
      <c r="AG741" s="24">
        <v>93975</v>
      </c>
      <c r="AH741">
        <v>0</v>
      </c>
      <c r="AI741">
        <v>0</v>
      </c>
      <c r="AJ741">
        <v>0</v>
      </c>
      <c r="AK741">
        <v>0</v>
      </c>
      <c r="AL741" s="24">
        <v>93975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 s="24">
        <v>93975</v>
      </c>
      <c r="AV741">
        <v>0</v>
      </c>
      <c r="AW741">
        <v>0</v>
      </c>
      <c r="AX741">
        <v>311000</v>
      </c>
      <c r="AY741" t="s">
        <v>161</v>
      </c>
      <c r="AZ741">
        <v>69.5</v>
      </c>
      <c r="BA741">
        <v>69.5</v>
      </c>
      <c r="BB741">
        <v>0</v>
      </c>
      <c r="BC741" t="s">
        <v>176</v>
      </c>
      <c r="BD741">
        <v>1509</v>
      </c>
      <c r="BE741" t="s">
        <v>169</v>
      </c>
      <c r="BF741" t="s">
        <v>163</v>
      </c>
      <c r="BG741" t="s">
        <v>164</v>
      </c>
    </row>
    <row r="742" spans="1:59">
      <c r="A742">
        <v>1115</v>
      </c>
      <c r="B742">
        <v>1115</v>
      </c>
      <c r="C742">
        <v>10</v>
      </c>
      <c r="D742">
        <v>2</v>
      </c>
      <c r="E742" t="s">
        <v>152</v>
      </c>
      <c r="F742" t="s">
        <v>153</v>
      </c>
      <c r="G742" t="s">
        <v>154</v>
      </c>
      <c r="H742">
        <v>1526006203</v>
      </c>
      <c r="I742">
        <v>1000006471</v>
      </c>
      <c r="L742" t="s">
        <v>335</v>
      </c>
      <c r="M742">
        <v>5100001227</v>
      </c>
      <c r="N742" t="s">
        <v>155</v>
      </c>
      <c r="O742" t="s">
        <v>156</v>
      </c>
      <c r="P742">
        <v>4110011319</v>
      </c>
      <c r="Q742" t="s">
        <v>175</v>
      </c>
      <c r="R742">
        <v>5000</v>
      </c>
      <c r="S742" t="s">
        <v>166</v>
      </c>
      <c r="V742" t="s">
        <v>167</v>
      </c>
      <c r="W742">
        <v>1502020074</v>
      </c>
      <c r="X742" t="s">
        <v>28</v>
      </c>
      <c r="Y742" t="str">
        <f>VLOOKUP(W742,Sheet4!$A$5:$B$71,2,0)</f>
        <v>MAX UG NEW</v>
      </c>
      <c r="Z742">
        <v>87082900</v>
      </c>
      <c r="AA742">
        <v>10</v>
      </c>
      <c r="AB742" t="s">
        <v>159</v>
      </c>
      <c r="AC742" s="24">
        <v>9397.5</v>
      </c>
      <c r="AD742" t="s">
        <v>160</v>
      </c>
      <c r="AE742" s="24">
        <v>93975</v>
      </c>
      <c r="AF742">
        <v>0</v>
      </c>
      <c r="AG742" s="24">
        <v>93975</v>
      </c>
      <c r="AH742">
        <v>0</v>
      </c>
      <c r="AI742">
        <v>0</v>
      </c>
      <c r="AJ742">
        <v>0</v>
      </c>
      <c r="AK742">
        <v>0</v>
      </c>
      <c r="AL742" s="24">
        <v>93975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 s="24">
        <v>93975</v>
      </c>
      <c r="AV742">
        <v>0</v>
      </c>
      <c r="AW742">
        <v>0</v>
      </c>
      <c r="AX742">
        <v>311000</v>
      </c>
      <c r="AY742" t="s">
        <v>161</v>
      </c>
      <c r="AZ742">
        <v>69.5</v>
      </c>
      <c r="BA742">
        <v>69.5</v>
      </c>
      <c r="BB742">
        <v>0</v>
      </c>
      <c r="BC742" t="s">
        <v>176</v>
      </c>
      <c r="BD742">
        <v>1509</v>
      </c>
      <c r="BE742" t="s">
        <v>169</v>
      </c>
      <c r="BF742" t="s">
        <v>163</v>
      </c>
      <c r="BG742" t="s">
        <v>164</v>
      </c>
    </row>
    <row r="743" spans="1:59">
      <c r="A743">
        <v>1115</v>
      </c>
      <c r="B743">
        <v>1115</v>
      </c>
      <c r="C743">
        <v>10</v>
      </c>
      <c r="D743">
        <v>2</v>
      </c>
      <c r="E743" t="s">
        <v>152</v>
      </c>
      <c r="F743" t="s">
        <v>153</v>
      </c>
      <c r="G743" t="s">
        <v>154</v>
      </c>
      <c r="H743">
        <v>1526006202</v>
      </c>
      <c r="I743">
        <v>1000006470</v>
      </c>
      <c r="L743" t="s">
        <v>335</v>
      </c>
      <c r="M743">
        <v>5100001939</v>
      </c>
      <c r="N743" t="s">
        <v>155</v>
      </c>
      <c r="O743" t="s">
        <v>156</v>
      </c>
      <c r="P743">
        <v>4110059608</v>
      </c>
      <c r="Q743" t="s">
        <v>240</v>
      </c>
      <c r="R743">
        <v>5000</v>
      </c>
      <c r="S743" t="s">
        <v>166</v>
      </c>
      <c r="V743" t="s">
        <v>167</v>
      </c>
      <c r="W743">
        <v>1502020129</v>
      </c>
      <c r="X743" t="s">
        <v>241</v>
      </c>
      <c r="Y743" t="str">
        <f>VLOOKUP(W743,Sheet4!$A$5:$B$71,2,0)</f>
        <v>RE STYLING</v>
      </c>
      <c r="Z743">
        <v>87082900</v>
      </c>
      <c r="AA743">
        <v>15</v>
      </c>
      <c r="AB743" t="s">
        <v>159</v>
      </c>
      <c r="AC743" s="24">
        <v>6500.18</v>
      </c>
      <c r="AD743" t="s">
        <v>160</v>
      </c>
      <c r="AE743" s="24">
        <v>97502.7</v>
      </c>
      <c r="AF743">
        <v>0</v>
      </c>
      <c r="AG743" s="24">
        <v>97502.7</v>
      </c>
      <c r="AH743">
        <v>0</v>
      </c>
      <c r="AI743">
        <v>0</v>
      </c>
      <c r="AJ743">
        <v>0</v>
      </c>
      <c r="AK743">
        <v>0</v>
      </c>
      <c r="AL743" s="24">
        <v>97502.7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 s="24">
        <v>97502.7</v>
      </c>
      <c r="AV743">
        <v>0</v>
      </c>
      <c r="AW743">
        <v>0</v>
      </c>
      <c r="AX743">
        <v>311000</v>
      </c>
      <c r="AY743" t="s">
        <v>161</v>
      </c>
      <c r="AZ743">
        <v>0</v>
      </c>
      <c r="BA743">
        <v>0</v>
      </c>
      <c r="BB743">
        <v>0</v>
      </c>
      <c r="BC743" t="s">
        <v>242</v>
      </c>
      <c r="BD743">
        <v>1509</v>
      </c>
      <c r="BE743" t="s">
        <v>169</v>
      </c>
      <c r="BF743" t="s">
        <v>163</v>
      </c>
      <c r="BG743" t="s">
        <v>164</v>
      </c>
    </row>
    <row r="744" spans="1:59">
      <c r="A744">
        <v>1115</v>
      </c>
      <c r="B744">
        <v>1115</v>
      </c>
      <c r="C744">
        <v>10</v>
      </c>
      <c r="D744">
        <v>2</v>
      </c>
      <c r="E744" t="s">
        <v>152</v>
      </c>
      <c r="F744" t="s">
        <v>153</v>
      </c>
      <c r="G744" t="s">
        <v>154</v>
      </c>
      <c r="H744">
        <v>1526006201</v>
      </c>
      <c r="I744">
        <v>1000006469</v>
      </c>
      <c r="L744" t="s">
        <v>335</v>
      </c>
      <c r="M744">
        <v>5100001939</v>
      </c>
      <c r="N744" t="s">
        <v>155</v>
      </c>
      <c r="O744" t="s">
        <v>156</v>
      </c>
      <c r="P744">
        <v>4110059608</v>
      </c>
      <c r="Q744" t="s">
        <v>240</v>
      </c>
      <c r="R744">
        <v>5000</v>
      </c>
      <c r="S744" t="s">
        <v>166</v>
      </c>
      <c r="V744" t="s">
        <v>167</v>
      </c>
      <c r="W744">
        <v>1502020129</v>
      </c>
      <c r="X744" t="s">
        <v>241</v>
      </c>
      <c r="Y744" t="str">
        <f>VLOOKUP(W744,Sheet4!$A$5:$B$71,2,0)</f>
        <v>RE STYLING</v>
      </c>
      <c r="Z744">
        <v>87082900</v>
      </c>
      <c r="AA744">
        <v>15</v>
      </c>
      <c r="AB744" t="s">
        <v>159</v>
      </c>
      <c r="AC744" s="24">
        <v>6500.18</v>
      </c>
      <c r="AD744" t="s">
        <v>160</v>
      </c>
      <c r="AE744" s="24">
        <v>97502.7</v>
      </c>
      <c r="AF744">
        <v>0</v>
      </c>
      <c r="AG744" s="24">
        <v>97502.7</v>
      </c>
      <c r="AH744">
        <v>0</v>
      </c>
      <c r="AI744">
        <v>0</v>
      </c>
      <c r="AJ744">
        <v>0</v>
      </c>
      <c r="AK744">
        <v>0</v>
      </c>
      <c r="AL744" s="24">
        <v>97502.7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 s="24">
        <v>97502.7</v>
      </c>
      <c r="AV744">
        <v>0</v>
      </c>
      <c r="AW744">
        <v>0</v>
      </c>
      <c r="AX744">
        <v>311000</v>
      </c>
      <c r="AY744" t="s">
        <v>161</v>
      </c>
      <c r="AZ744">
        <v>0</v>
      </c>
      <c r="BA744">
        <v>0</v>
      </c>
      <c r="BB744">
        <v>0</v>
      </c>
      <c r="BC744" t="s">
        <v>242</v>
      </c>
      <c r="BD744">
        <v>1509</v>
      </c>
      <c r="BE744" t="s">
        <v>169</v>
      </c>
      <c r="BF744" t="s">
        <v>163</v>
      </c>
      <c r="BG744" t="s">
        <v>164</v>
      </c>
    </row>
    <row r="745" spans="1:59">
      <c r="A745">
        <v>1115</v>
      </c>
      <c r="B745">
        <v>1115</v>
      </c>
      <c r="C745">
        <v>10</v>
      </c>
      <c r="D745">
        <v>2</v>
      </c>
      <c r="E745" t="s">
        <v>152</v>
      </c>
      <c r="F745" t="s">
        <v>153</v>
      </c>
      <c r="G745" t="s">
        <v>154</v>
      </c>
      <c r="H745">
        <v>1526006200</v>
      </c>
      <c r="I745">
        <v>1000006468</v>
      </c>
      <c r="L745" t="s">
        <v>335</v>
      </c>
      <c r="M745">
        <v>5100001939</v>
      </c>
      <c r="N745" t="s">
        <v>155</v>
      </c>
      <c r="O745" t="s">
        <v>156</v>
      </c>
      <c r="P745">
        <v>4110059608</v>
      </c>
      <c r="Q745" t="s">
        <v>240</v>
      </c>
      <c r="R745">
        <v>5000</v>
      </c>
      <c r="S745" t="s">
        <v>166</v>
      </c>
      <c r="V745" t="s">
        <v>167</v>
      </c>
      <c r="W745">
        <v>1502020129</v>
      </c>
      <c r="X745" t="s">
        <v>241</v>
      </c>
      <c r="Y745" t="str">
        <f>VLOOKUP(W745,Sheet4!$A$5:$B$71,2,0)</f>
        <v>RE STYLING</v>
      </c>
      <c r="Z745">
        <v>87082900</v>
      </c>
      <c r="AA745">
        <v>15</v>
      </c>
      <c r="AB745" t="s">
        <v>159</v>
      </c>
      <c r="AC745" s="24">
        <v>6500.18</v>
      </c>
      <c r="AD745" t="s">
        <v>160</v>
      </c>
      <c r="AE745" s="24">
        <v>97502.7</v>
      </c>
      <c r="AF745">
        <v>0</v>
      </c>
      <c r="AG745" s="24">
        <v>97502.7</v>
      </c>
      <c r="AH745">
        <v>0</v>
      </c>
      <c r="AI745">
        <v>0</v>
      </c>
      <c r="AJ745">
        <v>0</v>
      </c>
      <c r="AK745">
        <v>0</v>
      </c>
      <c r="AL745" s="24">
        <v>97502.7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 s="24">
        <v>97502.7</v>
      </c>
      <c r="AV745">
        <v>0</v>
      </c>
      <c r="AW745">
        <v>0</v>
      </c>
      <c r="AX745">
        <v>311000</v>
      </c>
      <c r="AY745" t="s">
        <v>161</v>
      </c>
      <c r="AZ745">
        <v>0</v>
      </c>
      <c r="BA745">
        <v>0</v>
      </c>
      <c r="BB745">
        <v>0</v>
      </c>
      <c r="BC745" t="s">
        <v>242</v>
      </c>
      <c r="BD745">
        <v>1509</v>
      </c>
      <c r="BE745" t="s">
        <v>169</v>
      </c>
      <c r="BF745" t="s">
        <v>163</v>
      </c>
      <c r="BG745" t="s">
        <v>164</v>
      </c>
    </row>
    <row r="746" spans="1:59">
      <c r="A746">
        <v>1115</v>
      </c>
      <c r="B746">
        <v>1115</v>
      </c>
      <c r="C746">
        <v>10</v>
      </c>
      <c r="D746">
        <v>2</v>
      </c>
      <c r="E746" t="s">
        <v>152</v>
      </c>
      <c r="F746" t="s">
        <v>153</v>
      </c>
      <c r="G746" t="s">
        <v>154</v>
      </c>
      <c r="H746">
        <v>1526006199</v>
      </c>
      <c r="I746">
        <v>1000006467</v>
      </c>
      <c r="L746" t="s">
        <v>335</v>
      </c>
      <c r="M746">
        <v>5100001939</v>
      </c>
      <c r="N746" t="s">
        <v>155</v>
      </c>
      <c r="O746" t="s">
        <v>156</v>
      </c>
      <c r="P746">
        <v>4110059608</v>
      </c>
      <c r="Q746" t="s">
        <v>240</v>
      </c>
      <c r="R746">
        <v>5000</v>
      </c>
      <c r="S746" t="s">
        <v>166</v>
      </c>
      <c r="V746" t="s">
        <v>167</v>
      </c>
      <c r="W746">
        <v>1502020129</v>
      </c>
      <c r="X746" t="s">
        <v>241</v>
      </c>
      <c r="Y746" t="str">
        <f>VLOOKUP(W746,Sheet4!$A$5:$B$71,2,0)</f>
        <v>RE STYLING</v>
      </c>
      <c r="Z746">
        <v>87082900</v>
      </c>
      <c r="AA746">
        <v>15</v>
      </c>
      <c r="AB746" t="s">
        <v>159</v>
      </c>
      <c r="AC746" s="24">
        <v>6500.18</v>
      </c>
      <c r="AD746" t="s">
        <v>160</v>
      </c>
      <c r="AE746" s="24">
        <v>97502.7</v>
      </c>
      <c r="AF746">
        <v>0</v>
      </c>
      <c r="AG746" s="24">
        <v>97502.7</v>
      </c>
      <c r="AH746">
        <v>0</v>
      </c>
      <c r="AI746">
        <v>0</v>
      </c>
      <c r="AJ746">
        <v>0</v>
      </c>
      <c r="AK746">
        <v>0</v>
      </c>
      <c r="AL746" s="24">
        <v>97502.7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 s="24">
        <v>97502.7</v>
      </c>
      <c r="AV746">
        <v>0</v>
      </c>
      <c r="AW746">
        <v>0</v>
      </c>
      <c r="AX746">
        <v>311000</v>
      </c>
      <c r="AY746" t="s">
        <v>161</v>
      </c>
      <c r="AZ746">
        <v>0</v>
      </c>
      <c r="BA746">
        <v>0</v>
      </c>
      <c r="BB746">
        <v>0</v>
      </c>
      <c r="BC746" t="s">
        <v>242</v>
      </c>
      <c r="BD746">
        <v>1509</v>
      </c>
      <c r="BE746" t="s">
        <v>169</v>
      </c>
      <c r="BF746" t="s">
        <v>163</v>
      </c>
      <c r="BG746" t="s">
        <v>164</v>
      </c>
    </row>
    <row r="747" spans="1:59">
      <c r="A747">
        <v>1115</v>
      </c>
      <c r="B747">
        <v>1115</v>
      </c>
      <c r="C747">
        <v>10</v>
      </c>
      <c r="D747">
        <v>2</v>
      </c>
      <c r="E747" t="s">
        <v>152</v>
      </c>
      <c r="F747" t="s">
        <v>153</v>
      </c>
      <c r="G747" t="s">
        <v>154</v>
      </c>
      <c r="H747">
        <v>1526006198</v>
      </c>
      <c r="I747">
        <v>1000006466</v>
      </c>
      <c r="L747" t="s">
        <v>335</v>
      </c>
      <c r="M747">
        <v>5100001939</v>
      </c>
      <c r="N747" t="s">
        <v>155</v>
      </c>
      <c r="O747" t="s">
        <v>156</v>
      </c>
      <c r="P747">
        <v>4110059608</v>
      </c>
      <c r="Q747" t="s">
        <v>240</v>
      </c>
      <c r="R747">
        <v>5000</v>
      </c>
      <c r="S747" t="s">
        <v>166</v>
      </c>
      <c r="V747" t="s">
        <v>167</v>
      </c>
      <c r="W747">
        <v>1502020129</v>
      </c>
      <c r="X747" t="s">
        <v>241</v>
      </c>
      <c r="Y747" t="str">
        <f>VLOOKUP(W747,Sheet4!$A$5:$B$71,2,0)</f>
        <v>RE STYLING</v>
      </c>
      <c r="Z747">
        <v>87082900</v>
      </c>
      <c r="AA747">
        <v>15</v>
      </c>
      <c r="AB747" t="s">
        <v>159</v>
      </c>
      <c r="AC747" s="24">
        <v>6500.18</v>
      </c>
      <c r="AD747" t="s">
        <v>160</v>
      </c>
      <c r="AE747" s="24">
        <v>97502.7</v>
      </c>
      <c r="AF747">
        <v>0</v>
      </c>
      <c r="AG747" s="24">
        <v>97502.7</v>
      </c>
      <c r="AH747">
        <v>0</v>
      </c>
      <c r="AI747">
        <v>0</v>
      </c>
      <c r="AJ747">
        <v>0</v>
      </c>
      <c r="AK747">
        <v>0</v>
      </c>
      <c r="AL747" s="24">
        <v>97502.7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s="24">
        <v>97502.7</v>
      </c>
      <c r="AV747">
        <v>0</v>
      </c>
      <c r="AW747">
        <v>0</v>
      </c>
      <c r="AX747">
        <v>311000</v>
      </c>
      <c r="AY747" t="s">
        <v>161</v>
      </c>
      <c r="AZ747">
        <v>0</v>
      </c>
      <c r="BA747">
        <v>0</v>
      </c>
      <c r="BB747">
        <v>0</v>
      </c>
      <c r="BC747" t="s">
        <v>242</v>
      </c>
      <c r="BD747">
        <v>1509</v>
      </c>
      <c r="BE747" t="s">
        <v>169</v>
      </c>
      <c r="BF747" t="s">
        <v>163</v>
      </c>
      <c r="BG747" t="s">
        <v>164</v>
      </c>
    </row>
    <row r="748" spans="1:59">
      <c r="A748">
        <v>1115</v>
      </c>
      <c r="B748">
        <v>1115</v>
      </c>
      <c r="C748">
        <v>10</v>
      </c>
      <c r="D748">
        <v>2</v>
      </c>
      <c r="E748" t="s">
        <v>152</v>
      </c>
      <c r="F748" t="s">
        <v>153</v>
      </c>
      <c r="G748" t="s">
        <v>154</v>
      </c>
      <c r="H748">
        <v>1526006197</v>
      </c>
      <c r="I748">
        <v>1000006465</v>
      </c>
      <c r="L748" t="s">
        <v>335</v>
      </c>
      <c r="M748">
        <v>5100001939</v>
      </c>
      <c r="N748" t="s">
        <v>155</v>
      </c>
      <c r="O748" t="s">
        <v>156</v>
      </c>
      <c r="P748">
        <v>4110059608</v>
      </c>
      <c r="Q748" t="s">
        <v>240</v>
      </c>
      <c r="R748">
        <v>5000</v>
      </c>
      <c r="S748" t="s">
        <v>166</v>
      </c>
      <c r="V748" t="s">
        <v>167</v>
      </c>
      <c r="W748">
        <v>1502020129</v>
      </c>
      <c r="X748" t="s">
        <v>241</v>
      </c>
      <c r="Y748" t="str">
        <f>VLOOKUP(W748,Sheet4!$A$5:$B$71,2,0)</f>
        <v>RE STYLING</v>
      </c>
      <c r="Z748">
        <v>87082900</v>
      </c>
      <c r="AA748">
        <v>15</v>
      </c>
      <c r="AB748" t="s">
        <v>159</v>
      </c>
      <c r="AC748" s="24">
        <v>6500.18</v>
      </c>
      <c r="AD748" t="s">
        <v>160</v>
      </c>
      <c r="AE748" s="24">
        <v>97502.7</v>
      </c>
      <c r="AF748">
        <v>0</v>
      </c>
      <c r="AG748" s="24">
        <v>97502.7</v>
      </c>
      <c r="AH748">
        <v>0</v>
      </c>
      <c r="AI748">
        <v>0</v>
      </c>
      <c r="AJ748">
        <v>0</v>
      </c>
      <c r="AK748">
        <v>0</v>
      </c>
      <c r="AL748" s="24">
        <v>97502.7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 s="24">
        <v>97502.7</v>
      </c>
      <c r="AV748">
        <v>0</v>
      </c>
      <c r="AW748">
        <v>0</v>
      </c>
      <c r="AX748">
        <v>311000</v>
      </c>
      <c r="AY748" t="s">
        <v>161</v>
      </c>
      <c r="AZ748">
        <v>0</v>
      </c>
      <c r="BA748">
        <v>0</v>
      </c>
      <c r="BB748">
        <v>0</v>
      </c>
      <c r="BC748" t="s">
        <v>242</v>
      </c>
      <c r="BD748">
        <v>1509</v>
      </c>
      <c r="BE748" t="s">
        <v>169</v>
      </c>
      <c r="BF748" t="s">
        <v>163</v>
      </c>
      <c r="BG748" t="s">
        <v>164</v>
      </c>
    </row>
    <row r="749" spans="1:59">
      <c r="A749">
        <v>1115</v>
      </c>
      <c r="B749">
        <v>1115</v>
      </c>
      <c r="C749">
        <v>10</v>
      </c>
      <c r="D749">
        <v>2</v>
      </c>
      <c r="E749" t="s">
        <v>152</v>
      </c>
      <c r="F749" t="s">
        <v>153</v>
      </c>
      <c r="G749" t="s">
        <v>154</v>
      </c>
      <c r="H749">
        <v>1526006196</v>
      </c>
      <c r="I749">
        <v>1000006464</v>
      </c>
      <c r="L749" t="s">
        <v>335</v>
      </c>
      <c r="M749">
        <v>5100001939</v>
      </c>
      <c r="N749" t="s">
        <v>155</v>
      </c>
      <c r="O749" t="s">
        <v>156</v>
      </c>
      <c r="P749">
        <v>4110059608</v>
      </c>
      <c r="Q749" t="s">
        <v>240</v>
      </c>
      <c r="R749">
        <v>5000</v>
      </c>
      <c r="S749" t="s">
        <v>166</v>
      </c>
      <c r="V749" t="s">
        <v>167</v>
      </c>
      <c r="W749">
        <v>1502020129</v>
      </c>
      <c r="X749" t="s">
        <v>241</v>
      </c>
      <c r="Y749" t="str">
        <f>VLOOKUP(W749,Sheet4!$A$5:$B$71,2,0)</f>
        <v>RE STYLING</v>
      </c>
      <c r="Z749">
        <v>87082900</v>
      </c>
      <c r="AA749">
        <v>15</v>
      </c>
      <c r="AB749" t="s">
        <v>159</v>
      </c>
      <c r="AC749" s="24">
        <v>6500.18</v>
      </c>
      <c r="AD749" t="s">
        <v>160</v>
      </c>
      <c r="AE749" s="24">
        <v>97502.7</v>
      </c>
      <c r="AF749">
        <v>0</v>
      </c>
      <c r="AG749" s="24">
        <v>97502.7</v>
      </c>
      <c r="AH749">
        <v>0</v>
      </c>
      <c r="AI749">
        <v>0</v>
      </c>
      <c r="AJ749">
        <v>0</v>
      </c>
      <c r="AK749">
        <v>0</v>
      </c>
      <c r="AL749" s="24">
        <v>97502.7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 s="24">
        <v>97502.7</v>
      </c>
      <c r="AV749">
        <v>0</v>
      </c>
      <c r="AW749">
        <v>0</v>
      </c>
      <c r="AX749">
        <v>311000</v>
      </c>
      <c r="AY749" t="s">
        <v>161</v>
      </c>
      <c r="AZ749">
        <v>0</v>
      </c>
      <c r="BA749">
        <v>0</v>
      </c>
      <c r="BB749">
        <v>0</v>
      </c>
      <c r="BC749" t="s">
        <v>242</v>
      </c>
      <c r="BD749">
        <v>1509</v>
      </c>
      <c r="BE749" t="s">
        <v>169</v>
      </c>
      <c r="BF749" t="s">
        <v>163</v>
      </c>
      <c r="BG749" t="s">
        <v>164</v>
      </c>
    </row>
    <row r="750" spans="1:59">
      <c r="A750">
        <v>1115</v>
      </c>
      <c r="B750">
        <v>1115</v>
      </c>
      <c r="C750">
        <v>10</v>
      </c>
      <c r="D750">
        <v>2</v>
      </c>
      <c r="E750" t="s">
        <v>152</v>
      </c>
      <c r="F750" t="s">
        <v>153</v>
      </c>
      <c r="G750" t="s">
        <v>154</v>
      </c>
      <c r="H750">
        <v>1526006195</v>
      </c>
      <c r="I750">
        <v>1000006463</v>
      </c>
      <c r="L750" t="s">
        <v>335</v>
      </c>
      <c r="M750">
        <v>5100001939</v>
      </c>
      <c r="N750" t="s">
        <v>155</v>
      </c>
      <c r="O750" t="s">
        <v>156</v>
      </c>
      <c r="P750">
        <v>4110059608</v>
      </c>
      <c r="Q750" t="s">
        <v>240</v>
      </c>
      <c r="R750">
        <v>5000</v>
      </c>
      <c r="S750" t="s">
        <v>166</v>
      </c>
      <c r="V750" t="s">
        <v>167</v>
      </c>
      <c r="W750">
        <v>1502020129</v>
      </c>
      <c r="X750" t="s">
        <v>241</v>
      </c>
      <c r="Y750" t="str">
        <f>VLOOKUP(W750,Sheet4!$A$5:$B$71,2,0)</f>
        <v>RE STYLING</v>
      </c>
      <c r="Z750">
        <v>87082900</v>
      </c>
      <c r="AA750">
        <v>15</v>
      </c>
      <c r="AB750" t="s">
        <v>159</v>
      </c>
      <c r="AC750" s="24">
        <v>6500.18</v>
      </c>
      <c r="AD750" t="s">
        <v>160</v>
      </c>
      <c r="AE750" s="24">
        <v>97502.7</v>
      </c>
      <c r="AF750">
        <v>0</v>
      </c>
      <c r="AG750" s="24">
        <v>97502.7</v>
      </c>
      <c r="AH750">
        <v>0</v>
      </c>
      <c r="AI750">
        <v>0</v>
      </c>
      <c r="AJ750">
        <v>0</v>
      </c>
      <c r="AK750">
        <v>0</v>
      </c>
      <c r="AL750" s="24">
        <v>97502.7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 s="24">
        <v>97502.7</v>
      </c>
      <c r="AV750">
        <v>0</v>
      </c>
      <c r="AW750">
        <v>0</v>
      </c>
      <c r="AX750">
        <v>311000</v>
      </c>
      <c r="AY750" t="s">
        <v>161</v>
      </c>
      <c r="AZ750">
        <v>0</v>
      </c>
      <c r="BA750">
        <v>0</v>
      </c>
      <c r="BB750">
        <v>0</v>
      </c>
      <c r="BC750" t="s">
        <v>242</v>
      </c>
      <c r="BD750">
        <v>1509</v>
      </c>
      <c r="BE750" t="s">
        <v>169</v>
      </c>
      <c r="BF750" t="s">
        <v>163</v>
      </c>
      <c r="BG750" t="s">
        <v>164</v>
      </c>
    </row>
    <row r="751" spans="1:59">
      <c r="A751">
        <v>1115</v>
      </c>
      <c r="B751">
        <v>1115</v>
      </c>
      <c r="C751">
        <v>10</v>
      </c>
      <c r="D751">
        <v>2</v>
      </c>
      <c r="E751" t="s">
        <v>152</v>
      </c>
      <c r="F751" t="s">
        <v>153</v>
      </c>
      <c r="G751" t="s">
        <v>154</v>
      </c>
      <c r="H751">
        <v>1526006194</v>
      </c>
      <c r="I751">
        <v>1000006462</v>
      </c>
      <c r="L751" t="s">
        <v>335</v>
      </c>
      <c r="M751">
        <v>5100001636</v>
      </c>
      <c r="N751" t="s">
        <v>155</v>
      </c>
      <c r="O751" t="s">
        <v>156</v>
      </c>
      <c r="P751">
        <v>4110026445</v>
      </c>
      <c r="Q751" t="s">
        <v>170</v>
      </c>
      <c r="R751">
        <v>5000</v>
      </c>
      <c r="S751" t="s">
        <v>166</v>
      </c>
      <c r="V751" t="s">
        <v>167</v>
      </c>
      <c r="W751">
        <v>1502020104</v>
      </c>
      <c r="X751" t="s">
        <v>26</v>
      </c>
      <c r="Y751" t="str">
        <f>VLOOKUP(W751,Sheet4!$A$5:$B$71,2,0)</f>
        <v>RE STYLING</v>
      </c>
      <c r="Z751">
        <v>87082900</v>
      </c>
      <c r="AA751">
        <v>15</v>
      </c>
      <c r="AB751" t="s">
        <v>159</v>
      </c>
      <c r="AC751" s="24">
        <v>6585.55</v>
      </c>
      <c r="AD751" t="s">
        <v>160</v>
      </c>
      <c r="AE751" s="24">
        <v>98783.25</v>
      </c>
      <c r="AF751">
        <v>0</v>
      </c>
      <c r="AG751" s="24">
        <v>98783.25</v>
      </c>
      <c r="AH751">
        <v>0</v>
      </c>
      <c r="AI751">
        <v>0</v>
      </c>
      <c r="AJ751">
        <v>0</v>
      </c>
      <c r="AK751">
        <v>0</v>
      </c>
      <c r="AL751" s="24">
        <v>98783.25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 s="24">
        <v>98783.25</v>
      </c>
      <c r="AV751">
        <v>0</v>
      </c>
      <c r="AW751">
        <v>0</v>
      </c>
      <c r="AX751">
        <v>311000</v>
      </c>
      <c r="AY751" t="s">
        <v>161</v>
      </c>
      <c r="AZ751">
        <v>49.75</v>
      </c>
      <c r="BA751">
        <v>49.75</v>
      </c>
      <c r="BB751">
        <v>0</v>
      </c>
      <c r="BC751" t="s">
        <v>171</v>
      </c>
      <c r="BD751">
        <v>1509</v>
      </c>
      <c r="BE751" t="s">
        <v>169</v>
      </c>
      <c r="BF751" t="s">
        <v>163</v>
      </c>
      <c r="BG751" t="s">
        <v>164</v>
      </c>
    </row>
    <row r="752" spans="1:59">
      <c r="A752">
        <v>1115</v>
      </c>
      <c r="B752">
        <v>1115</v>
      </c>
      <c r="C752">
        <v>10</v>
      </c>
      <c r="D752">
        <v>2</v>
      </c>
      <c r="E752" t="s">
        <v>152</v>
      </c>
      <c r="F752" t="s">
        <v>153</v>
      </c>
      <c r="G752" t="s">
        <v>154</v>
      </c>
      <c r="H752">
        <v>1526006193</v>
      </c>
      <c r="I752">
        <v>1000006461</v>
      </c>
      <c r="L752" t="s">
        <v>335</v>
      </c>
      <c r="M752">
        <v>5100001636</v>
      </c>
      <c r="N752" t="s">
        <v>155</v>
      </c>
      <c r="O752" t="s">
        <v>156</v>
      </c>
      <c r="P752">
        <v>4110026445</v>
      </c>
      <c r="Q752" t="s">
        <v>170</v>
      </c>
      <c r="R752">
        <v>5000</v>
      </c>
      <c r="S752" t="s">
        <v>166</v>
      </c>
      <c r="V752" t="s">
        <v>167</v>
      </c>
      <c r="W752">
        <v>1502020104</v>
      </c>
      <c r="X752" t="s">
        <v>26</v>
      </c>
      <c r="Y752" t="str">
        <f>VLOOKUP(W752,Sheet4!$A$5:$B$71,2,0)</f>
        <v>RE STYLING</v>
      </c>
      <c r="Z752">
        <v>87082900</v>
      </c>
      <c r="AA752">
        <v>15</v>
      </c>
      <c r="AB752" t="s">
        <v>159</v>
      </c>
      <c r="AC752" s="24">
        <v>6585.55</v>
      </c>
      <c r="AD752" t="s">
        <v>160</v>
      </c>
      <c r="AE752" s="24">
        <v>98783.25</v>
      </c>
      <c r="AF752">
        <v>0</v>
      </c>
      <c r="AG752" s="24">
        <v>98783.25</v>
      </c>
      <c r="AH752">
        <v>0</v>
      </c>
      <c r="AI752">
        <v>0</v>
      </c>
      <c r="AJ752">
        <v>0</v>
      </c>
      <c r="AK752">
        <v>0</v>
      </c>
      <c r="AL752" s="24">
        <v>98783.25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 s="24">
        <v>98783.25</v>
      </c>
      <c r="AV752">
        <v>0</v>
      </c>
      <c r="AW752">
        <v>0</v>
      </c>
      <c r="AX752">
        <v>311000</v>
      </c>
      <c r="AY752" t="s">
        <v>161</v>
      </c>
      <c r="AZ752">
        <v>49.75</v>
      </c>
      <c r="BA752">
        <v>49.75</v>
      </c>
      <c r="BB752">
        <v>0</v>
      </c>
      <c r="BC752" t="s">
        <v>171</v>
      </c>
      <c r="BD752">
        <v>1509</v>
      </c>
      <c r="BE752" t="s">
        <v>169</v>
      </c>
      <c r="BF752" t="s">
        <v>163</v>
      </c>
      <c r="BG752" t="s">
        <v>164</v>
      </c>
    </row>
    <row r="753" spans="1:59">
      <c r="A753">
        <v>1115</v>
      </c>
      <c r="B753">
        <v>1115</v>
      </c>
      <c r="C753">
        <v>10</v>
      </c>
      <c r="D753">
        <v>2</v>
      </c>
      <c r="E753" t="s">
        <v>152</v>
      </c>
      <c r="F753" t="s">
        <v>153</v>
      </c>
      <c r="G753" t="s">
        <v>154</v>
      </c>
      <c r="H753">
        <v>1526006192</v>
      </c>
      <c r="I753">
        <v>1000006460</v>
      </c>
      <c r="L753" t="s">
        <v>335</v>
      </c>
      <c r="M753">
        <v>5100001955</v>
      </c>
      <c r="N753" t="s">
        <v>155</v>
      </c>
      <c r="O753" t="s">
        <v>156</v>
      </c>
      <c r="P753">
        <v>5500001432</v>
      </c>
      <c r="Q753" t="s">
        <v>320</v>
      </c>
      <c r="R753">
        <v>5356</v>
      </c>
      <c r="S753" t="s">
        <v>158</v>
      </c>
      <c r="W753">
        <v>1104040829</v>
      </c>
      <c r="X753" t="s">
        <v>321</v>
      </c>
      <c r="Y753" t="s">
        <v>339</v>
      </c>
      <c r="Z753">
        <v>87141090</v>
      </c>
      <c r="AA753">
        <v>300</v>
      </c>
      <c r="AB753" t="s">
        <v>159</v>
      </c>
      <c r="AC753">
        <v>136.6</v>
      </c>
      <c r="AD753" t="s">
        <v>160</v>
      </c>
      <c r="AE753" s="24">
        <v>40980</v>
      </c>
      <c r="AF753">
        <v>0</v>
      </c>
      <c r="AG753" s="24">
        <v>40980</v>
      </c>
      <c r="AH753">
        <v>0</v>
      </c>
      <c r="AI753">
        <v>0</v>
      </c>
      <c r="AJ753">
        <v>0</v>
      </c>
      <c r="AK753">
        <v>0</v>
      </c>
      <c r="AL753" s="24">
        <v>40980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 s="24">
        <v>40980</v>
      </c>
      <c r="AV753">
        <v>0</v>
      </c>
      <c r="AW753">
        <v>0</v>
      </c>
      <c r="AX753">
        <v>311003</v>
      </c>
      <c r="AY753" t="s">
        <v>322</v>
      </c>
      <c r="AZ753">
        <v>2.62</v>
      </c>
      <c r="BA753">
        <v>2.62</v>
      </c>
      <c r="BB753">
        <v>0</v>
      </c>
      <c r="BC753">
        <v>2000000894</v>
      </c>
      <c r="BD753">
        <v>1123</v>
      </c>
      <c r="BE753" t="s">
        <v>323</v>
      </c>
      <c r="BF753" t="s">
        <v>163</v>
      </c>
      <c r="BG753" t="s">
        <v>164</v>
      </c>
    </row>
    <row r="754" spans="1:59">
      <c r="A754">
        <v>1115</v>
      </c>
      <c r="B754">
        <v>1115</v>
      </c>
      <c r="C754">
        <v>10</v>
      </c>
      <c r="D754">
        <v>2</v>
      </c>
      <c r="E754" t="s">
        <v>152</v>
      </c>
      <c r="F754" t="s">
        <v>153</v>
      </c>
      <c r="G754" t="s">
        <v>154</v>
      </c>
      <c r="H754">
        <v>1526006191</v>
      </c>
      <c r="I754">
        <v>1000006459</v>
      </c>
      <c r="L754" t="s">
        <v>335</v>
      </c>
      <c r="M754">
        <v>5100001227</v>
      </c>
      <c r="N754" t="s">
        <v>155</v>
      </c>
      <c r="O754" t="s">
        <v>156</v>
      </c>
      <c r="P754">
        <v>4110011319</v>
      </c>
      <c r="Q754" t="s">
        <v>175</v>
      </c>
      <c r="R754">
        <v>5000</v>
      </c>
      <c r="S754" t="s">
        <v>166</v>
      </c>
      <c r="V754" t="s">
        <v>167</v>
      </c>
      <c r="W754">
        <v>1502020074</v>
      </c>
      <c r="X754" t="s">
        <v>28</v>
      </c>
      <c r="Y754" t="str">
        <f>VLOOKUP(W754,Sheet4!$A$5:$B$71,2,0)</f>
        <v>MAX UG NEW</v>
      </c>
      <c r="Z754">
        <v>87082900</v>
      </c>
      <c r="AA754">
        <v>10</v>
      </c>
      <c r="AB754" t="s">
        <v>159</v>
      </c>
      <c r="AC754" s="24">
        <v>9397.5</v>
      </c>
      <c r="AD754" t="s">
        <v>160</v>
      </c>
      <c r="AE754" s="24">
        <v>93975</v>
      </c>
      <c r="AF754">
        <v>0</v>
      </c>
      <c r="AG754" s="24">
        <v>93975</v>
      </c>
      <c r="AH754">
        <v>0</v>
      </c>
      <c r="AI754">
        <v>0</v>
      </c>
      <c r="AJ754">
        <v>0</v>
      </c>
      <c r="AK754">
        <v>0</v>
      </c>
      <c r="AL754" s="24">
        <v>93975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s="24">
        <v>93975</v>
      </c>
      <c r="AV754">
        <v>0</v>
      </c>
      <c r="AW754">
        <v>0</v>
      </c>
      <c r="AX754">
        <v>311000</v>
      </c>
      <c r="AY754" t="s">
        <v>161</v>
      </c>
      <c r="AZ754">
        <v>69.5</v>
      </c>
      <c r="BA754">
        <v>69.5</v>
      </c>
      <c r="BB754">
        <v>0</v>
      </c>
      <c r="BC754" t="s">
        <v>176</v>
      </c>
      <c r="BD754">
        <v>1509</v>
      </c>
      <c r="BE754" t="s">
        <v>169</v>
      </c>
      <c r="BF754">
        <v>5094131531</v>
      </c>
      <c r="BG754" t="s">
        <v>335</v>
      </c>
    </row>
    <row r="755" spans="1:59">
      <c r="A755">
        <v>1115</v>
      </c>
      <c r="B755">
        <v>1115</v>
      </c>
      <c r="C755">
        <v>10</v>
      </c>
      <c r="D755">
        <v>2</v>
      </c>
      <c r="E755" t="s">
        <v>152</v>
      </c>
      <c r="F755" t="s">
        <v>153</v>
      </c>
      <c r="G755" t="s">
        <v>154</v>
      </c>
      <c r="H755">
        <v>1526006190</v>
      </c>
      <c r="I755">
        <v>1000006458</v>
      </c>
      <c r="L755" t="s">
        <v>335</v>
      </c>
      <c r="M755">
        <v>5100001227</v>
      </c>
      <c r="N755" t="s">
        <v>155</v>
      </c>
      <c r="O755" t="s">
        <v>156</v>
      </c>
      <c r="P755">
        <v>4110011319</v>
      </c>
      <c r="Q755" t="s">
        <v>175</v>
      </c>
      <c r="R755">
        <v>5000</v>
      </c>
      <c r="S755" t="s">
        <v>166</v>
      </c>
      <c r="V755" t="s">
        <v>167</v>
      </c>
      <c r="W755">
        <v>1502020074</v>
      </c>
      <c r="X755" t="s">
        <v>28</v>
      </c>
      <c r="Y755" t="str">
        <f>VLOOKUP(W755,Sheet4!$A$5:$B$71,2,0)</f>
        <v>MAX UG NEW</v>
      </c>
      <c r="Z755">
        <v>87082900</v>
      </c>
      <c r="AA755">
        <v>10</v>
      </c>
      <c r="AB755" t="s">
        <v>159</v>
      </c>
      <c r="AC755" s="24">
        <v>9397.5</v>
      </c>
      <c r="AD755" t="s">
        <v>160</v>
      </c>
      <c r="AE755" s="24">
        <v>93975</v>
      </c>
      <c r="AF755">
        <v>0</v>
      </c>
      <c r="AG755" s="24">
        <v>93975</v>
      </c>
      <c r="AH755">
        <v>0</v>
      </c>
      <c r="AI755">
        <v>0</v>
      </c>
      <c r="AJ755">
        <v>0</v>
      </c>
      <c r="AK755">
        <v>0</v>
      </c>
      <c r="AL755" s="24">
        <v>93975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s="24">
        <v>93975</v>
      </c>
      <c r="AV755">
        <v>0</v>
      </c>
      <c r="AW755">
        <v>0</v>
      </c>
      <c r="AX755">
        <v>311000</v>
      </c>
      <c r="AY755" t="s">
        <v>161</v>
      </c>
      <c r="AZ755">
        <v>69.5</v>
      </c>
      <c r="BA755">
        <v>69.5</v>
      </c>
      <c r="BB755">
        <v>0</v>
      </c>
      <c r="BC755" t="s">
        <v>176</v>
      </c>
      <c r="BD755">
        <v>1509</v>
      </c>
      <c r="BE755" t="s">
        <v>169</v>
      </c>
      <c r="BF755">
        <v>5094131530</v>
      </c>
      <c r="BG755" t="s">
        <v>335</v>
      </c>
    </row>
    <row r="756" spans="1:59">
      <c r="A756">
        <v>1115</v>
      </c>
      <c r="B756">
        <v>1115</v>
      </c>
      <c r="C756">
        <v>10</v>
      </c>
      <c r="D756">
        <v>2</v>
      </c>
      <c r="E756" t="s">
        <v>152</v>
      </c>
      <c r="F756" t="s">
        <v>153</v>
      </c>
      <c r="G756" t="s">
        <v>154</v>
      </c>
      <c r="H756">
        <v>1526006189</v>
      </c>
      <c r="I756">
        <v>1000006457</v>
      </c>
      <c r="L756" t="s">
        <v>335</v>
      </c>
      <c r="M756">
        <v>5100001227</v>
      </c>
      <c r="N756" t="s">
        <v>155</v>
      </c>
      <c r="O756" t="s">
        <v>156</v>
      </c>
      <c r="P756">
        <v>4110011319</v>
      </c>
      <c r="Q756" t="s">
        <v>175</v>
      </c>
      <c r="R756">
        <v>5000</v>
      </c>
      <c r="S756" t="s">
        <v>166</v>
      </c>
      <c r="V756" t="s">
        <v>167</v>
      </c>
      <c r="W756">
        <v>1502020074</v>
      </c>
      <c r="X756" t="s">
        <v>28</v>
      </c>
      <c r="Y756" t="str">
        <f>VLOOKUP(W756,Sheet4!$A$5:$B$71,2,0)</f>
        <v>MAX UG NEW</v>
      </c>
      <c r="Z756">
        <v>87082900</v>
      </c>
      <c r="AA756">
        <v>10</v>
      </c>
      <c r="AB756" t="s">
        <v>159</v>
      </c>
      <c r="AC756" s="24">
        <v>9397.5</v>
      </c>
      <c r="AD756" t="s">
        <v>160</v>
      </c>
      <c r="AE756" s="24">
        <v>93975</v>
      </c>
      <c r="AF756">
        <v>0</v>
      </c>
      <c r="AG756" s="24">
        <v>93975</v>
      </c>
      <c r="AH756">
        <v>0</v>
      </c>
      <c r="AI756">
        <v>0</v>
      </c>
      <c r="AJ756">
        <v>0</v>
      </c>
      <c r="AK756">
        <v>0</v>
      </c>
      <c r="AL756" s="24">
        <v>93975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 s="24">
        <v>93975</v>
      </c>
      <c r="AV756">
        <v>0</v>
      </c>
      <c r="AW756">
        <v>0</v>
      </c>
      <c r="AX756">
        <v>311000</v>
      </c>
      <c r="AY756" t="s">
        <v>161</v>
      </c>
      <c r="AZ756">
        <v>69.5</v>
      </c>
      <c r="BA756">
        <v>69.5</v>
      </c>
      <c r="BB756">
        <v>0</v>
      </c>
      <c r="BC756" t="s">
        <v>176</v>
      </c>
      <c r="BD756">
        <v>1509</v>
      </c>
      <c r="BE756" t="s">
        <v>169</v>
      </c>
      <c r="BF756">
        <v>5094131363</v>
      </c>
      <c r="BG756" t="s">
        <v>335</v>
      </c>
    </row>
    <row r="757" spans="1:59">
      <c r="A757">
        <v>1115</v>
      </c>
      <c r="B757">
        <v>1115</v>
      </c>
      <c r="C757">
        <v>10</v>
      </c>
      <c r="D757">
        <v>2</v>
      </c>
      <c r="E757" t="s">
        <v>152</v>
      </c>
      <c r="F757" t="s">
        <v>153</v>
      </c>
      <c r="G757" t="s">
        <v>154</v>
      </c>
      <c r="H757">
        <v>1526006188</v>
      </c>
      <c r="I757">
        <v>1000006456</v>
      </c>
      <c r="L757" t="s">
        <v>335</v>
      </c>
      <c r="M757">
        <v>5100001227</v>
      </c>
      <c r="N757" t="s">
        <v>155</v>
      </c>
      <c r="O757" t="s">
        <v>156</v>
      </c>
      <c r="P757">
        <v>4110011319</v>
      </c>
      <c r="Q757" t="s">
        <v>175</v>
      </c>
      <c r="R757">
        <v>5000</v>
      </c>
      <c r="S757" t="s">
        <v>166</v>
      </c>
      <c r="V757" t="s">
        <v>167</v>
      </c>
      <c r="W757">
        <v>1502020074</v>
      </c>
      <c r="X757" t="s">
        <v>28</v>
      </c>
      <c r="Y757" t="str">
        <f>VLOOKUP(W757,Sheet4!$A$5:$B$71,2,0)</f>
        <v>MAX UG NEW</v>
      </c>
      <c r="Z757">
        <v>87082900</v>
      </c>
      <c r="AA757">
        <v>10</v>
      </c>
      <c r="AB757" t="s">
        <v>159</v>
      </c>
      <c r="AC757" s="24">
        <v>9397.5</v>
      </c>
      <c r="AD757" t="s">
        <v>160</v>
      </c>
      <c r="AE757" s="24">
        <v>93975</v>
      </c>
      <c r="AF757">
        <v>0</v>
      </c>
      <c r="AG757" s="24">
        <v>93975</v>
      </c>
      <c r="AH757">
        <v>0</v>
      </c>
      <c r="AI757">
        <v>0</v>
      </c>
      <c r="AJ757">
        <v>0</v>
      </c>
      <c r="AK757">
        <v>0</v>
      </c>
      <c r="AL757" s="24">
        <v>93975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 s="24">
        <v>93975</v>
      </c>
      <c r="AV757">
        <v>0</v>
      </c>
      <c r="AW757">
        <v>0</v>
      </c>
      <c r="AX757">
        <v>311000</v>
      </c>
      <c r="AY757" t="s">
        <v>161</v>
      </c>
      <c r="AZ757">
        <v>69.5</v>
      </c>
      <c r="BA757">
        <v>69.5</v>
      </c>
      <c r="BB757">
        <v>0</v>
      </c>
      <c r="BC757" t="s">
        <v>176</v>
      </c>
      <c r="BD757">
        <v>1509</v>
      </c>
      <c r="BE757" t="s">
        <v>169</v>
      </c>
      <c r="BF757">
        <v>5094131529</v>
      </c>
      <c r="BG757" t="s">
        <v>335</v>
      </c>
    </row>
    <row r="758" spans="1:59">
      <c r="A758">
        <v>1115</v>
      </c>
      <c r="B758">
        <v>1115</v>
      </c>
      <c r="C758">
        <v>10</v>
      </c>
      <c r="D758">
        <v>2</v>
      </c>
      <c r="E758" t="s">
        <v>152</v>
      </c>
      <c r="F758" t="s">
        <v>153</v>
      </c>
      <c r="G758" t="s">
        <v>154</v>
      </c>
      <c r="H758">
        <v>1526006187</v>
      </c>
      <c r="I758">
        <v>1000006455</v>
      </c>
      <c r="L758" t="s">
        <v>335</v>
      </c>
      <c r="M758">
        <v>5100001949</v>
      </c>
      <c r="N758" t="s">
        <v>155</v>
      </c>
      <c r="O758" t="s">
        <v>156</v>
      </c>
      <c r="P758">
        <v>4110063766</v>
      </c>
      <c r="Q758" t="s">
        <v>252</v>
      </c>
      <c r="R758">
        <v>5000</v>
      </c>
      <c r="S758" t="s">
        <v>166</v>
      </c>
      <c r="V758" t="s">
        <v>167</v>
      </c>
      <c r="W758">
        <v>1502040322</v>
      </c>
      <c r="X758" t="s">
        <v>250</v>
      </c>
      <c r="Y758" t="str">
        <f>VLOOKUP(W758,Sheet4!$A$5:$B$71,2,0)</f>
        <v>DASH BOARD</v>
      </c>
      <c r="Z758">
        <v>87082900</v>
      </c>
      <c r="AA758">
        <v>90</v>
      </c>
      <c r="AB758" t="s">
        <v>159</v>
      </c>
      <c r="AC758">
        <v>291.27999999999997</v>
      </c>
      <c r="AD758" t="s">
        <v>160</v>
      </c>
      <c r="AE758" s="24">
        <v>26215.200000000001</v>
      </c>
      <c r="AF758">
        <v>0</v>
      </c>
      <c r="AG758" s="24">
        <v>26215.200000000001</v>
      </c>
      <c r="AH758">
        <v>0</v>
      </c>
      <c r="AI758">
        <v>0</v>
      </c>
      <c r="AJ758">
        <v>0</v>
      </c>
      <c r="AK758">
        <v>0</v>
      </c>
      <c r="AL758" s="24">
        <v>26215.200000000001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 s="24">
        <v>26215.200000000001</v>
      </c>
      <c r="AV758">
        <v>0</v>
      </c>
      <c r="AW758">
        <v>0</v>
      </c>
      <c r="AX758">
        <v>311000</v>
      </c>
      <c r="AY758" t="s">
        <v>161</v>
      </c>
      <c r="AZ758">
        <v>2.37</v>
      </c>
      <c r="BA758">
        <v>2.37</v>
      </c>
      <c r="BB758">
        <v>0</v>
      </c>
      <c r="BC758" t="s">
        <v>251</v>
      </c>
      <c r="BD758">
        <v>1511</v>
      </c>
      <c r="BE758" t="s">
        <v>174</v>
      </c>
      <c r="BF758" t="s">
        <v>163</v>
      </c>
      <c r="BG758" t="s">
        <v>164</v>
      </c>
    </row>
    <row r="759" spans="1:59">
      <c r="A759">
        <v>1115</v>
      </c>
      <c r="B759">
        <v>1115</v>
      </c>
      <c r="C759">
        <v>10</v>
      </c>
      <c r="D759">
        <v>2</v>
      </c>
      <c r="E759" t="s">
        <v>152</v>
      </c>
      <c r="F759" t="s">
        <v>153</v>
      </c>
      <c r="G759" t="s">
        <v>154</v>
      </c>
      <c r="H759">
        <v>1526006186</v>
      </c>
      <c r="I759">
        <v>1000006454</v>
      </c>
      <c r="L759" t="s">
        <v>335</v>
      </c>
      <c r="M759">
        <v>5100001899</v>
      </c>
      <c r="N759" t="s">
        <v>155</v>
      </c>
      <c r="O759" t="s">
        <v>156</v>
      </c>
      <c r="P759">
        <v>4110041854</v>
      </c>
      <c r="Q759" t="s">
        <v>172</v>
      </c>
      <c r="R759">
        <v>5000</v>
      </c>
      <c r="S759" t="s">
        <v>166</v>
      </c>
      <c r="V759" t="s">
        <v>167</v>
      </c>
      <c r="W759">
        <v>1502040267</v>
      </c>
      <c r="X759" t="s">
        <v>63</v>
      </c>
      <c r="Y759" t="str">
        <f>VLOOKUP(W759,Sheet4!$A$5:$B$71,2,0)</f>
        <v>DASH BOARD</v>
      </c>
      <c r="Z759">
        <v>87082900</v>
      </c>
      <c r="AA759">
        <v>320</v>
      </c>
      <c r="AB759" t="s">
        <v>159</v>
      </c>
      <c r="AC759">
        <v>290.89999999999998</v>
      </c>
      <c r="AD759" t="s">
        <v>160</v>
      </c>
      <c r="AE759" s="24">
        <v>93088</v>
      </c>
      <c r="AF759">
        <v>0</v>
      </c>
      <c r="AG759" s="24">
        <v>93088</v>
      </c>
      <c r="AH759">
        <v>0</v>
      </c>
      <c r="AI759">
        <v>0</v>
      </c>
      <c r="AJ759">
        <v>0</v>
      </c>
      <c r="AK759">
        <v>0</v>
      </c>
      <c r="AL759" s="24">
        <v>93088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 s="24">
        <v>93088</v>
      </c>
      <c r="AV759">
        <v>0</v>
      </c>
      <c r="AW759">
        <v>0</v>
      </c>
      <c r="AX759">
        <v>311000</v>
      </c>
      <c r="AY759" t="s">
        <v>161</v>
      </c>
      <c r="AZ759">
        <v>4.5</v>
      </c>
      <c r="BA759">
        <v>4.5</v>
      </c>
      <c r="BB759">
        <v>0</v>
      </c>
      <c r="BC759" t="s">
        <v>173</v>
      </c>
      <c r="BD759">
        <v>1511</v>
      </c>
      <c r="BE759" t="s">
        <v>174</v>
      </c>
      <c r="BF759" t="s">
        <v>163</v>
      </c>
      <c r="BG759" t="s">
        <v>164</v>
      </c>
    </row>
    <row r="760" spans="1:59">
      <c r="A760">
        <v>1115</v>
      </c>
      <c r="B760">
        <v>1115</v>
      </c>
      <c r="C760">
        <v>10</v>
      </c>
      <c r="D760">
        <v>2</v>
      </c>
      <c r="E760" t="s">
        <v>152</v>
      </c>
      <c r="F760" t="s">
        <v>153</v>
      </c>
      <c r="G760" t="s">
        <v>154</v>
      </c>
      <c r="H760">
        <v>1526006278</v>
      </c>
      <c r="I760">
        <v>1000006547</v>
      </c>
      <c r="L760" t="s">
        <v>335</v>
      </c>
      <c r="M760">
        <v>5100001913</v>
      </c>
      <c r="N760" t="s">
        <v>155</v>
      </c>
      <c r="O760" t="s">
        <v>156</v>
      </c>
      <c r="P760">
        <v>4110050475</v>
      </c>
      <c r="Q760" t="s">
        <v>178</v>
      </c>
      <c r="R760">
        <v>5000</v>
      </c>
      <c r="S760" t="s">
        <v>166</v>
      </c>
      <c r="V760" t="s">
        <v>167</v>
      </c>
      <c r="W760">
        <v>1502040289</v>
      </c>
      <c r="X760" t="s">
        <v>49</v>
      </c>
      <c r="Y760" t="str">
        <f>VLOOKUP(W760,Sheet4!$A$5:$B$71,2,0)</f>
        <v>SUPPORT TOP</v>
      </c>
      <c r="Z760">
        <v>87082900</v>
      </c>
      <c r="AA760">
        <v>288</v>
      </c>
      <c r="AB760" t="s">
        <v>159</v>
      </c>
      <c r="AC760">
        <v>174.61</v>
      </c>
      <c r="AD760" t="s">
        <v>160</v>
      </c>
      <c r="AE760" s="24">
        <v>50287.68</v>
      </c>
      <c r="AF760">
        <v>0</v>
      </c>
      <c r="AG760" s="24">
        <v>50287.68</v>
      </c>
      <c r="AH760">
        <v>0</v>
      </c>
      <c r="AI760">
        <v>0</v>
      </c>
      <c r="AJ760">
        <v>0</v>
      </c>
      <c r="AK760">
        <v>0</v>
      </c>
      <c r="AL760" s="24">
        <v>50287.68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 s="24">
        <v>50287.68</v>
      </c>
      <c r="AV760">
        <v>0</v>
      </c>
      <c r="AW760">
        <v>0</v>
      </c>
      <c r="AX760">
        <v>311000</v>
      </c>
      <c r="AY760" t="s">
        <v>161</v>
      </c>
      <c r="AZ760">
        <v>0</v>
      </c>
      <c r="BA760">
        <v>0</v>
      </c>
      <c r="BB760">
        <v>0</v>
      </c>
      <c r="BC760" t="s">
        <v>179</v>
      </c>
      <c r="BD760">
        <v>1511</v>
      </c>
      <c r="BE760" t="s">
        <v>174</v>
      </c>
      <c r="BF760" t="s">
        <v>163</v>
      </c>
      <c r="BG760" t="s">
        <v>164</v>
      </c>
    </row>
    <row r="761" spans="1:59">
      <c r="A761">
        <v>1115</v>
      </c>
      <c r="B761">
        <v>1115</v>
      </c>
      <c r="C761">
        <v>10</v>
      </c>
      <c r="D761">
        <v>2</v>
      </c>
      <c r="E761" t="s">
        <v>152</v>
      </c>
      <c r="F761" t="s">
        <v>153</v>
      </c>
      <c r="G761" t="s">
        <v>154</v>
      </c>
      <c r="H761">
        <v>1526006277</v>
      </c>
      <c r="I761">
        <v>1000006546</v>
      </c>
      <c r="L761" t="s">
        <v>335</v>
      </c>
      <c r="M761">
        <v>5100001913</v>
      </c>
      <c r="N761" t="s">
        <v>155</v>
      </c>
      <c r="O761" t="s">
        <v>156</v>
      </c>
      <c r="P761">
        <v>4110050475</v>
      </c>
      <c r="Q761" t="s">
        <v>178</v>
      </c>
      <c r="R761">
        <v>5000</v>
      </c>
      <c r="S761" t="s">
        <v>166</v>
      </c>
      <c r="V761" t="s">
        <v>167</v>
      </c>
      <c r="W761">
        <v>1502040289</v>
      </c>
      <c r="X761" t="s">
        <v>49</v>
      </c>
      <c r="Y761" t="str">
        <f>VLOOKUP(W761,Sheet4!$A$5:$B$71,2,0)</f>
        <v>SUPPORT TOP</v>
      </c>
      <c r="Z761">
        <v>87082900</v>
      </c>
      <c r="AA761">
        <v>200</v>
      </c>
      <c r="AB761" t="s">
        <v>159</v>
      </c>
      <c r="AC761">
        <v>174.61</v>
      </c>
      <c r="AD761" t="s">
        <v>160</v>
      </c>
      <c r="AE761" s="24">
        <v>34922</v>
      </c>
      <c r="AF761">
        <v>0</v>
      </c>
      <c r="AG761" s="24">
        <v>34922</v>
      </c>
      <c r="AH761">
        <v>0</v>
      </c>
      <c r="AI761">
        <v>0</v>
      </c>
      <c r="AJ761">
        <v>0</v>
      </c>
      <c r="AK761">
        <v>0</v>
      </c>
      <c r="AL761" s="24">
        <v>34922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 s="24">
        <v>34922</v>
      </c>
      <c r="AV761">
        <v>0</v>
      </c>
      <c r="AW761">
        <v>0</v>
      </c>
      <c r="AX761">
        <v>311000</v>
      </c>
      <c r="AY761" t="s">
        <v>161</v>
      </c>
      <c r="AZ761">
        <v>0</v>
      </c>
      <c r="BA761">
        <v>0</v>
      </c>
      <c r="BB761">
        <v>0</v>
      </c>
      <c r="BC761" t="s">
        <v>179</v>
      </c>
      <c r="BD761">
        <v>1511</v>
      </c>
      <c r="BE761" t="s">
        <v>174</v>
      </c>
      <c r="BF761" t="s">
        <v>163</v>
      </c>
      <c r="BG761" t="s">
        <v>164</v>
      </c>
    </row>
    <row r="762" spans="1:59">
      <c r="A762">
        <v>1115</v>
      </c>
      <c r="B762">
        <v>1115</v>
      </c>
      <c r="C762">
        <v>10</v>
      </c>
      <c r="D762">
        <v>2</v>
      </c>
      <c r="E762" t="s">
        <v>152</v>
      </c>
      <c r="F762" t="s">
        <v>153</v>
      </c>
      <c r="G762" t="s">
        <v>154</v>
      </c>
      <c r="H762">
        <v>1526006275</v>
      </c>
      <c r="I762">
        <v>1000006544</v>
      </c>
      <c r="L762" t="s">
        <v>335</v>
      </c>
      <c r="M762">
        <v>5100001588</v>
      </c>
      <c r="N762" t="s">
        <v>155</v>
      </c>
      <c r="O762" t="s">
        <v>156</v>
      </c>
      <c r="P762">
        <v>4110025058</v>
      </c>
      <c r="Q762" t="s">
        <v>180</v>
      </c>
      <c r="R762">
        <v>5000</v>
      </c>
      <c r="S762" t="s">
        <v>166</v>
      </c>
      <c r="V762" t="s">
        <v>167</v>
      </c>
      <c r="W762">
        <v>1502040235</v>
      </c>
      <c r="X762" t="s">
        <v>47</v>
      </c>
      <c r="Y762" t="str">
        <f>VLOOKUP(W762,Sheet4!$A$5:$B$71,2,0)</f>
        <v>STARTING HANDLE</v>
      </c>
      <c r="Z762">
        <v>87082900</v>
      </c>
      <c r="AA762">
        <v>540</v>
      </c>
      <c r="AB762" t="s">
        <v>159</v>
      </c>
      <c r="AC762">
        <v>217.33</v>
      </c>
      <c r="AD762" t="s">
        <v>160</v>
      </c>
      <c r="AE762" s="24">
        <v>117358.2</v>
      </c>
      <c r="AF762">
        <v>0</v>
      </c>
      <c r="AG762" s="24">
        <v>117358.2</v>
      </c>
      <c r="AH762">
        <v>0</v>
      </c>
      <c r="AI762">
        <v>0</v>
      </c>
      <c r="AJ762">
        <v>0</v>
      </c>
      <c r="AK762">
        <v>0</v>
      </c>
      <c r="AL762" s="24">
        <v>117358.2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 s="24">
        <v>117358.2</v>
      </c>
      <c r="AV762">
        <v>0</v>
      </c>
      <c r="AW762">
        <v>0</v>
      </c>
      <c r="AX762">
        <v>311000</v>
      </c>
      <c r="AY762" t="s">
        <v>161</v>
      </c>
      <c r="AZ762">
        <v>1.19</v>
      </c>
      <c r="BA762">
        <v>1.19</v>
      </c>
      <c r="BB762">
        <v>0</v>
      </c>
      <c r="BC762" t="s">
        <v>181</v>
      </c>
      <c r="BD762">
        <v>1511</v>
      </c>
      <c r="BE762" t="s">
        <v>174</v>
      </c>
      <c r="BF762" t="s">
        <v>163</v>
      </c>
      <c r="BG762" t="s">
        <v>164</v>
      </c>
    </row>
    <row r="763" spans="1:59">
      <c r="A763">
        <v>1115</v>
      </c>
      <c r="B763">
        <v>1115</v>
      </c>
      <c r="C763">
        <v>10</v>
      </c>
      <c r="D763">
        <v>2</v>
      </c>
      <c r="E763" t="s">
        <v>152</v>
      </c>
      <c r="F763" t="s">
        <v>153</v>
      </c>
      <c r="G763" t="s">
        <v>154</v>
      </c>
      <c r="H763">
        <v>1526006274</v>
      </c>
      <c r="I763">
        <v>1000006543</v>
      </c>
      <c r="L763" t="s">
        <v>335</v>
      </c>
      <c r="M763">
        <v>5100001588</v>
      </c>
      <c r="N763" t="s">
        <v>155</v>
      </c>
      <c r="O763" t="s">
        <v>156</v>
      </c>
      <c r="P763">
        <v>4110025058</v>
      </c>
      <c r="Q763" t="s">
        <v>180</v>
      </c>
      <c r="R763">
        <v>5000</v>
      </c>
      <c r="S763" t="s">
        <v>166</v>
      </c>
      <c r="V763" t="s">
        <v>167</v>
      </c>
      <c r="W763">
        <v>1502040235</v>
      </c>
      <c r="X763" t="s">
        <v>47</v>
      </c>
      <c r="Y763" t="str">
        <f>VLOOKUP(W763,Sheet4!$A$5:$B$71,2,0)</f>
        <v>STARTING HANDLE</v>
      </c>
      <c r="Z763">
        <v>87082900</v>
      </c>
      <c r="AA763">
        <v>540</v>
      </c>
      <c r="AB763" t="s">
        <v>159</v>
      </c>
      <c r="AC763">
        <v>217.33</v>
      </c>
      <c r="AD763" t="s">
        <v>160</v>
      </c>
      <c r="AE763" s="24">
        <v>117358.2</v>
      </c>
      <c r="AF763">
        <v>0</v>
      </c>
      <c r="AG763" s="24">
        <v>117358.2</v>
      </c>
      <c r="AH763">
        <v>0</v>
      </c>
      <c r="AI763">
        <v>0</v>
      </c>
      <c r="AJ763">
        <v>0</v>
      </c>
      <c r="AK763">
        <v>0</v>
      </c>
      <c r="AL763" s="24">
        <v>117358.2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 s="24">
        <v>117358.2</v>
      </c>
      <c r="AV763">
        <v>0</v>
      </c>
      <c r="AW763">
        <v>0</v>
      </c>
      <c r="AX763">
        <v>311000</v>
      </c>
      <c r="AY763" t="s">
        <v>161</v>
      </c>
      <c r="AZ763">
        <v>1.19</v>
      </c>
      <c r="BA763">
        <v>1.19</v>
      </c>
      <c r="BB763">
        <v>0</v>
      </c>
      <c r="BC763" t="s">
        <v>181</v>
      </c>
      <c r="BD763">
        <v>1511</v>
      </c>
      <c r="BE763" t="s">
        <v>174</v>
      </c>
      <c r="BF763" t="s">
        <v>163</v>
      </c>
      <c r="BG763" t="s">
        <v>164</v>
      </c>
    </row>
    <row r="764" spans="1:59">
      <c r="A764">
        <v>1115</v>
      </c>
      <c r="B764">
        <v>1115</v>
      </c>
      <c r="C764">
        <v>10</v>
      </c>
      <c r="D764">
        <v>2</v>
      </c>
      <c r="E764" t="s">
        <v>152</v>
      </c>
      <c r="F764" t="s">
        <v>153</v>
      </c>
      <c r="G764" t="s">
        <v>154</v>
      </c>
      <c r="H764">
        <v>1526006273</v>
      </c>
      <c r="I764">
        <v>1000006542</v>
      </c>
      <c r="L764" t="s">
        <v>335</v>
      </c>
      <c r="M764">
        <v>5100001603</v>
      </c>
      <c r="N764" t="s">
        <v>155</v>
      </c>
      <c r="O764" t="s">
        <v>156</v>
      </c>
      <c r="P764">
        <v>4110025468</v>
      </c>
      <c r="Q764" t="s">
        <v>165</v>
      </c>
      <c r="R764">
        <v>5000</v>
      </c>
      <c r="S764" t="s">
        <v>166</v>
      </c>
      <c r="V764" t="s">
        <v>167</v>
      </c>
      <c r="W764">
        <v>1502020102</v>
      </c>
      <c r="X764" t="s">
        <v>58</v>
      </c>
      <c r="Y764" t="str">
        <f>VLOOKUP(W764,Sheet4!$A$5:$B$71,2,0)</f>
        <v>MAXIMA HD</v>
      </c>
      <c r="Z764">
        <v>87082900</v>
      </c>
      <c r="AA764">
        <v>6</v>
      </c>
      <c r="AB764" t="s">
        <v>159</v>
      </c>
      <c r="AC764" s="24">
        <v>8593.51</v>
      </c>
      <c r="AD764" t="s">
        <v>160</v>
      </c>
      <c r="AE764" s="24">
        <v>51561.06</v>
      </c>
      <c r="AF764">
        <v>0</v>
      </c>
      <c r="AG764" s="24">
        <v>51561.06</v>
      </c>
      <c r="AH764">
        <v>0</v>
      </c>
      <c r="AI764">
        <v>0</v>
      </c>
      <c r="AJ764">
        <v>0</v>
      </c>
      <c r="AK764">
        <v>0</v>
      </c>
      <c r="AL764" s="24">
        <v>51561.06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 s="24">
        <v>51561.06</v>
      </c>
      <c r="AV764">
        <v>0</v>
      </c>
      <c r="AW764">
        <v>0</v>
      </c>
      <c r="AX764">
        <v>311000</v>
      </c>
      <c r="AY764" t="s">
        <v>161</v>
      </c>
      <c r="AZ764">
        <v>93.34</v>
      </c>
      <c r="BA764">
        <v>75.430000000000007</v>
      </c>
      <c r="BB764">
        <v>17.91</v>
      </c>
      <c r="BC764" t="s">
        <v>168</v>
      </c>
      <c r="BD764">
        <v>1509</v>
      </c>
      <c r="BE764" t="s">
        <v>169</v>
      </c>
      <c r="BF764" t="s">
        <v>163</v>
      </c>
      <c r="BG764" t="s">
        <v>164</v>
      </c>
    </row>
    <row r="765" spans="1:59">
      <c r="A765">
        <v>1115</v>
      </c>
      <c r="B765">
        <v>1115</v>
      </c>
      <c r="C765">
        <v>10</v>
      </c>
      <c r="D765">
        <v>2</v>
      </c>
      <c r="E765" t="s">
        <v>152</v>
      </c>
      <c r="F765" t="s">
        <v>153</v>
      </c>
      <c r="G765" t="s">
        <v>154</v>
      </c>
      <c r="H765">
        <v>1526006272</v>
      </c>
      <c r="I765">
        <v>1000006541</v>
      </c>
      <c r="L765" t="s">
        <v>335</v>
      </c>
      <c r="M765">
        <v>5100001934</v>
      </c>
      <c r="N765" t="s">
        <v>155</v>
      </c>
      <c r="O765" t="s">
        <v>156</v>
      </c>
      <c r="P765">
        <v>4110058649</v>
      </c>
      <c r="Q765" t="s">
        <v>196</v>
      </c>
      <c r="R765">
        <v>5000</v>
      </c>
      <c r="S765" t="s">
        <v>166</v>
      </c>
      <c r="V765" t="s">
        <v>167</v>
      </c>
      <c r="W765">
        <v>1502040217</v>
      </c>
      <c r="X765" t="s">
        <v>197</v>
      </c>
      <c r="Y765" t="str">
        <f>VLOOKUP(W765,Sheet4!$A$5:$B$71,2,0)</f>
        <v>FRONT MUDGARD GOGO</v>
      </c>
      <c r="Z765">
        <v>87082900</v>
      </c>
      <c r="AA765">
        <v>150</v>
      </c>
      <c r="AB765" t="s">
        <v>159</v>
      </c>
      <c r="AC765">
        <v>380.93</v>
      </c>
      <c r="AD765" t="s">
        <v>160</v>
      </c>
      <c r="AE765" s="24">
        <v>57139.5</v>
      </c>
      <c r="AF765">
        <v>0</v>
      </c>
      <c r="AG765" s="24">
        <v>57139.5</v>
      </c>
      <c r="AH765">
        <v>0</v>
      </c>
      <c r="AI765">
        <v>0</v>
      </c>
      <c r="AJ765">
        <v>0</v>
      </c>
      <c r="AK765">
        <v>0</v>
      </c>
      <c r="AL765" s="24">
        <v>57139.5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 s="24">
        <v>57139.5</v>
      </c>
      <c r="AV765">
        <v>0</v>
      </c>
      <c r="AW765">
        <v>0</v>
      </c>
      <c r="AX765">
        <v>311000</v>
      </c>
      <c r="AY765" t="s">
        <v>161</v>
      </c>
      <c r="AZ765">
        <v>2.13</v>
      </c>
      <c r="BA765">
        <v>2.13</v>
      </c>
      <c r="BB765">
        <v>0</v>
      </c>
      <c r="BC765" t="s">
        <v>198</v>
      </c>
      <c r="BD765">
        <v>1511</v>
      </c>
      <c r="BE765" t="s">
        <v>174</v>
      </c>
      <c r="BF765" t="s">
        <v>163</v>
      </c>
      <c r="BG765" t="s">
        <v>164</v>
      </c>
    </row>
    <row r="766" spans="1:59">
      <c r="A766">
        <v>1115</v>
      </c>
      <c r="B766">
        <v>1115</v>
      </c>
      <c r="C766">
        <v>10</v>
      </c>
      <c r="D766">
        <v>2</v>
      </c>
      <c r="E766" t="s">
        <v>152</v>
      </c>
      <c r="F766" t="s">
        <v>153</v>
      </c>
      <c r="G766" t="s">
        <v>154</v>
      </c>
      <c r="H766">
        <v>1526006271</v>
      </c>
      <c r="I766">
        <v>1000006540</v>
      </c>
      <c r="L766" t="s">
        <v>335</v>
      </c>
      <c r="M766">
        <v>5100001928</v>
      </c>
      <c r="N766" t="s">
        <v>155</v>
      </c>
      <c r="O766" t="s">
        <v>156</v>
      </c>
      <c r="P766">
        <v>4110057393</v>
      </c>
      <c r="Q766" t="s">
        <v>192</v>
      </c>
      <c r="R766">
        <v>5000</v>
      </c>
      <c r="S766" t="s">
        <v>166</v>
      </c>
      <c r="V766" t="s">
        <v>167</v>
      </c>
      <c r="W766">
        <v>1502020122</v>
      </c>
      <c r="X766" t="s">
        <v>70</v>
      </c>
      <c r="Y766" t="str">
        <f>VLOOKUP(W766,Sheet4!$A$5:$B$71,2,0)</f>
        <v>MAX UG NEW EV</v>
      </c>
      <c r="Z766">
        <v>87082900</v>
      </c>
      <c r="AA766">
        <v>10</v>
      </c>
      <c r="AB766" t="s">
        <v>159</v>
      </c>
      <c r="AC766" s="24">
        <v>9566.51</v>
      </c>
      <c r="AD766" t="s">
        <v>160</v>
      </c>
      <c r="AE766" s="24">
        <v>95665.1</v>
      </c>
      <c r="AF766">
        <v>0</v>
      </c>
      <c r="AG766" s="24">
        <v>95665.1</v>
      </c>
      <c r="AH766">
        <v>0</v>
      </c>
      <c r="AI766">
        <v>0</v>
      </c>
      <c r="AJ766">
        <v>0</v>
      </c>
      <c r="AK766">
        <v>0</v>
      </c>
      <c r="AL766" s="24">
        <v>95665.1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 s="24">
        <v>95665.1</v>
      </c>
      <c r="AV766">
        <v>0</v>
      </c>
      <c r="AW766">
        <v>0</v>
      </c>
      <c r="AX766">
        <v>311000</v>
      </c>
      <c r="AY766" t="s">
        <v>161</v>
      </c>
      <c r="AZ766">
        <v>0</v>
      </c>
      <c r="BA766">
        <v>61</v>
      </c>
      <c r="BB766">
        <v>-61</v>
      </c>
      <c r="BC766" t="s">
        <v>193</v>
      </c>
      <c r="BD766">
        <v>1509</v>
      </c>
      <c r="BE766" t="s">
        <v>169</v>
      </c>
      <c r="BF766" t="s">
        <v>163</v>
      </c>
      <c r="BG766" t="s">
        <v>164</v>
      </c>
    </row>
    <row r="767" spans="1:59">
      <c r="A767">
        <v>1115</v>
      </c>
      <c r="B767">
        <v>1115</v>
      </c>
      <c r="C767">
        <v>10</v>
      </c>
      <c r="D767">
        <v>2</v>
      </c>
      <c r="E767" t="s">
        <v>152</v>
      </c>
      <c r="F767" t="s">
        <v>153</v>
      </c>
      <c r="G767" t="s">
        <v>154</v>
      </c>
      <c r="H767">
        <v>1526006270</v>
      </c>
      <c r="I767">
        <v>1000006539</v>
      </c>
      <c r="L767" t="s">
        <v>335</v>
      </c>
      <c r="M767">
        <v>5100001928</v>
      </c>
      <c r="N767" t="s">
        <v>155</v>
      </c>
      <c r="O767" t="s">
        <v>156</v>
      </c>
      <c r="P767">
        <v>4110057393</v>
      </c>
      <c r="Q767" t="s">
        <v>192</v>
      </c>
      <c r="R767">
        <v>5000</v>
      </c>
      <c r="S767" t="s">
        <v>166</v>
      </c>
      <c r="V767" t="s">
        <v>167</v>
      </c>
      <c r="W767">
        <v>1502020122</v>
      </c>
      <c r="X767" t="s">
        <v>70</v>
      </c>
      <c r="Y767" t="str">
        <f>VLOOKUP(W767,Sheet4!$A$5:$B$71,2,0)</f>
        <v>MAX UG NEW EV</v>
      </c>
      <c r="Z767">
        <v>87082900</v>
      </c>
      <c r="AA767">
        <v>10</v>
      </c>
      <c r="AB767" t="s">
        <v>159</v>
      </c>
      <c r="AC767" s="24">
        <v>9566.51</v>
      </c>
      <c r="AD767" t="s">
        <v>160</v>
      </c>
      <c r="AE767" s="24">
        <v>95665.1</v>
      </c>
      <c r="AF767">
        <v>0</v>
      </c>
      <c r="AG767" s="24">
        <v>95665.1</v>
      </c>
      <c r="AH767">
        <v>0</v>
      </c>
      <c r="AI767">
        <v>0</v>
      </c>
      <c r="AJ767">
        <v>0</v>
      </c>
      <c r="AK767">
        <v>0</v>
      </c>
      <c r="AL767" s="24">
        <v>95665.1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 s="24">
        <v>95665.1</v>
      </c>
      <c r="AV767">
        <v>0</v>
      </c>
      <c r="AW767">
        <v>0</v>
      </c>
      <c r="AX767">
        <v>311000</v>
      </c>
      <c r="AY767" t="s">
        <v>161</v>
      </c>
      <c r="AZ767">
        <v>0</v>
      </c>
      <c r="BA767">
        <v>61</v>
      </c>
      <c r="BB767">
        <v>-61</v>
      </c>
      <c r="BC767" t="s">
        <v>193</v>
      </c>
      <c r="BD767">
        <v>1509</v>
      </c>
      <c r="BE767" t="s">
        <v>169</v>
      </c>
      <c r="BF767" t="s">
        <v>163</v>
      </c>
      <c r="BG767" t="s">
        <v>164</v>
      </c>
    </row>
    <row r="768" spans="1:59">
      <c r="A768">
        <v>1115</v>
      </c>
      <c r="B768">
        <v>1115</v>
      </c>
      <c r="C768">
        <v>10</v>
      </c>
      <c r="D768">
        <v>2</v>
      </c>
      <c r="E768" t="s">
        <v>152</v>
      </c>
      <c r="F768" t="s">
        <v>153</v>
      </c>
      <c r="G768" t="s">
        <v>154</v>
      </c>
      <c r="H768">
        <v>1526006269</v>
      </c>
      <c r="I768">
        <v>1000006538</v>
      </c>
      <c r="L768" t="s">
        <v>335</v>
      </c>
      <c r="M768">
        <v>5100001928</v>
      </c>
      <c r="N768" t="s">
        <v>155</v>
      </c>
      <c r="O768" t="s">
        <v>156</v>
      </c>
      <c r="P768">
        <v>4110057393</v>
      </c>
      <c r="Q768" t="s">
        <v>192</v>
      </c>
      <c r="R768">
        <v>5000</v>
      </c>
      <c r="S768" t="s">
        <v>166</v>
      </c>
      <c r="V768" t="s">
        <v>167</v>
      </c>
      <c r="W768">
        <v>1502020122</v>
      </c>
      <c r="X768" t="s">
        <v>70</v>
      </c>
      <c r="Y768" t="str">
        <f>VLOOKUP(W768,Sheet4!$A$5:$B$71,2,0)</f>
        <v>MAX UG NEW EV</v>
      </c>
      <c r="Z768">
        <v>87082900</v>
      </c>
      <c r="AA768">
        <v>10</v>
      </c>
      <c r="AB768" t="s">
        <v>159</v>
      </c>
      <c r="AC768" s="24">
        <v>9566.51</v>
      </c>
      <c r="AD768" t="s">
        <v>160</v>
      </c>
      <c r="AE768" s="24">
        <v>95665.1</v>
      </c>
      <c r="AF768">
        <v>0</v>
      </c>
      <c r="AG768" s="24">
        <v>95665.1</v>
      </c>
      <c r="AH768">
        <v>0</v>
      </c>
      <c r="AI768">
        <v>0</v>
      </c>
      <c r="AJ768">
        <v>0</v>
      </c>
      <c r="AK768">
        <v>0</v>
      </c>
      <c r="AL768" s="24">
        <v>95665.1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 s="24">
        <v>95665.1</v>
      </c>
      <c r="AV768">
        <v>0</v>
      </c>
      <c r="AW768">
        <v>0</v>
      </c>
      <c r="AX768">
        <v>311000</v>
      </c>
      <c r="AY768" t="s">
        <v>161</v>
      </c>
      <c r="AZ768">
        <v>0</v>
      </c>
      <c r="BA768">
        <v>61</v>
      </c>
      <c r="BB768">
        <v>-61</v>
      </c>
      <c r="BC768" t="s">
        <v>193</v>
      </c>
      <c r="BD768">
        <v>1509</v>
      </c>
      <c r="BE768" t="s">
        <v>169</v>
      </c>
      <c r="BF768" t="s">
        <v>163</v>
      </c>
      <c r="BG768" t="s">
        <v>164</v>
      </c>
    </row>
    <row r="769" spans="1:59">
      <c r="A769">
        <v>1115</v>
      </c>
      <c r="B769">
        <v>1115</v>
      </c>
      <c r="C769">
        <v>10</v>
      </c>
      <c r="D769">
        <v>2</v>
      </c>
      <c r="E769" t="s">
        <v>152</v>
      </c>
      <c r="F769" t="s">
        <v>153</v>
      </c>
      <c r="G769" t="s">
        <v>154</v>
      </c>
      <c r="H769">
        <v>1526006268</v>
      </c>
      <c r="I769">
        <v>1000006537</v>
      </c>
      <c r="L769" t="s">
        <v>335</v>
      </c>
      <c r="M769">
        <v>5100001928</v>
      </c>
      <c r="N769" t="s">
        <v>155</v>
      </c>
      <c r="O769" t="s">
        <v>156</v>
      </c>
      <c r="P769">
        <v>4110057393</v>
      </c>
      <c r="Q769" t="s">
        <v>192</v>
      </c>
      <c r="R769">
        <v>5000</v>
      </c>
      <c r="S769" t="s">
        <v>166</v>
      </c>
      <c r="V769" t="s">
        <v>167</v>
      </c>
      <c r="W769">
        <v>1502020122</v>
      </c>
      <c r="X769" t="s">
        <v>70</v>
      </c>
      <c r="Y769" t="str">
        <f>VLOOKUP(W769,Sheet4!$A$5:$B$71,2,0)</f>
        <v>MAX UG NEW EV</v>
      </c>
      <c r="Z769">
        <v>87082900</v>
      </c>
      <c r="AA769">
        <v>10</v>
      </c>
      <c r="AB769" t="s">
        <v>159</v>
      </c>
      <c r="AC769" s="24">
        <v>9566.51</v>
      </c>
      <c r="AD769" t="s">
        <v>160</v>
      </c>
      <c r="AE769" s="24">
        <v>95665.1</v>
      </c>
      <c r="AF769">
        <v>0</v>
      </c>
      <c r="AG769" s="24">
        <v>95665.1</v>
      </c>
      <c r="AH769">
        <v>0</v>
      </c>
      <c r="AI769">
        <v>0</v>
      </c>
      <c r="AJ769">
        <v>0</v>
      </c>
      <c r="AK769">
        <v>0</v>
      </c>
      <c r="AL769" s="24">
        <v>95665.1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 s="24">
        <v>95665.1</v>
      </c>
      <c r="AV769">
        <v>0</v>
      </c>
      <c r="AW769">
        <v>0</v>
      </c>
      <c r="AX769">
        <v>311000</v>
      </c>
      <c r="AY769" t="s">
        <v>161</v>
      </c>
      <c r="AZ769">
        <v>0</v>
      </c>
      <c r="BA769">
        <v>61</v>
      </c>
      <c r="BB769">
        <v>-61</v>
      </c>
      <c r="BC769" t="s">
        <v>193</v>
      </c>
      <c r="BD769">
        <v>1509</v>
      </c>
      <c r="BE769" t="s">
        <v>169</v>
      </c>
      <c r="BF769" t="s">
        <v>163</v>
      </c>
      <c r="BG769" t="s">
        <v>164</v>
      </c>
    </row>
    <row r="770" spans="1:59">
      <c r="A770">
        <v>1115</v>
      </c>
      <c r="B770">
        <v>1115</v>
      </c>
      <c r="C770">
        <v>10</v>
      </c>
      <c r="D770">
        <v>2</v>
      </c>
      <c r="E770" t="s">
        <v>152</v>
      </c>
      <c r="F770" t="s">
        <v>153</v>
      </c>
      <c r="G770" t="s">
        <v>154</v>
      </c>
      <c r="H770">
        <v>1526006267</v>
      </c>
      <c r="I770">
        <v>1000006535</v>
      </c>
      <c r="L770" t="s">
        <v>335</v>
      </c>
      <c r="M770">
        <v>5100001603</v>
      </c>
      <c r="N770" t="s">
        <v>155</v>
      </c>
      <c r="O770" t="s">
        <v>156</v>
      </c>
      <c r="P770">
        <v>4110025468</v>
      </c>
      <c r="Q770" t="s">
        <v>165</v>
      </c>
      <c r="R770">
        <v>5000</v>
      </c>
      <c r="S770" t="s">
        <v>166</v>
      </c>
      <c r="V770" t="s">
        <v>167</v>
      </c>
      <c r="W770">
        <v>1502020102</v>
      </c>
      <c r="X770" t="s">
        <v>58</v>
      </c>
      <c r="Y770" t="str">
        <f>VLOOKUP(W770,Sheet4!$A$5:$B$71,2,0)</f>
        <v>MAXIMA HD</v>
      </c>
      <c r="Z770">
        <v>87082900</v>
      </c>
      <c r="AA770">
        <v>8</v>
      </c>
      <c r="AB770" t="s">
        <v>159</v>
      </c>
      <c r="AC770" s="24">
        <v>8593.51</v>
      </c>
      <c r="AD770" t="s">
        <v>160</v>
      </c>
      <c r="AE770" s="24">
        <v>68748.08</v>
      </c>
      <c r="AF770">
        <v>0</v>
      </c>
      <c r="AG770" s="24">
        <v>68748.08</v>
      </c>
      <c r="AH770">
        <v>0</v>
      </c>
      <c r="AI770">
        <v>0</v>
      </c>
      <c r="AJ770">
        <v>0</v>
      </c>
      <c r="AK770">
        <v>0</v>
      </c>
      <c r="AL770" s="24">
        <v>68748.08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 s="24">
        <v>68748.08</v>
      </c>
      <c r="AV770">
        <v>0</v>
      </c>
      <c r="AW770">
        <v>0</v>
      </c>
      <c r="AX770">
        <v>311000</v>
      </c>
      <c r="AY770" t="s">
        <v>161</v>
      </c>
      <c r="AZ770">
        <v>93.34</v>
      </c>
      <c r="BA770">
        <v>75.430000000000007</v>
      </c>
      <c r="BB770">
        <v>17.91</v>
      </c>
      <c r="BC770" t="s">
        <v>168</v>
      </c>
      <c r="BD770">
        <v>1509</v>
      </c>
      <c r="BE770" t="s">
        <v>169</v>
      </c>
      <c r="BF770" t="s">
        <v>163</v>
      </c>
      <c r="BG770" t="s">
        <v>164</v>
      </c>
    </row>
    <row r="771" spans="1:59">
      <c r="A771">
        <v>1115</v>
      </c>
      <c r="B771">
        <v>1115</v>
      </c>
      <c r="C771">
        <v>10</v>
      </c>
      <c r="D771">
        <v>2</v>
      </c>
      <c r="E771" t="s">
        <v>152</v>
      </c>
      <c r="F771" t="s">
        <v>153</v>
      </c>
      <c r="G771" t="s">
        <v>154</v>
      </c>
      <c r="H771">
        <v>1526006266</v>
      </c>
      <c r="I771">
        <v>1000006534</v>
      </c>
      <c r="L771" t="s">
        <v>335</v>
      </c>
      <c r="M771">
        <v>5100001603</v>
      </c>
      <c r="N771" t="s">
        <v>155</v>
      </c>
      <c r="O771" t="s">
        <v>156</v>
      </c>
      <c r="P771">
        <v>4110025468</v>
      </c>
      <c r="Q771" t="s">
        <v>165</v>
      </c>
      <c r="R771">
        <v>5000</v>
      </c>
      <c r="S771" t="s">
        <v>166</v>
      </c>
      <c r="V771" t="s">
        <v>167</v>
      </c>
      <c r="W771">
        <v>1502020102</v>
      </c>
      <c r="X771" t="s">
        <v>58</v>
      </c>
      <c r="Y771" t="str">
        <f>VLOOKUP(W771,Sheet4!$A$5:$B$71,2,0)</f>
        <v>MAXIMA HD</v>
      </c>
      <c r="Z771">
        <v>87082900</v>
      </c>
      <c r="AA771">
        <v>8</v>
      </c>
      <c r="AB771" t="s">
        <v>159</v>
      </c>
      <c r="AC771" s="24">
        <v>8593.51</v>
      </c>
      <c r="AD771" t="s">
        <v>160</v>
      </c>
      <c r="AE771" s="24">
        <v>68748.08</v>
      </c>
      <c r="AF771">
        <v>0</v>
      </c>
      <c r="AG771" s="24">
        <v>68748.08</v>
      </c>
      <c r="AH771">
        <v>0</v>
      </c>
      <c r="AI771">
        <v>0</v>
      </c>
      <c r="AJ771">
        <v>0</v>
      </c>
      <c r="AK771">
        <v>0</v>
      </c>
      <c r="AL771" s="24">
        <v>68748.08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 s="24">
        <v>68748.08</v>
      </c>
      <c r="AV771">
        <v>0</v>
      </c>
      <c r="AW771">
        <v>0</v>
      </c>
      <c r="AX771">
        <v>311000</v>
      </c>
      <c r="AY771" t="s">
        <v>161</v>
      </c>
      <c r="AZ771">
        <v>93.34</v>
      </c>
      <c r="BA771">
        <v>75.430000000000007</v>
      </c>
      <c r="BB771">
        <v>17.91</v>
      </c>
      <c r="BC771" t="s">
        <v>168</v>
      </c>
      <c r="BD771">
        <v>1509</v>
      </c>
      <c r="BE771" t="s">
        <v>169</v>
      </c>
      <c r="BF771" t="s">
        <v>163</v>
      </c>
      <c r="BG771" t="s">
        <v>164</v>
      </c>
    </row>
    <row r="772" spans="1:59">
      <c r="A772">
        <v>1115</v>
      </c>
      <c r="B772">
        <v>1115</v>
      </c>
      <c r="C772">
        <v>10</v>
      </c>
      <c r="D772">
        <v>2</v>
      </c>
      <c r="E772" t="s">
        <v>152</v>
      </c>
      <c r="F772" t="s">
        <v>153</v>
      </c>
      <c r="G772" t="s">
        <v>154</v>
      </c>
      <c r="H772">
        <v>1526006265</v>
      </c>
      <c r="I772">
        <v>1000006533</v>
      </c>
      <c r="L772" t="s">
        <v>335</v>
      </c>
      <c r="M772">
        <v>5100001928</v>
      </c>
      <c r="N772" t="s">
        <v>155</v>
      </c>
      <c r="O772" t="s">
        <v>156</v>
      </c>
      <c r="P772">
        <v>4110057393</v>
      </c>
      <c r="Q772" t="s">
        <v>192</v>
      </c>
      <c r="R772">
        <v>5000</v>
      </c>
      <c r="S772" t="s">
        <v>166</v>
      </c>
      <c r="V772" t="s">
        <v>167</v>
      </c>
      <c r="W772">
        <v>1502020122</v>
      </c>
      <c r="X772" t="s">
        <v>70</v>
      </c>
      <c r="Y772" t="str">
        <f>VLOOKUP(W772,Sheet4!$A$5:$B$71,2,0)</f>
        <v>MAX UG NEW EV</v>
      </c>
      <c r="Z772">
        <v>87082900</v>
      </c>
      <c r="AA772">
        <v>10</v>
      </c>
      <c r="AB772" t="s">
        <v>159</v>
      </c>
      <c r="AC772" s="24">
        <v>9566.51</v>
      </c>
      <c r="AD772" t="s">
        <v>160</v>
      </c>
      <c r="AE772" s="24">
        <v>95665.1</v>
      </c>
      <c r="AF772">
        <v>0</v>
      </c>
      <c r="AG772" s="24">
        <v>95665.1</v>
      </c>
      <c r="AH772">
        <v>0</v>
      </c>
      <c r="AI772">
        <v>0</v>
      </c>
      <c r="AJ772">
        <v>0</v>
      </c>
      <c r="AK772">
        <v>0</v>
      </c>
      <c r="AL772" s="24">
        <v>95665.1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 s="24">
        <v>95665.1</v>
      </c>
      <c r="AV772">
        <v>0</v>
      </c>
      <c r="AW772">
        <v>0</v>
      </c>
      <c r="AX772">
        <v>311000</v>
      </c>
      <c r="AY772" t="s">
        <v>161</v>
      </c>
      <c r="AZ772">
        <v>0</v>
      </c>
      <c r="BA772">
        <v>61</v>
      </c>
      <c r="BB772">
        <v>-61</v>
      </c>
      <c r="BC772" t="s">
        <v>193</v>
      </c>
      <c r="BD772">
        <v>1509</v>
      </c>
      <c r="BE772" t="s">
        <v>169</v>
      </c>
      <c r="BF772" t="s">
        <v>163</v>
      </c>
      <c r="BG772" t="s">
        <v>164</v>
      </c>
    </row>
    <row r="773" spans="1:59">
      <c r="A773">
        <v>1115</v>
      </c>
      <c r="B773">
        <v>1115</v>
      </c>
      <c r="C773">
        <v>10</v>
      </c>
      <c r="D773">
        <v>2</v>
      </c>
      <c r="E773" t="s">
        <v>152</v>
      </c>
      <c r="F773" t="s">
        <v>153</v>
      </c>
      <c r="G773" t="s">
        <v>154</v>
      </c>
      <c r="H773">
        <v>1526006263</v>
      </c>
      <c r="I773">
        <v>1000006528</v>
      </c>
      <c r="L773" t="s">
        <v>335</v>
      </c>
      <c r="M773">
        <v>5100001099</v>
      </c>
      <c r="N773" t="s">
        <v>155</v>
      </c>
      <c r="O773" t="s">
        <v>156</v>
      </c>
      <c r="P773">
        <v>4110004650</v>
      </c>
      <c r="Q773" t="s">
        <v>177</v>
      </c>
      <c r="R773">
        <v>5000</v>
      </c>
      <c r="S773" t="s">
        <v>166</v>
      </c>
      <c r="V773" t="s">
        <v>167</v>
      </c>
      <c r="W773">
        <v>1502040133</v>
      </c>
      <c r="X773" t="s">
        <v>228</v>
      </c>
      <c r="Y773" t="str">
        <f>VLOOKUP(W773,Sheet4!$A$5:$B$71,2,0)</f>
        <v>REAR COVER</v>
      </c>
      <c r="Z773">
        <v>87082900</v>
      </c>
      <c r="AA773">
        <v>55</v>
      </c>
      <c r="AB773" t="s">
        <v>159</v>
      </c>
      <c r="AC773">
        <v>164.49</v>
      </c>
      <c r="AD773" t="s">
        <v>160</v>
      </c>
      <c r="AE773" s="24">
        <v>9046.9500000000007</v>
      </c>
      <c r="AF773">
        <v>0</v>
      </c>
      <c r="AG773" s="24">
        <v>9046.9500000000007</v>
      </c>
      <c r="AH773">
        <v>0</v>
      </c>
      <c r="AI773">
        <v>0</v>
      </c>
      <c r="AJ773">
        <v>0</v>
      </c>
      <c r="AK773">
        <v>0</v>
      </c>
      <c r="AL773" s="24">
        <v>9046.9500000000007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 s="24">
        <v>9046.9500000000007</v>
      </c>
      <c r="AV773">
        <v>0</v>
      </c>
      <c r="AW773">
        <v>0</v>
      </c>
      <c r="AX773">
        <v>311000</v>
      </c>
      <c r="AY773" t="s">
        <v>161</v>
      </c>
      <c r="AZ773">
        <v>1.248</v>
      </c>
      <c r="BA773">
        <v>1.248</v>
      </c>
      <c r="BB773">
        <v>0</v>
      </c>
      <c r="BC773" t="s">
        <v>229</v>
      </c>
      <c r="BD773">
        <v>1511</v>
      </c>
      <c r="BE773" t="s">
        <v>174</v>
      </c>
      <c r="BF773" t="s">
        <v>163</v>
      </c>
      <c r="BG773" t="s">
        <v>164</v>
      </c>
    </row>
    <row r="774" spans="1:59">
      <c r="A774">
        <v>1115</v>
      </c>
      <c r="B774">
        <v>1115</v>
      </c>
      <c r="C774">
        <v>10</v>
      </c>
      <c r="D774">
        <v>2</v>
      </c>
      <c r="E774" t="s">
        <v>152</v>
      </c>
      <c r="F774" t="s">
        <v>153</v>
      </c>
      <c r="G774" t="s">
        <v>154</v>
      </c>
      <c r="H774">
        <v>1526006261</v>
      </c>
      <c r="I774">
        <v>1000006527</v>
      </c>
      <c r="L774" t="s">
        <v>335</v>
      </c>
      <c r="M774">
        <v>5100001099</v>
      </c>
      <c r="N774" t="s">
        <v>155</v>
      </c>
      <c r="O774" t="s">
        <v>156</v>
      </c>
      <c r="P774">
        <v>4110004650</v>
      </c>
      <c r="Q774" t="s">
        <v>177</v>
      </c>
      <c r="R774">
        <v>5000</v>
      </c>
      <c r="S774" t="s">
        <v>166</v>
      </c>
      <c r="V774" t="s">
        <v>167</v>
      </c>
      <c r="W774">
        <v>1502040132</v>
      </c>
      <c r="X774" t="s">
        <v>230</v>
      </c>
      <c r="Y774" t="str">
        <f>VLOOKUP(W774,Sheet4!$A$5:$B$71,2,0)</f>
        <v>REAR COVER</v>
      </c>
      <c r="Z774">
        <v>87082900</v>
      </c>
      <c r="AA774">
        <v>55</v>
      </c>
      <c r="AB774" t="s">
        <v>159</v>
      </c>
      <c r="AC774">
        <v>159.41</v>
      </c>
      <c r="AD774" t="s">
        <v>160</v>
      </c>
      <c r="AE774" s="24">
        <v>8767.5499999999993</v>
      </c>
      <c r="AF774">
        <v>0</v>
      </c>
      <c r="AG774" s="24">
        <v>8767.5499999999993</v>
      </c>
      <c r="AH774">
        <v>0</v>
      </c>
      <c r="AI774">
        <v>0</v>
      </c>
      <c r="AJ774">
        <v>0</v>
      </c>
      <c r="AK774">
        <v>0</v>
      </c>
      <c r="AL774" s="24">
        <v>8767.5499999999993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 s="24">
        <v>8767.5499999999993</v>
      </c>
      <c r="AV774">
        <v>0</v>
      </c>
      <c r="AW774">
        <v>0</v>
      </c>
      <c r="AX774">
        <v>311000</v>
      </c>
      <c r="AY774" t="s">
        <v>161</v>
      </c>
      <c r="AZ774">
        <v>1.1659999999999999</v>
      </c>
      <c r="BA774">
        <v>1.1659999999999999</v>
      </c>
      <c r="BB774">
        <v>0</v>
      </c>
      <c r="BC774" t="s">
        <v>231</v>
      </c>
      <c r="BD774">
        <v>1511</v>
      </c>
      <c r="BE774" t="s">
        <v>174</v>
      </c>
      <c r="BF774" t="s">
        <v>163</v>
      </c>
      <c r="BG774" t="s">
        <v>164</v>
      </c>
    </row>
    <row r="775" spans="1:59">
      <c r="A775">
        <v>1115</v>
      </c>
      <c r="B775">
        <v>1115</v>
      </c>
      <c r="C775">
        <v>10</v>
      </c>
      <c r="D775">
        <v>2</v>
      </c>
      <c r="E775" t="s">
        <v>152</v>
      </c>
      <c r="F775" t="s">
        <v>153</v>
      </c>
      <c r="G775" t="s">
        <v>154</v>
      </c>
      <c r="H775">
        <v>1526006260</v>
      </c>
      <c r="I775">
        <v>1000006526</v>
      </c>
      <c r="L775" t="s">
        <v>335</v>
      </c>
      <c r="M775">
        <v>5100001100</v>
      </c>
      <c r="N775" t="s">
        <v>155</v>
      </c>
      <c r="O775" t="s">
        <v>156</v>
      </c>
      <c r="P775">
        <v>4110004652</v>
      </c>
      <c r="Q775" t="s">
        <v>177</v>
      </c>
      <c r="R775">
        <v>5000</v>
      </c>
      <c r="S775" t="s">
        <v>166</v>
      </c>
      <c r="V775" t="s">
        <v>167</v>
      </c>
      <c r="W775">
        <v>1502040126</v>
      </c>
      <c r="X775" t="s">
        <v>53</v>
      </c>
      <c r="Y775" t="str">
        <f>VLOOKUP(W775,Sheet4!$A$5:$B$71,2,0)</f>
        <v>REAR COVER</v>
      </c>
      <c r="Z775">
        <v>87082900</v>
      </c>
      <c r="AA775">
        <v>55</v>
      </c>
      <c r="AB775" t="s">
        <v>159</v>
      </c>
      <c r="AC775">
        <v>155.58000000000001</v>
      </c>
      <c r="AD775" t="s">
        <v>160</v>
      </c>
      <c r="AE775" s="24">
        <v>8556.9</v>
      </c>
      <c r="AF775">
        <v>0</v>
      </c>
      <c r="AG775" s="24">
        <v>8556.9</v>
      </c>
      <c r="AH775">
        <v>0</v>
      </c>
      <c r="AI775">
        <v>0</v>
      </c>
      <c r="AJ775">
        <v>0</v>
      </c>
      <c r="AK775">
        <v>0</v>
      </c>
      <c r="AL775" s="24">
        <v>8556.9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s="24">
        <v>8556.9</v>
      </c>
      <c r="AV775">
        <v>0</v>
      </c>
      <c r="AW775">
        <v>0</v>
      </c>
      <c r="AX775">
        <v>311000</v>
      </c>
      <c r="AY775" t="s">
        <v>161</v>
      </c>
      <c r="AZ775">
        <v>1.1850000000000001</v>
      </c>
      <c r="BA775">
        <v>1.1850000000000001</v>
      </c>
      <c r="BB775">
        <v>0</v>
      </c>
      <c r="BC775" t="s">
        <v>232</v>
      </c>
      <c r="BD775">
        <v>1511</v>
      </c>
      <c r="BE775" t="s">
        <v>174</v>
      </c>
      <c r="BF775" t="s">
        <v>163</v>
      </c>
      <c r="BG775" t="s">
        <v>164</v>
      </c>
    </row>
    <row r="776" spans="1:59">
      <c r="A776">
        <v>1115</v>
      </c>
      <c r="B776">
        <v>1115</v>
      </c>
      <c r="C776">
        <v>10</v>
      </c>
      <c r="D776">
        <v>2</v>
      </c>
      <c r="E776" t="s">
        <v>152</v>
      </c>
      <c r="F776" t="s">
        <v>153</v>
      </c>
      <c r="G776" t="s">
        <v>154</v>
      </c>
      <c r="H776">
        <v>1526006259</v>
      </c>
      <c r="I776">
        <v>1000006525</v>
      </c>
      <c r="L776" t="s">
        <v>335</v>
      </c>
      <c r="M776">
        <v>5100001100</v>
      </c>
      <c r="N776" t="s">
        <v>155</v>
      </c>
      <c r="O776" t="s">
        <v>156</v>
      </c>
      <c r="P776">
        <v>4110004652</v>
      </c>
      <c r="Q776" t="s">
        <v>177</v>
      </c>
      <c r="R776">
        <v>5000</v>
      </c>
      <c r="S776" t="s">
        <v>166</v>
      </c>
      <c r="V776" t="s">
        <v>167</v>
      </c>
      <c r="W776">
        <v>1502040125</v>
      </c>
      <c r="X776" t="s">
        <v>52</v>
      </c>
      <c r="Y776" t="str">
        <f>VLOOKUP(W776,Sheet4!$A$5:$B$71,2,0)</f>
        <v>REAR COVER</v>
      </c>
      <c r="Z776">
        <v>87082900</v>
      </c>
      <c r="AA776">
        <v>55</v>
      </c>
      <c r="AB776" t="s">
        <v>159</v>
      </c>
      <c r="AC776">
        <v>160.44999999999999</v>
      </c>
      <c r="AD776" t="s">
        <v>160</v>
      </c>
      <c r="AE776" s="24">
        <v>8824.75</v>
      </c>
      <c r="AF776">
        <v>0</v>
      </c>
      <c r="AG776" s="24">
        <v>8824.75</v>
      </c>
      <c r="AH776">
        <v>0</v>
      </c>
      <c r="AI776">
        <v>0</v>
      </c>
      <c r="AJ776">
        <v>0</v>
      </c>
      <c r="AK776">
        <v>0</v>
      </c>
      <c r="AL776" s="24">
        <v>8824.75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s="24">
        <v>8824.75</v>
      </c>
      <c r="AV776">
        <v>0</v>
      </c>
      <c r="AW776">
        <v>0</v>
      </c>
      <c r="AX776">
        <v>311000</v>
      </c>
      <c r="AY776" t="s">
        <v>161</v>
      </c>
      <c r="AZ776">
        <v>1.1850000000000001</v>
      </c>
      <c r="BA776">
        <v>1.1850000000000001</v>
      </c>
      <c r="BB776">
        <v>0</v>
      </c>
      <c r="BC776" t="s">
        <v>233</v>
      </c>
      <c r="BD776">
        <v>1511</v>
      </c>
      <c r="BE776" t="s">
        <v>174</v>
      </c>
      <c r="BF776" t="s">
        <v>163</v>
      </c>
      <c r="BG776" t="s">
        <v>164</v>
      </c>
    </row>
    <row r="777" spans="1:59">
      <c r="A777">
        <v>1115</v>
      </c>
      <c r="B777">
        <v>1115</v>
      </c>
      <c r="C777">
        <v>10</v>
      </c>
      <c r="D777">
        <v>2</v>
      </c>
      <c r="E777" t="s">
        <v>152</v>
      </c>
      <c r="F777" t="s">
        <v>153</v>
      </c>
      <c r="G777" t="s">
        <v>154</v>
      </c>
      <c r="H777">
        <v>1526006258</v>
      </c>
      <c r="I777">
        <v>1000006524</v>
      </c>
      <c r="L777" t="s">
        <v>335</v>
      </c>
      <c r="M777">
        <v>5100001636</v>
      </c>
      <c r="N777" t="s">
        <v>155</v>
      </c>
      <c r="O777" t="s">
        <v>156</v>
      </c>
      <c r="P777">
        <v>4110026445</v>
      </c>
      <c r="Q777" t="s">
        <v>170</v>
      </c>
      <c r="R777">
        <v>5000</v>
      </c>
      <c r="S777" t="s">
        <v>166</v>
      </c>
      <c r="V777" t="s">
        <v>167</v>
      </c>
      <c r="W777">
        <v>1502020104</v>
      </c>
      <c r="X777" t="s">
        <v>26</v>
      </c>
      <c r="Y777" t="str">
        <f>VLOOKUP(W777,Sheet4!$A$5:$B$71,2,0)</f>
        <v>RE STYLING</v>
      </c>
      <c r="Z777">
        <v>87082900</v>
      </c>
      <c r="AA777">
        <v>15</v>
      </c>
      <c r="AB777" t="s">
        <v>159</v>
      </c>
      <c r="AC777" s="24">
        <v>6585.55</v>
      </c>
      <c r="AD777" t="s">
        <v>160</v>
      </c>
      <c r="AE777" s="24">
        <v>98783.25</v>
      </c>
      <c r="AF777">
        <v>0</v>
      </c>
      <c r="AG777" s="24">
        <v>98783.25</v>
      </c>
      <c r="AH777">
        <v>0</v>
      </c>
      <c r="AI777">
        <v>0</v>
      </c>
      <c r="AJ777">
        <v>0</v>
      </c>
      <c r="AK777">
        <v>0</v>
      </c>
      <c r="AL777" s="24">
        <v>98783.25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 s="24">
        <v>98783.25</v>
      </c>
      <c r="AV777">
        <v>0</v>
      </c>
      <c r="AW777">
        <v>0</v>
      </c>
      <c r="AX777">
        <v>311000</v>
      </c>
      <c r="AY777" t="s">
        <v>161</v>
      </c>
      <c r="AZ777">
        <v>49.75</v>
      </c>
      <c r="BA777">
        <v>49.75</v>
      </c>
      <c r="BB777">
        <v>0</v>
      </c>
      <c r="BC777" t="s">
        <v>171</v>
      </c>
      <c r="BD777">
        <v>1509</v>
      </c>
      <c r="BE777" t="s">
        <v>169</v>
      </c>
      <c r="BF777" t="s">
        <v>163</v>
      </c>
      <c r="BG777" t="s">
        <v>164</v>
      </c>
    </row>
    <row r="778" spans="1:59">
      <c r="A778">
        <v>1115</v>
      </c>
      <c r="B778">
        <v>1115</v>
      </c>
      <c r="C778">
        <v>10</v>
      </c>
      <c r="D778">
        <v>2</v>
      </c>
      <c r="E778" t="s">
        <v>152</v>
      </c>
      <c r="F778" t="s">
        <v>153</v>
      </c>
      <c r="G778" t="s">
        <v>154</v>
      </c>
      <c r="H778">
        <v>1526006257</v>
      </c>
      <c r="I778">
        <v>1000006522</v>
      </c>
      <c r="L778" t="s">
        <v>335</v>
      </c>
      <c r="M778">
        <v>5100001636</v>
      </c>
      <c r="N778" t="s">
        <v>155</v>
      </c>
      <c r="O778" t="s">
        <v>156</v>
      </c>
      <c r="P778">
        <v>4110026445</v>
      </c>
      <c r="Q778" t="s">
        <v>170</v>
      </c>
      <c r="R778">
        <v>5000</v>
      </c>
      <c r="S778" t="s">
        <v>166</v>
      </c>
      <c r="V778" t="s">
        <v>167</v>
      </c>
      <c r="W778">
        <v>1502020104</v>
      </c>
      <c r="X778" t="s">
        <v>26</v>
      </c>
      <c r="Y778" t="str">
        <f>VLOOKUP(W778,Sheet4!$A$5:$B$71,2,0)</f>
        <v>RE STYLING</v>
      </c>
      <c r="Z778">
        <v>87082900</v>
      </c>
      <c r="AA778">
        <v>15</v>
      </c>
      <c r="AB778" t="s">
        <v>159</v>
      </c>
      <c r="AC778" s="24">
        <v>6585.55</v>
      </c>
      <c r="AD778" t="s">
        <v>160</v>
      </c>
      <c r="AE778" s="24">
        <v>98783.25</v>
      </c>
      <c r="AF778">
        <v>0</v>
      </c>
      <c r="AG778" s="24">
        <v>98783.25</v>
      </c>
      <c r="AH778">
        <v>0</v>
      </c>
      <c r="AI778">
        <v>0</v>
      </c>
      <c r="AJ778">
        <v>0</v>
      </c>
      <c r="AK778">
        <v>0</v>
      </c>
      <c r="AL778" s="24">
        <v>98783.25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s="24">
        <v>98783.25</v>
      </c>
      <c r="AV778">
        <v>0</v>
      </c>
      <c r="AW778">
        <v>0</v>
      </c>
      <c r="AX778">
        <v>311000</v>
      </c>
      <c r="AY778" t="s">
        <v>161</v>
      </c>
      <c r="AZ778">
        <v>49.75</v>
      </c>
      <c r="BA778">
        <v>49.75</v>
      </c>
      <c r="BB778">
        <v>0</v>
      </c>
      <c r="BC778" t="s">
        <v>171</v>
      </c>
      <c r="BD778">
        <v>1509</v>
      </c>
      <c r="BE778" t="s">
        <v>169</v>
      </c>
      <c r="BF778" t="s">
        <v>163</v>
      </c>
      <c r="BG778" t="s">
        <v>164</v>
      </c>
    </row>
    <row r="779" spans="1:59">
      <c r="A779">
        <v>1115</v>
      </c>
      <c r="B779">
        <v>1115</v>
      </c>
      <c r="C779">
        <v>10</v>
      </c>
      <c r="D779">
        <v>2</v>
      </c>
      <c r="E779" t="s">
        <v>152</v>
      </c>
      <c r="F779" t="s">
        <v>153</v>
      </c>
      <c r="G779" t="s">
        <v>154</v>
      </c>
      <c r="H779">
        <v>1526006256</v>
      </c>
      <c r="I779">
        <v>1000006521</v>
      </c>
      <c r="L779" t="s">
        <v>335</v>
      </c>
      <c r="M779">
        <v>5100001636</v>
      </c>
      <c r="N779" t="s">
        <v>155</v>
      </c>
      <c r="O779" t="s">
        <v>156</v>
      </c>
      <c r="P779">
        <v>4110026445</v>
      </c>
      <c r="Q779" t="s">
        <v>170</v>
      </c>
      <c r="R779">
        <v>5000</v>
      </c>
      <c r="S779" t="s">
        <v>166</v>
      </c>
      <c r="V779" t="s">
        <v>167</v>
      </c>
      <c r="W779">
        <v>1502020104</v>
      </c>
      <c r="X779" t="s">
        <v>26</v>
      </c>
      <c r="Y779" t="str">
        <f>VLOOKUP(W779,Sheet4!$A$5:$B$71,2,0)</f>
        <v>RE STYLING</v>
      </c>
      <c r="Z779">
        <v>87082900</v>
      </c>
      <c r="AA779">
        <v>15</v>
      </c>
      <c r="AB779" t="s">
        <v>159</v>
      </c>
      <c r="AC779" s="24">
        <v>6585.55</v>
      </c>
      <c r="AD779" t="s">
        <v>160</v>
      </c>
      <c r="AE779" s="24">
        <v>98783.25</v>
      </c>
      <c r="AF779">
        <v>0</v>
      </c>
      <c r="AG779" s="24">
        <v>98783.25</v>
      </c>
      <c r="AH779">
        <v>0</v>
      </c>
      <c r="AI779">
        <v>0</v>
      </c>
      <c r="AJ779">
        <v>0</v>
      </c>
      <c r="AK779">
        <v>0</v>
      </c>
      <c r="AL779" s="24">
        <v>98783.25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s="24">
        <v>98783.25</v>
      </c>
      <c r="AV779">
        <v>0</v>
      </c>
      <c r="AW779">
        <v>0</v>
      </c>
      <c r="AX779">
        <v>311000</v>
      </c>
      <c r="AY779" t="s">
        <v>161</v>
      </c>
      <c r="AZ779">
        <v>49.75</v>
      </c>
      <c r="BA779">
        <v>49.75</v>
      </c>
      <c r="BB779">
        <v>0</v>
      </c>
      <c r="BC779" t="s">
        <v>171</v>
      </c>
      <c r="BD779">
        <v>1509</v>
      </c>
      <c r="BE779" t="s">
        <v>169</v>
      </c>
      <c r="BF779" t="s">
        <v>163</v>
      </c>
      <c r="BG779" t="s">
        <v>164</v>
      </c>
    </row>
    <row r="780" spans="1:59">
      <c r="A780">
        <v>1115</v>
      </c>
      <c r="B780">
        <v>1115</v>
      </c>
      <c r="C780">
        <v>10</v>
      </c>
      <c r="D780">
        <v>2</v>
      </c>
      <c r="E780" t="s">
        <v>152</v>
      </c>
      <c r="F780" t="s">
        <v>153</v>
      </c>
      <c r="G780" t="s">
        <v>154</v>
      </c>
      <c r="H780">
        <v>1526006255</v>
      </c>
      <c r="I780">
        <v>1000006519</v>
      </c>
      <c r="L780" t="s">
        <v>335</v>
      </c>
      <c r="M780">
        <v>5100001955</v>
      </c>
      <c r="N780" t="s">
        <v>155</v>
      </c>
      <c r="O780" t="s">
        <v>156</v>
      </c>
      <c r="P780">
        <v>5500001432</v>
      </c>
      <c r="Q780" t="s">
        <v>320</v>
      </c>
      <c r="R780">
        <v>5356</v>
      </c>
      <c r="S780" t="s">
        <v>158</v>
      </c>
      <c r="W780">
        <v>1104040829</v>
      </c>
      <c r="X780" t="s">
        <v>321</v>
      </c>
      <c r="Y780" t="s">
        <v>339</v>
      </c>
      <c r="Z780">
        <v>87141090</v>
      </c>
      <c r="AA780">
        <v>324</v>
      </c>
      <c r="AB780" t="s">
        <v>159</v>
      </c>
      <c r="AC780">
        <v>136.6</v>
      </c>
      <c r="AD780" t="s">
        <v>160</v>
      </c>
      <c r="AE780" s="24">
        <v>44258.400000000001</v>
      </c>
      <c r="AF780">
        <v>0</v>
      </c>
      <c r="AG780" s="24">
        <v>44258.400000000001</v>
      </c>
      <c r="AH780">
        <v>0</v>
      </c>
      <c r="AI780">
        <v>0</v>
      </c>
      <c r="AJ780">
        <v>0</v>
      </c>
      <c r="AK780">
        <v>0</v>
      </c>
      <c r="AL780" s="24">
        <v>44258.400000000001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 s="24">
        <v>44258.400000000001</v>
      </c>
      <c r="AV780">
        <v>0</v>
      </c>
      <c r="AW780">
        <v>0</v>
      </c>
      <c r="AX780">
        <v>311003</v>
      </c>
      <c r="AY780" t="s">
        <v>322</v>
      </c>
      <c r="AZ780">
        <v>2.62</v>
      </c>
      <c r="BA780">
        <v>2.62</v>
      </c>
      <c r="BB780">
        <v>0</v>
      </c>
      <c r="BC780">
        <v>2000000894</v>
      </c>
      <c r="BD780">
        <v>1123</v>
      </c>
      <c r="BE780" t="s">
        <v>323</v>
      </c>
      <c r="BF780" t="s">
        <v>163</v>
      </c>
      <c r="BG780" t="s">
        <v>164</v>
      </c>
    </row>
    <row r="781" spans="1:59">
      <c r="A781">
        <v>1115</v>
      </c>
      <c r="B781">
        <v>1115</v>
      </c>
      <c r="C781">
        <v>10</v>
      </c>
      <c r="D781">
        <v>2</v>
      </c>
      <c r="E781" t="s">
        <v>152</v>
      </c>
      <c r="F781" t="s">
        <v>153</v>
      </c>
      <c r="G781" t="s">
        <v>154</v>
      </c>
      <c r="H781">
        <v>1526006254</v>
      </c>
      <c r="I781">
        <v>1000006518</v>
      </c>
      <c r="L781" t="s">
        <v>335</v>
      </c>
      <c r="M781">
        <v>5100001101</v>
      </c>
      <c r="N781" t="s">
        <v>155</v>
      </c>
      <c r="O781" t="s">
        <v>156</v>
      </c>
      <c r="P781">
        <v>4110004653</v>
      </c>
      <c r="Q781" t="s">
        <v>177</v>
      </c>
      <c r="R781">
        <v>5000</v>
      </c>
      <c r="S781" t="s">
        <v>166</v>
      </c>
      <c r="V781" t="s">
        <v>167</v>
      </c>
      <c r="W781">
        <v>1502040194</v>
      </c>
      <c r="X781" t="s">
        <v>44</v>
      </c>
      <c r="Y781" t="str">
        <f>VLOOKUP(W781,Sheet4!$A$5:$B$71,2,0)</f>
        <v>CRADEL</v>
      </c>
      <c r="Z781">
        <v>87082900</v>
      </c>
      <c r="AA781">
        <v>48</v>
      </c>
      <c r="AB781" t="s">
        <v>159</v>
      </c>
      <c r="AC781">
        <v>956.92</v>
      </c>
      <c r="AD781" t="s">
        <v>160</v>
      </c>
      <c r="AE781" s="24">
        <v>45932.160000000003</v>
      </c>
      <c r="AF781">
        <v>0</v>
      </c>
      <c r="AG781" s="24">
        <v>45932.160000000003</v>
      </c>
      <c r="AH781">
        <v>0</v>
      </c>
      <c r="AI781">
        <v>0</v>
      </c>
      <c r="AJ781">
        <v>0</v>
      </c>
      <c r="AK781">
        <v>0</v>
      </c>
      <c r="AL781" s="24">
        <v>45932.160000000003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 s="24">
        <v>45932.160000000003</v>
      </c>
      <c r="AV781">
        <v>0</v>
      </c>
      <c r="AW781">
        <v>0</v>
      </c>
      <c r="AX781">
        <v>311000</v>
      </c>
      <c r="AY781" t="s">
        <v>161</v>
      </c>
      <c r="AZ781">
        <v>6.3769999999999998</v>
      </c>
      <c r="BA781">
        <v>6.3769999999999998</v>
      </c>
      <c r="BB781">
        <v>0</v>
      </c>
      <c r="BC781" t="s">
        <v>184</v>
      </c>
      <c r="BD781">
        <v>1511</v>
      </c>
      <c r="BE781" t="s">
        <v>174</v>
      </c>
      <c r="BF781" t="s">
        <v>163</v>
      </c>
      <c r="BG781" t="s">
        <v>164</v>
      </c>
    </row>
    <row r="782" spans="1:59">
      <c r="A782">
        <v>1115</v>
      </c>
      <c r="B782">
        <v>1115</v>
      </c>
      <c r="C782">
        <v>10</v>
      </c>
      <c r="D782">
        <v>2</v>
      </c>
      <c r="E782" t="s">
        <v>152</v>
      </c>
      <c r="F782" t="s">
        <v>153</v>
      </c>
      <c r="G782" t="s">
        <v>154</v>
      </c>
      <c r="H782">
        <v>1526006253</v>
      </c>
      <c r="I782">
        <v>1000006517</v>
      </c>
      <c r="L782" t="s">
        <v>335</v>
      </c>
      <c r="M782">
        <v>5100001101</v>
      </c>
      <c r="N782" t="s">
        <v>155</v>
      </c>
      <c r="O782" t="s">
        <v>156</v>
      </c>
      <c r="P782">
        <v>4110004653</v>
      </c>
      <c r="Q782" t="s">
        <v>177</v>
      </c>
      <c r="R782">
        <v>5000</v>
      </c>
      <c r="S782" t="s">
        <v>166</v>
      </c>
      <c r="V782" t="s">
        <v>167</v>
      </c>
      <c r="W782">
        <v>1502040194</v>
      </c>
      <c r="X782" t="s">
        <v>44</v>
      </c>
      <c r="Y782" t="str">
        <f>VLOOKUP(W782,Sheet4!$A$5:$B$71,2,0)</f>
        <v>CRADEL</v>
      </c>
      <c r="Z782">
        <v>87082900</v>
      </c>
      <c r="AA782">
        <v>48</v>
      </c>
      <c r="AB782" t="s">
        <v>159</v>
      </c>
      <c r="AC782">
        <v>956.92</v>
      </c>
      <c r="AD782" t="s">
        <v>160</v>
      </c>
      <c r="AE782" s="24">
        <v>45932.160000000003</v>
      </c>
      <c r="AF782">
        <v>0</v>
      </c>
      <c r="AG782" s="24">
        <v>45932.160000000003</v>
      </c>
      <c r="AH782">
        <v>0</v>
      </c>
      <c r="AI782">
        <v>0</v>
      </c>
      <c r="AJ782">
        <v>0</v>
      </c>
      <c r="AK782">
        <v>0</v>
      </c>
      <c r="AL782" s="24">
        <v>45932.160000000003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 s="24">
        <v>45932.160000000003</v>
      </c>
      <c r="AV782">
        <v>0</v>
      </c>
      <c r="AW782">
        <v>0</v>
      </c>
      <c r="AX782">
        <v>311000</v>
      </c>
      <c r="AY782" t="s">
        <v>161</v>
      </c>
      <c r="AZ782">
        <v>6.3769999999999998</v>
      </c>
      <c r="BA782">
        <v>6.3769999999999998</v>
      </c>
      <c r="BB782">
        <v>0</v>
      </c>
      <c r="BC782" t="s">
        <v>184</v>
      </c>
      <c r="BD782">
        <v>1511</v>
      </c>
      <c r="BE782" t="s">
        <v>174</v>
      </c>
      <c r="BF782" t="s">
        <v>163</v>
      </c>
      <c r="BG782" t="s">
        <v>164</v>
      </c>
    </row>
    <row r="783" spans="1:59">
      <c r="A783">
        <v>1115</v>
      </c>
      <c r="B783">
        <v>1115</v>
      </c>
      <c r="C783">
        <v>10</v>
      </c>
      <c r="D783">
        <v>2</v>
      </c>
      <c r="E783" t="s">
        <v>152</v>
      </c>
      <c r="F783" t="s">
        <v>153</v>
      </c>
      <c r="G783" t="s">
        <v>154</v>
      </c>
      <c r="H783">
        <v>1526006252</v>
      </c>
      <c r="I783">
        <v>1000006516</v>
      </c>
      <c r="L783" t="s">
        <v>335</v>
      </c>
      <c r="M783">
        <v>5100001101</v>
      </c>
      <c r="N783" t="s">
        <v>155</v>
      </c>
      <c r="O783" t="s">
        <v>156</v>
      </c>
      <c r="P783">
        <v>4110004653</v>
      </c>
      <c r="Q783" t="s">
        <v>177</v>
      </c>
      <c r="R783">
        <v>5000</v>
      </c>
      <c r="S783" t="s">
        <v>166</v>
      </c>
      <c r="V783" t="s">
        <v>167</v>
      </c>
      <c r="W783">
        <v>1502040194</v>
      </c>
      <c r="X783" t="s">
        <v>44</v>
      </c>
      <c r="Y783" t="str">
        <f>VLOOKUP(W783,Sheet4!$A$5:$B$71,2,0)</f>
        <v>CRADEL</v>
      </c>
      <c r="Z783">
        <v>87082900</v>
      </c>
      <c r="AA783">
        <v>48</v>
      </c>
      <c r="AB783" t="s">
        <v>159</v>
      </c>
      <c r="AC783">
        <v>956.92</v>
      </c>
      <c r="AD783" t="s">
        <v>160</v>
      </c>
      <c r="AE783" s="24">
        <v>45932.160000000003</v>
      </c>
      <c r="AF783">
        <v>0</v>
      </c>
      <c r="AG783" s="24">
        <v>45932.160000000003</v>
      </c>
      <c r="AH783">
        <v>0</v>
      </c>
      <c r="AI783">
        <v>0</v>
      </c>
      <c r="AJ783">
        <v>0</v>
      </c>
      <c r="AK783">
        <v>0</v>
      </c>
      <c r="AL783" s="24">
        <v>45932.160000000003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 s="24">
        <v>45932.160000000003</v>
      </c>
      <c r="AV783">
        <v>0</v>
      </c>
      <c r="AW783">
        <v>0</v>
      </c>
      <c r="AX783">
        <v>311000</v>
      </c>
      <c r="AY783" t="s">
        <v>161</v>
      </c>
      <c r="AZ783">
        <v>6.3769999999999998</v>
      </c>
      <c r="BA783">
        <v>6.3769999999999998</v>
      </c>
      <c r="BB783">
        <v>0</v>
      </c>
      <c r="BC783" t="s">
        <v>184</v>
      </c>
      <c r="BD783">
        <v>1511</v>
      </c>
      <c r="BE783" t="s">
        <v>174</v>
      </c>
      <c r="BF783" t="s">
        <v>163</v>
      </c>
      <c r="BG783" t="s">
        <v>164</v>
      </c>
    </row>
    <row r="784" spans="1:59">
      <c r="A784">
        <v>1115</v>
      </c>
      <c r="B784">
        <v>1115</v>
      </c>
      <c r="C784">
        <v>10</v>
      </c>
      <c r="D784">
        <v>2</v>
      </c>
      <c r="E784" t="s">
        <v>152</v>
      </c>
      <c r="F784" t="s">
        <v>153</v>
      </c>
      <c r="G784" t="s">
        <v>154</v>
      </c>
      <c r="H784">
        <v>1526006251</v>
      </c>
      <c r="I784">
        <v>1000006515</v>
      </c>
      <c r="L784" t="s">
        <v>335</v>
      </c>
      <c r="M784">
        <v>5100001925</v>
      </c>
      <c r="N784" t="s">
        <v>155</v>
      </c>
      <c r="O784" t="s">
        <v>156</v>
      </c>
      <c r="P784">
        <v>4110055667</v>
      </c>
      <c r="Q784" t="s">
        <v>185</v>
      </c>
      <c r="R784">
        <v>5000</v>
      </c>
      <c r="S784" t="s">
        <v>166</v>
      </c>
      <c r="V784" t="s">
        <v>167</v>
      </c>
      <c r="W784">
        <v>1502040318</v>
      </c>
      <c r="X784" t="s">
        <v>72</v>
      </c>
      <c r="Y784" t="str">
        <f>VLOOKUP(W784,Sheet4!$A$5:$B$71,2,0)</f>
        <v>Re Side Door</v>
      </c>
      <c r="Z784">
        <v>87082900</v>
      </c>
      <c r="AA784">
        <v>120</v>
      </c>
      <c r="AB784" t="s">
        <v>159</v>
      </c>
      <c r="AC784">
        <v>506.59</v>
      </c>
      <c r="AD784" t="s">
        <v>160</v>
      </c>
      <c r="AE784" s="24">
        <v>60790.8</v>
      </c>
      <c r="AF784">
        <v>0</v>
      </c>
      <c r="AG784" s="24">
        <v>60790.8</v>
      </c>
      <c r="AH784">
        <v>0</v>
      </c>
      <c r="AI784">
        <v>0</v>
      </c>
      <c r="AJ784">
        <v>0</v>
      </c>
      <c r="AK784">
        <v>0</v>
      </c>
      <c r="AL784" s="24">
        <v>60790.8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 s="24">
        <v>60790.8</v>
      </c>
      <c r="AV784">
        <v>0</v>
      </c>
      <c r="AW784">
        <v>0</v>
      </c>
      <c r="AX784">
        <v>311000</v>
      </c>
      <c r="AY784" t="s">
        <v>161</v>
      </c>
      <c r="AZ784">
        <v>2.27</v>
      </c>
      <c r="BA784">
        <v>2.27</v>
      </c>
      <c r="BB784">
        <v>0</v>
      </c>
      <c r="BC784" t="s">
        <v>187</v>
      </c>
      <c r="BD784">
        <v>1511</v>
      </c>
      <c r="BE784" t="s">
        <v>174</v>
      </c>
      <c r="BF784" t="s">
        <v>163</v>
      </c>
      <c r="BG784" t="s">
        <v>164</v>
      </c>
    </row>
    <row r="785" spans="1:59">
      <c r="A785">
        <v>1115</v>
      </c>
      <c r="B785">
        <v>1115</v>
      </c>
      <c r="C785">
        <v>10</v>
      </c>
      <c r="D785">
        <v>2</v>
      </c>
      <c r="E785" t="s">
        <v>152</v>
      </c>
      <c r="F785" t="s">
        <v>153</v>
      </c>
      <c r="G785" t="s">
        <v>154</v>
      </c>
      <c r="H785">
        <v>1526006250</v>
      </c>
      <c r="I785">
        <v>1000006514</v>
      </c>
      <c r="L785" t="s">
        <v>335</v>
      </c>
      <c r="M785">
        <v>5100001925</v>
      </c>
      <c r="N785" t="s">
        <v>155</v>
      </c>
      <c r="O785" t="s">
        <v>156</v>
      </c>
      <c r="P785">
        <v>4110055667</v>
      </c>
      <c r="Q785" t="s">
        <v>185</v>
      </c>
      <c r="R785">
        <v>5000</v>
      </c>
      <c r="S785" t="s">
        <v>166</v>
      </c>
      <c r="V785" t="s">
        <v>167</v>
      </c>
      <c r="W785">
        <v>1502040317</v>
      </c>
      <c r="X785" t="s">
        <v>73</v>
      </c>
      <c r="Y785" t="str">
        <f>VLOOKUP(W785,Sheet4!$A$5:$B$71,2,0)</f>
        <v>Re Side Door</v>
      </c>
      <c r="Z785">
        <v>87082900</v>
      </c>
      <c r="AA785">
        <v>120</v>
      </c>
      <c r="AB785" t="s">
        <v>159</v>
      </c>
      <c r="AC785">
        <v>506.59</v>
      </c>
      <c r="AD785" t="s">
        <v>160</v>
      </c>
      <c r="AE785" s="24">
        <v>60790.8</v>
      </c>
      <c r="AF785">
        <v>0</v>
      </c>
      <c r="AG785" s="24">
        <v>60790.8</v>
      </c>
      <c r="AH785">
        <v>0</v>
      </c>
      <c r="AI785">
        <v>0</v>
      </c>
      <c r="AJ785">
        <v>0</v>
      </c>
      <c r="AK785">
        <v>0</v>
      </c>
      <c r="AL785" s="24">
        <v>60790.8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 s="24">
        <v>60790.8</v>
      </c>
      <c r="AV785">
        <v>0</v>
      </c>
      <c r="AW785">
        <v>0</v>
      </c>
      <c r="AX785">
        <v>311000</v>
      </c>
      <c r="AY785" t="s">
        <v>161</v>
      </c>
      <c r="AZ785">
        <v>2.27</v>
      </c>
      <c r="BA785">
        <v>2.27</v>
      </c>
      <c r="BB785">
        <v>0</v>
      </c>
      <c r="BC785" t="s">
        <v>186</v>
      </c>
      <c r="BD785">
        <v>1511</v>
      </c>
      <c r="BE785" t="s">
        <v>174</v>
      </c>
      <c r="BF785" t="s">
        <v>163</v>
      </c>
      <c r="BG785" t="s">
        <v>164</v>
      </c>
    </row>
    <row r="786" spans="1:59">
      <c r="A786">
        <v>1115</v>
      </c>
      <c r="B786">
        <v>1115</v>
      </c>
      <c r="C786">
        <v>10</v>
      </c>
      <c r="D786">
        <v>2</v>
      </c>
      <c r="E786" t="s">
        <v>152</v>
      </c>
      <c r="F786" t="s">
        <v>153</v>
      </c>
      <c r="G786" t="s">
        <v>154</v>
      </c>
      <c r="H786">
        <v>1526006249</v>
      </c>
      <c r="I786">
        <v>1000006512</v>
      </c>
      <c r="L786" t="s">
        <v>335</v>
      </c>
      <c r="M786">
        <v>5100001928</v>
      </c>
      <c r="N786" t="s">
        <v>155</v>
      </c>
      <c r="O786" t="s">
        <v>156</v>
      </c>
      <c r="P786">
        <v>4110057393</v>
      </c>
      <c r="Q786" t="s">
        <v>192</v>
      </c>
      <c r="R786">
        <v>5000</v>
      </c>
      <c r="S786" t="s">
        <v>166</v>
      </c>
      <c r="V786" t="s">
        <v>167</v>
      </c>
      <c r="W786">
        <v>1502020122</v>
      </c>
      <c r="X786" t="s">
        <v>70</v>
      </c>
      <c r="Y786" t="str">
        <f>VLOOKUP(W786,Sheet4!$A$5:$B$71,2,0)</f>
        <v>MAX UG NEW EV</v>
      </c>
      <c r="Z786">
        <v>87082900</v>
      </c>
      <c r="AA786">
        <v>10</v>
      </c>
      <c r="AB786" t="s">
        <v>159</v>
      </c>
      <c r="AC786" s="24">
        <v>9566.51</v>
      </c>
      <c r="AD786" t="s">
        <v>160</v>
      </c>
      <c r="AE786" s="24">
        <v>95665.1</v>
      </c>
      <c r="AF786">
        <v>0</v>
      </c>
      <c r="AG786" s="24">
        <v>95665.1</v>
      </c>
      <c r="AH786">
        <v>0</v>
      </c>
      <c r="AI786">
        <v>0</v>
      </c>
      <c r="AJ786">
        <v>0</v>
      </c>
      <c r="AK786">
        <v>0</v>
      </c>
      <c r="AL786" s="24">
        <v>95665.1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 s="24">
        <v>95665.1</v>
      </c>
      <c r="AV786">
        <v>0</v>
      </c>
      <c r="AW786">
        <v>0</v>
      </c>
      <c r="AX786">
        <v>311000</v>
      </c>
      <c r="AY786" t="s">
        <v>161</v>
      </c>
      <c r="AZ786">
        <v>0</v>
      </c>
      <c r="BA786">
        <v>61</v>
      </c>
      <c r="BB786">
        <v>-61</v>
      </c>
      <c r="BC786" t="s">
        <v>193</v>
      </c>
      <c r="BD786">
        <v>1509</v>
      </c>
      <c r="BE786" t="s">
        <v>169</v>
      </c>
      <c r="BF786" t="s">
        <v>163</v>
      </c>
      <c r="BG786" t="s">
        <v>164</v>
      </c>
    </row>
    <row r="787" spans="1:59">
      <c r="A787">
        <v>1115</v>
      </c>
      <c r="B787">
        <v>1115</v>
      </c>
      <c r="C787">
        <v>10</v>
      </c>
      <c r="D787">
        <v>2</v>
      </c>
      <c r="E787" t="s">
        <v>152</v>
      </c>
      <c r="F787" t="s">
        <v>153</v>
      </c>
      <c r="G787" t="s">
        <v>154</v>
      </c>
      <c r="H787">
        <v>1526006248</v>
      </c>
      <c r="I787">
        <v>1000006511</v>
      </c>
      <c r="L787" t="s">
        <v>335</v>
      </c>
      <c r="M787">
        <v>5100001928</v>
      </c>
      <c r="N787" t="s">
        <v>155</v>
      </c>
      <c r="O787" t="s">
        <v>156</v>
      </c>
      <c r="P787">
        <v>4110057393</v>
      </c>
      <c r="Q787" t="s">
        <v>192</v>
      </c>
      <c r="R787">
        <v>5000</v>
      </c>
      <c r="S787" t="s">
        <v>166</v>
      </c>
      <c r="V787" t="s">
        <v>167</v>
      </c>
      <c r="W787">
        <v>1502020122</v>
      </c>
      <c r="X787" t="s">
        <v>70</v>
      </c>
      <c r="Y787" t="str">
        <f>VLOOKUP(W787,Sheet4!$A$5:$B$71,2,0)</f>
        <v>MAX UG NEW EV</v>
      </c>
      <c r="Z787">
        <v>87082900</v>
      </c>
      <c r="AA787">
        <v>10</v>
      </c>
      <c r="AB787" t="s">
        <v>159</v>
      </c>
      <c r="AC787" s="24">
        <v>9566.51</v>
      </c>
      <c r="AD787" t="s">
        <v>160</v>
      </c>
      <c r="AE787" s="24">
        <v>95665.1</v>
      </c>
      <c r="AF787">
        <v>0</v>
      </c>
      <c r="AG787" s="24">
        <v>95665.1</v>
      </c>
      <c r="AH787">
        <v>0</v>
      </c>
      <c r="AI787">
        <v>0</v>
      </c>
      <c r="AJ787">
        <v>0</v>
      </c>
      <c r="AK787">
        <v>0</v>
      </c>
      <c r="AL787" s="24">
        <v>95665.1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 s="24">
        <v>95665.1</v>
      </c>
      <c r="AV787">
        <v>0</v>
      </c>
      <c r="AW787">
        <v>0</v>
      </c>
      <c r="AX787">
        <v>311000</v>
      </c>
      <c r="AY787" t="s">
        <v>161</v>
      </c>
      <c r="AZ787">
        <v>0</v>
      </c>
      <c r="BA787">
        <v>61</v>
      </c>
      <c r="BB787">
        <v>-61</v>
      </c>
      <c r="BC787" t="s">
        <v>193</v>
      </c>
      <c r="BD787">
        <v>1509</v>
      </c>
      <c r="BE787" t="s">
        <v>169</v>
      </c>
      <c r="BF787" t="s">
        <v>163</v>
      </c>
      <c r="BG787" t="s">
        <v>164</v>
      </c>
    </row>
    <row r="788" spans="1:59">
      <c r="A788">
        <v>1115</v>
      </c>
      <c r="B788">
        <v>1115</v>
      </c>
      <c r="C788">
        <v>10</v>
      </c>
      <c r="D788">
        <v>2</v>
      </c>
      <c r="E788" t="s">
        <v>152</v>
      </c>
      <c r="F788" t="s">
        <v>153</v>
      </c>
      <c r="G788" t="s">
        <v>154</v>
      </c>
      <c r="H788">
        <v>1526006247</v>
      </c>
      <c r="I788">
        <v>1000006510</v>
      </c>
      <c r="L788" t="s">
        <v>335</v>
      </c>
      <c r="M788">
        <v>5100001928</v>
      </c>
      <c r="N788" t="s">
        <v>155</v>
      </c>
      <c r="O788" t="s">
        <v>156</v>
      </c>
      <c r="P788">
        <v>4110057393</v>
      </c>
      <c r="Q788" t="s">
        <v>192</v>
      </c>
      <c r="R788">
        <v>5000</v>
      </c>
      <c r="S788" t="s">
        <v>166</v>
      </c>
      <c r="V788" t="s">
        <v>167</v>
      </c>
      <c r="W788">
        <v>1502020122</v>
      </c>
      <c r="X788" t="s">
        <v>70</v>
      </c>
      <c r="Y788" t="str">
        <f>VLOOKUP(W788,Sheet4!$A$5:$B$71,2,0)</f>
        <v>MAX UG NEW EV</v>
      </c>
      <c r="Z788">
        <v>87082900</v>
      </c>
      <c r="AA788">
        <v>10</v>
      </c>
      <c r="AB788" t="s">
        <v>159</v>
      </c>
      <c r="AC788" s="24">
        <v>9566.51</v>
      </c>
      <c r="AD788" t="s">
        <v>160</v>
      </c>
      <c r="AE788" s="24">
        <v>95665.1</v>
      </c>
      <c r="AF788">
        <v>0</v>
      </c>
      <c r="AG788" s="24">
        <v>95665.1</v>
      </c>
      <c r="AH788">
        <v>0</v>
      </c>
      <c r="AI788">
        <v>0</v>
      </c>
      <c r="AJ788">
        <v>0</v>
      </c>
      <c r="AK788">
        <v>0</v>
      </c>
      <c r="AL788" s="24">
        <v>95665.1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 s="24">
        <v>95665.1</v>
      </c>
      <c r="AV788">
        <v>0</v>
      </c>
      <c r="AW788">
        <v>0</v>
      </c>
      <c r="AX788">
        <v>311000</v>
      </c>
      <c r="AY788" t="s">
        <v>161</v>
      </c>
      <c r="AZ788">
        <v>0</v>
      </c>
      <c r="BA788">
        <v>61</v>
      </c>
      <c r="BB788">
        <v>-61</v>
      </c>
      <c r="BC788" t="s">
        <v>193</v>
      </c>
      <c r="BD788">
        <v>1509</v>
      </c>
      <c r="BE788" t="s">
        <v>169</v>
      </c>
      <c r="BF788" t="s">
        <v>163</v>
      </c>
      <c r="BG788" t="s">
        <v>164</v>
      </c>
    </row>
    <row r="789" spans="1:59">
      <c r="A789">
        <v>1115</v>
      </c>
      <c r="B789">
        <v>1115</v>
      </c>
      <c r="C789">
        <v>10</v>
      </c>
      <c r="D789">
        <v>2</v>
      </c>
      <c r="E789" t="s">
        <v>152</v>
      </c>
      <c r="F789" t="s">
        <v>153</v>
      </c>
      <c r="G789" t="s">
        <v>154</v>
      </c>
      <c r="H789">
        <v>1526006245</v>
      </c>
      <c r="I789">
        <v>1000006509</v>
      </c>
      <c r="L789" t="s">
        <v>335</v>
      </c>
      <c r="M789">
        <v>5100001603</v>
      </c>
      <c r="N789" t="s">
        <v>155</v>
      </c>
      <c r="O789" t="s">
        <v>156</v>
      </c>
      <c r="P789">
        <v>4110025468</v>
      </c>
      <c r="Q789" t="s">
        <v>165</v>
      </c>
      <c r="R789">
        <v>5000</v>
      </c>
      <c r="S789" t="s">
        <v>166</v>
      </c>
      <c r="V789" t="s">
        <v>167</v>
      </c>
      <c r="W789">
        <v>1502020102</v>
      </c>
      <c r="X789" t="s">
        <v>58</v>
      </c>
      <c r="Y789" t="str">
        <f>VLOOKUP(W789,Sheet4!$A$5:$B$71,2,0)</f>
        <v>MAXIMA HD</v>
      </c>
      <c r="Z789">
        <v>87082900</v>
      </c>
      <c r="AA789">
        <v>8</v>
      </c>
      <c r="AB789" t="s">
        <v>159</v>
      </c>
      <c r="AC789" s="24">
        <v>8593.51</v>
      </c>
      <c r="AD789" t="s">
        <v>160</v>
      </c>
      <c r="AE789" s="24">
        <v>68748.08</v>
      </c>
      <c r="AF789">
        <v>0</v>
      </c>
      <c r="AG789" s="24">
        <v>68748.08</v>
      </c>
      <c r="AH789">
        <v>0</v>
      </c>
      <c r="AI789">
        <v>0</v>
      </c>
      <c r="AJ789">
        <v>0</v>
      </c>
      <c r="AK789">
        <v>0</v>
      </c>
      <c r="AL789" s="24">
        <v>68748.08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 s="24">
        <v>68748.08</v>
      </c>
      <c r="AV789">
        <v>0</v>
      </c>
      <c r="AW789">
        <v>0</v>
      </c>
      <c r="AX789">
        <v>311000</v>
      </c>
      <c r="AY789" t="s">
        <v>161</v>
      </c>
      <c r="AZ789">
        <v>93.34</v>
      </c>
      <c r="BA789">
        <v>75.430000000000007</v>
      </c>
      <c r="BB789">
        <v>17.91</v>
      </c>
      <c r="BC789" t="s">
        <v>168</v>
      </c>
      <c r="BD789">
        <v>1509</v>
      </c>
      <c r="BE789" t="s">
        <v>169</v>
      </c>
      <c r="BF789" t="s">
        <v>163</v>
      </c>
      <c r="BG789" t="s">
        <v>164</v>
      </c>
    </row>
    <row r="790" spans="1:59">
      <c r="A790">
        <v>1115</v>
      </c>
      <c r="B790">
        <v>1115</v>
      </c>
      <c r="C790">
        <v>10</v>
      </c>
      <c r="D790">
        <v>2</v>
      </c>
      <c r="E790" t="s">
        <v>152</v>
      </c>
      <c r="F790" t="s">
        <v>153</v>
      </c>
      <c r="G790" t="s">
        <v>154</v>
      </c>
      <c r="H790">
        <v>1526006244</v>
      </c>
      <c r="I790">
        <v>1000006508</v>
      </c>
      <c r="L790" t="s">
        <v>335</v>
      </c>
      <c r="M790">
        <v>5100001939</v>
      </c>
      <c r="N790" t="s">
        <v>155</v>
      </c>
      <c r="O790" t="s">
        <v>156</v>
      </c>
      <c r="P790">
        <v>4110059608</v>
      </c>
      <c r="Q790" t="s">
        <v>240</v>
      </c>
      <c r="R790">
        <v>5000</v>
      </c>
      <c r="S790" t="s">
        <v>166</v>
      </c>
      <c r="V790" t="s">
        <v>167</v>
      </c>
      <c r="W790">
        <v>1502020129</v>
      </c>
      <c r="X790" t="s">
        <v>241</v>
      </c>
      <c r="Y790" t="str">
        <f>VLOOKUP(W790,Sheet4!$A$5:$B$71,2,0)</f>
        <v>RE STYLING</v>
      </c>
      <c r="Z790">
        <v>87082900</v>
      </c>
      <c r="AA790">
        <v>15</v>
      </c>
      <c r="AB790" t="s">
        <v>159</v>
      </c>
      <c r="AC790" s="24">
        <v>6500.18</v>
      </c>
      <c r="AD790" t="s">
        <v>160</v>
      </c>
      <c r="AE790" s="24">
        <v>97502.7</v>
      </c>
      <c r="AF790">
        <v>0</v>
      </c>
      <c r="AG790" s="24">
        <v>97502.7</v>
      </c>
      <c r="AH790">
        <v>0</v>
      </c>
      <c r="AI790">
        <v>0</v>
      </c>
      <c r="AJ790">
        <v>0</v>
      </c>
      <c r="AK790">
        <v>0</v>
      </c>
      <c r="AL790" s="24">
        <v>97502.7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 s="24">
        <v>97502.7</v>
      </c>
      <c r="AV790">
        <v>0</v>
      </c>
      <c r="AW790">
        <v>0</v>
      </c>
      <c r="AX790">
        <v>311000</v>
      </c>
      <c r="AY790" t="s">
        <v>161</v>
      </c>
      <c r="AZ790">
        <v>0</v>
      </c>
      <c r="BA790">
        <v>0</v>
      </c>
      <c r="BB790">
        <v>0</v>
      </c>
      <c r="BC790" t="s">
        <v>242</v>
      </c>
      <c r="BD790">
        <v>1509</v>
      </c>
      <c r="BE790" t="s">
        <v>169</v>
      </c>
      <c r="BF790" t="s">
        <v>163</v>
      </c>
      <c r="BG790" t="s">
        <v>164</v>
      </c>
    </row>
    <row r="791" spans="1:59">
      <c r="A791">
        <v>1115</v>
      </c>
      <c r="B791">
        <v>1115</v>
      </c>
      <c r="C791">
        <v>10</v>
      </c>
      <c r="D791">
        <v>2</v>
      </c>
      <c r="E791" t="s">
        <v>152</v>
      </c>
      <c r="F791" t="s">
        <v>153</v>
      </c>
      <c r="G791" t="s">
        <v>154</v>
      </c>
      <c r="H791">
        <v>1526006243</v>
      </c>
      <c r="I791">
        <v>1000006506</v>
      </c>
      <c r="L791" t="s">
        <v>335</v>
      </c>
      <c r="M791">
        <v>5100001636</v>
      </c>
      <c r="N791" t="s">
        <v>155</v>
      </c>
      <c r="O791" t="s">
        <v>156</v>
      </c>
      <c r="P791">
        <v>4110026445</v>
      </c>
      <c r="Q791" t="s">
        <v>170</v>
      </c>
      <c r="R791">
        <v>5000</v>
      </c>
      <c r="S791" t="s">
        <v>166</v>
      </c>
      <c r="V791" t="s">
        <v>167</v>
      </c>
      <c r="W791">
        <v>1502020104</v>
      </c>
      <c r="X791" t="s">
        <v>26</v>
      </c>
      <c r="Y791" t="str">
        <f>VLOOKUP(W791,Sheet4!$A$5:$B$71,2,0)</f>
        <v>RE STYLING</v>
      </c>
      <c r="Z791">
        <v>87082900</v>
      </c>
      <c r="AA791">
        <v>15</v>
      </c>
      <c r="AB791" t="s">
        <v>159</v>
      </c>
      <c r="AC791" s="24">
        <v>6585.55</v>
      </c>
      <c r="AD791" t="s">
        <v>160</v>
      </c>
      <c r="AE791" s="24">
        <v>98783.25</v>
      </c>
      <c r="AF791">
        <v>0</v>
      </c>
      <c r="AG791" s="24">
        <v>98783.25</v>
      </c>
      <c r="AH791">
        <v>0</v>
      </c>
      <c r="AI791">
        <v>0</v>
      </c>
      <c r="AJ791">
        <v>0</v>
      </c>
      <c r="AK791">
        <v>0</v>
      </c>
      <c r="AL791" s="24">
        <v>98783.25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 s="24">
        <v>98783.25</v>
      </c>
      <c r="AV791">
        <v>0</v>
      </c>
      <c r="AW791">
        <v>0</v>
      </c>
      <c r="AX791">
        <v>311000</v>
      </c>
      <c r="AY791" t="s">
        <v>161</v>
      </c>
      <c r="AZ791">
        <v>49.75</v>
      </c>
      <c r="BA791">
        <v>49.75</v>
      </c>
      <c r="BB791">
        <v>0</v>
      </c>
      <c r="BC791" t="s">
        <v>171</v>
      </c>
      <c r="BD791">
        <v>1509</v>
      </c>
      <c r="BE791" t="s">
        <v>169</v>
      </c>
      <c r="BF791" t="s">
        <v>163</v>
      </c>
      <c r="BG791" t="s">
        <v>164</v>
      </c>
    </row>
    <row r="792" spans="1:59">
      <c r="A792">
        <v>1115</v>
      </c>
      <c r="B792">
        <v>1115</v>
      </c>
      <c r="C792">
        <v>10</v>
      </c>
      <c r="D792">
        <v>2</v>
      </c>
      <c r="E792" t="s">
        <v>152</v>
      </c>
      <c r="F792" t="s">
        <v>153</v>
      </c>
      <c r="G792" t="s">
        <v>154</v>
      </c>
      <c r="H792">
        <v>1526006242</v>
      </c>
      <c r="I792">
        <v>1000006504</v>
      </c>
      <c r="L792" t="s">
        <v>335</v>
      </c>
      <c r="M792">
        <v>5100001636</v>
      </c>
      <c r="N792" t="s">
        <v>155</v>
      </c>
      <c r="O792" t="s">
        <v>156</v>
      </c>
      <c r="P792">
        <v>4110026445</v>
      </c>
      <c r="Q792" t="s">
        <v>170</v>
      </c>
      <c r="R792">
        <v>5000</v>
      </c>
      <c r="S792" t="s">
        <v>166</v>
      </c>
      <c r="V792" t="s">
        <v>167</v>
      </c>
      <c r="W792">
        <v>1502020104</v>
      </c>
      <c r="X792" t="s">
        <v>26</v>
      </c>
      <c r="Y792" t="str">
        <f>VLOOKUP(W792,Sheet4!$A$5:$B$71,2,0)</f>
        <v>RE STYLING</v>
      </c>
      <c r="Z792">
        <v>87082900</v>
      </c>
      <c r="AA792">
        <v>15</v>
      </c>
      <c r="AB792" t="s">
        <v>159</v>
      </c>
      <c r="AC792" s="24">
        <v>6585.55</v>
      </c>
      <c r="AD792" t="s">
        <v>160</v>
      </c>
      <c r="AE792" s="24">
        <v>98783.25</v>
      </c>
      <c r="AF792">
        <v>0</v>
      </c>
      <c r="AG792" s="24">
        <v>98783.25</v>
      </c>
      <c r="AH792">
        <v>0</v>
      </c>
      <c r="AI792">
        <v>0</v>
      </c>
      <c r="AJ792">
        <v>0</v>
      </c>
      <c r="AK792">
        <v>0</v>
      </c>
      <c r="AL792" s="24">
        <v>98783.25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 s="24">
        <v>98783.25</v>
      </c>
      <c r="AV792">
        <v>0</v>
      </c>
      <c r="AW792">
        <v>0</v>
      </c>
      <c r="AX792">
        <v>311000</v>
      </c>
      <c r="AY792" t="s">
        <v>161</v>
      </c>
      <c r="AZ792">
        <v>49.75</v>
      </c>
      <c r="BA792">
        <v>49.75</v>
      </c>
      <c r="BB792">
        <v>0</v>
      </c>
      <c r="BC792" t="s">
        <v>171</v>
      </c>
      <c r="BD792">
        <v>1509</v>
      </c>
      <c r="BE792" t="s">
        <v>169</v>
      </c>
      <c r="BF792" t="s">
        <v>163</v>
      </c>
      <c r="BG792" t="s">
        <v>164</v>
      </c>
    </row>
    <row r="793" spans="1:59">
      <c r="A793">
        <v>1115</v>
      </c>
      <c r="B793">
        <v>1115</v>
      </c>
      <c r="C793">
        <v>10</v>
      </c>
      <c r="D793">
        <v>2</v>
      </c>
      <c r="E793" t="s">
        <v>152</v>
      </c>
      <c r="F793" t="s">
        <v>153</v>
      </c>
      <c r="G793" t="s">
        <v>154</v>
      </c>
      <c r="H793">
        <v>1526006241</v>
      </c>
      <c r="I793">
        <v>1000006503</v>
      </c>
      <c r="L793" t="s">
        <v>335</v>
      </c>
      <c r="M793">
        <v>5100001636</v>
      </c>
      <c r="N793" t="s">
        <v>155</v>
      </c>
      <c r="O793" t="s">
        <v>156</v>
      </c>
      <c r="P793">
        <v>4110026445</v>
      </c>
      <c r="Q793" t="s">
        <v>170</v>
      </c>
      <c r="R793">
        <v>5000</v>
      </c>
      <c r="S793" t="s">
        <v>166</v>
      </c>
      <c r="V793" t="s">
        <v>167</v>
      </c>
      <c r="W793">
        <v>1502020104</v>
      </c>
      <c r="X793" t="s">
        <v>26</v>
      </c>
      <c r="Y793" t="str">
        <f>VLOOKUP(W793,Sheet4!$A$5:$B$71,2,0)</f>
        <v>RE STYLING</v>
      </c>
      <c r="Z793">
        <v>87082900</v>
      </c>
      <c r="AA793">
        <v>15</v>
      </c>
      <c r="AB793" t="s">
        <v>159</v>
      </c>
      <c r="AC793" s="24">
        <v>6585.55</v>
      </c>
      <c r="AD793" t="s">
        <v>160</v>
      </c>
      <c r="AE793" s="24">
        <v>98783.25</v>
      </c>
      <c r="AF793">
        <v>0</v>
      </c>
      <c r="AG793" s="24">
        <v>98783.25</v>
      </c>
      <c r="AH793">
        <v>0</v>
      </c>
      <c r="AI793">
        <v>0</v>
      </c>
      <c r="AJ793">
        <v>0</v>
      </c>
      <c r="AK793">
        <v>0</v>
      </c>
      <c r="AL793" s="24">
        <v>98783.25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 s="24">
        <v>98783.25</v>
      </c>
      <c r="AV793">
        <v>0</v>
      </c>
      <c r="AW793">
        <v>0</v>
      </c>
      <c r="AX793">
        <v>311000</v>
      </c>
      <c r="AY793" t="s">
        <v>161</v>
      </c>
      <c r="AZ793">
        <v>49.75</v>
      </c>
      <c r="BA793">
        <v>49.75</v>
      </c>
      <c r="BB793">
        <v>0</v>
      </c>
      <c r="BC793" t="s">
        <v>171</v>
      </c>
      <c r="BD793">
        <v>1509</v>
      </c>
      <c r="BE793" t="s">
        <v>169</v>
      </c>
      <c r="BF793" t="s">
        <v>163</v>
      </c>
      <c r="BG793" t="s">
        <v>164</v>
      </c>
    </row>
    <row r="794" spans="1:59">
      <c r="A794">
        <v>1115</v>
      </c>
      <c r="B794">
        <v>1115</v>
      </c>
      <c r="C794">
        <v>10</v>
      </c>
      <c r="D794">
        <v>2</v>
      </c>
      <c r="E794" t="s">
        <v>152</v>
      </c>
      <c r="F794" t="s">
        <v>153</v>
      </c>
      <c r="G794" t="s">
        <v>154</v>
      </c>
      <c r="H794">
        <v>1526006240</v>
      </c>
      <c r="I794">
        <v>1000006502</v>
      </c>
      <c r="L794" t="s">
        <v>335</v>
      </c>
      <c r="M794">
        <v>5100001636</v>
      </c>
      <c r="N794" t="s">
        <v>155</v>
      </c>
      <c r="O794" t="s">
        <v>156</v>
      </c>
      <c r="P794">
        <v>4110026445</v>
      </c>
      <c r="Q794" t="s">
        <v>170</v>
      </c>
      <c r="R794">
        <v>5000</v>
      </c>
      <c r="S794" t="s">
        <v>166</v>
      </c>
      <c r="V794" t="s">
        <v>167</v>
      </c>
      <c r="W794">
        <v>1502020104</v>
      </c>
      <c r="X794" t="s">
        <v>26</v>
      </c>
      <c r="Y794" t="str">
        <f>VLOOKUP(W794,Sheet4!$A$5:$B$71,2,0)</f>
        <v>RE STYLING</v>
      </c>
      <c r="Z794">
        <v>87082900</v>
      </c>
      <c r="AA794">
        <v>15</v>
      </c>
      <c r="AB794" t="s">
        <v>159</v>
      </c>
      <c r="AC794" s="24">
        <v>6585.55</v>
      </c>
      <c r="AD794" t="s">
        <v>160</v>
      </c>
      <c r="AE794" s="24">
        <v>98783.25</v>
      </c>
      <c r="AF794">
        <v>0</v>
      </c>
      <c r="AG794" s="24">
        <v>98783.25</v>
      </c>
      <c r="AH794">
        <v>0</v>
      </c>
      <c r="AI794">
        <v>0</v>
      </c>
      <c r="AJ794">
        <v>0</v>
      </c>
      <c r="AK794">
        <v>0</v>
      </c>
      <c r="AL794" s="24">
        <v>98783.25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 s="24">
        <v>98783.25</v>
      </c>
      <c r="AV794">
        <v>0</v>
      </c>
      <c r="AW794">
        <v>0</v>
      </c>
      <c r="AX794">
        <v>311000</v>
      </c>
      <c r="AY794" t="s">
        <v>161</v>
      </c>
      <c r="AZ794">
        <v>49.75</v>
      </c>
      <c r="BA794">
        <v>49.75</v>
      </c>
      <c r="BB794">
        <v>0</v>
      </c>
      <c r="BC794" t="s">
        <v>171</v>
      </c>
      <c r="BD794">
        <v>1509</v>
      </c>
      <c r="BE794" t="s">
        <v>169</v>
      </c>
      <c r="BF794" t="s">
        <v>163</v>
      </c>
      <c r="BG794" t="s">
        <v>164</v>
      </c>
    </row>
    <row r="795" spans="1:59">
      <c r="A795">
        <v>1115</v>
      </c>
      <c r="B795">
        <v>1115</v>
      </c>
      <c r="C795">
        <v>10</v>
      </c>
      <c r="D795">
        <v>2</v>
      </c>
      <c r="E795" t="s">
        <v>152</v>
      </c>
      <c r="F795" t="s">
        <v>153</v>
      </c>
      <c r="G795" t="s">
        <v>154</v>
      </c>
      <c r="H795">
        <v>1526006239</v>
      </c>
      <c r="I795">
        <v>1000006501</v>
      </c>
      <c r="L795" t="s">
        <v>335</v>
      </c>
      <c r="M795">
        <v>5100001949</v>
      </c>
      <c r="N795" t="s">
        <v>155</v>
      </c>
      <c r="O795" t="s">
        <v>156</v>
      </c>
      <c r="P795">
        <v>4110063766</v>
      </c>
      <c r="Q795" t="s">
        <v>252</v>
      </c>
      <c r="R795">
        <v>5000</v>
      </c>
      <c r="S795" t="s">
        <v>166</v>
      </c>
      <c r="V795" t="s">
        <v>167</v>
      </c>
      <c r="W795">
        <v>1502040322</v>
      </c>
      <c r="X795" t="s">
        <v>250</v>
      </c>
      <c r="Y795" t="str">
        <f>VLOOKUP(W795,Sheet4!$A$5:$B$71,2,0)</f>
        <v>DASH BOARD</v>
      </c>
      <c r="Z795">
        <v>87082900</v>
      </c>
      <c r="AA795">
        <v>120</v>
      </c>
      <c r="AB795" t="s">
        <v>159</v>
      </c>
      <c r="AC795">
        <v>291.27999999999997</v>
      </c>
      <c r="AD795" t="s">
        <v>160</v>
      </c>
      <c r="AE795" s="24">
        <v>34953.599999999999</v>
      </c>
      <c r="AF795">
        <v>0</v>
      </c>
      <c r="AG795" s="24">
        <v>34953.599999999999</v>
      </c>
      <c r="AH795">
        <v>0</v>
      </c>
      <c r="AI795">
        <v>0</v>
      </c>
      <c r="AJ795">
        <v>0</v>
      </c>
      <c r="AK795">
        <v>0</v>
      </c>
      <c r="AL795" s="24">
        <v>34953.599999999999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 s="24">
        <v>34953.599999999999</v>
      </c>
      <c r="AV795">
        <v>0</v>
      </c>
      <c r="AW795">
        <v>0</v>
      </c>
      <c r="AX795">
        <v>311000</v>
      </c>
      <c r="AY795" t="s">
        <v>161</v>
      </c>
      <c r="AZ795">
        <v>2.37</v>
      </c>
      <c r="BA795">
        <v>2.37</v>
      </c>
      <c r="BB795">
        <v>0</v>
      </c>
      <c r="BC795" t="s">
        <v>251</v>
      </c>
      <c r="BD795">
        <v>1511</v>
      </c>
      <c r="BE795" t="s">
        <v>174</v>
      </c>
      <c r="BF795" t="s">
        <v>163</v>
      </c>
      <c r="BG795" t="s">
        <v>164</v>
      </c>
    </row>
    <row r="796" spans="1:59">
      <c r="A796">
        <v>1115</v>
      </c>
      <c r="B796">
        <v>1115</v>
      </c>
      <c r="C796">
        <v>10</v>
      </c>
      <c r="D796">
        <v>2</v>
      </c>
      <c r="E796" t="s">
        <v>152</v>
      </c>
      <c r="F796" t="s">
        <v>153</v>
      </c>
      <c r="G796" t="s">
        <v>154</v>
      </c>
      <c r="H796">
        <v>1526006238</v>
      </c>
      <c r="I796">
        <v>1000006500</v>
      </c>
      <c r="L796" t="s">
        <v>335</v>
      </c>
      <c r="M796">
        <v>5100001899</v>
      </c>
      <c r="N796" t="s">
        <v>155</v>
      </c>
      <c r="O796" t="s">
        <v>156</v>
      </c>
      <c r="P796">
        <v>4110041854</v>
      </c>
      <c r="Q796" t="s">
        <v>172</v>
      </c>
      <c r="R796">
        <v>5000</v>
      </c>
      <c r="S796" t="s">
        <v>166</v>
      </c>
      <c r="V796" t="s">
        <v>167</v>
      </c>
      <c r="W796">
        <v>1502040267</v>
      </c>
      <c r="X796" t="s">
        <v>63</v>
      </c>
      <c r="Y796" t="str">
        <f>VLOOKUP(W796,Sheet4!$A$5:$B$71,2,0)</f>
        <v>DASH BOARD</v>
      </c>
      <c r="Z796">
        <v>87082900</v>
      </c>
      <c r="AA796">
        <v>288</v>
      </c>
      <c r="AB796" t="s">
        <v>159</v>
      </c>
      <c r="AC796">
        <v>290.89999999999998</v>
      </c>
      <c r="AD796" t="s">
        <v>160</v>
      </c>
      <c r="AE796" s="24">
        <v>83779.199999999997</v>
      </c>
      <c r="AF796">
        <v>0</v>
      </c>
      <c r="AG796" s="24">
        <v>83779.199999999997</v>
      </c>
      <c r="AH796">
        <v>0</v>
      </c>
      <c r="AI796">
        <v>0</v>
      </c>
      <c r="AJ796">
        <v>0</v>
      </c>
      <c r="AK796">
        <v>0</v>
      </c>
      <c r="AL796" s="24">
        <v>83779.199999999997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 s="24">
        <v>83779.199999999997</v>
      </c>
      <c r="AV796">
        <v>0</v>
      </c>
      <c r="AW796">
        <v>0</v>
      </c>
      <c r="AX796">
        <v>311000</v>
      </c>
      <c r="AY796" t="s">
        <v>161</v>
      </c>
      <c r="AZ796">
        <v>4.5</v>
      </c>
      <c r="BA796">
        <v>4.5</v>
      </c>
      <c r="BB796">
        <v>0</v>
      </c>
      <c r="BC796" t="s">
        <v>173</v>
      </c>
      <c r="BD796">
        <v>1511</v>
      </c>
      <c r="BE796" t="s">
        <v>174</v>
      </c>
      <c r="BF796" t="s">
        <v>163</v>
      </c>
      <c r="BG796" t="s">
        <v>164</v>
      </c>
    </row>
    <row r="797" spans="1:59">
      <c r="A797">
        <v>1115</v>
      </c>
      <c r="B797">
        <v>1115</v>
      </c>
      <c r="C797">
        <v>10</v>
      </c>
      <c r="D797">
        <v>2</v>
      </c>
      <c r="E797" t="s">
        <v>152</v>
      </c>
      <c r="F797" t="s">
        <v>153</v>
      </c>
      <c r="G797" t="s">
        <v>154</v>
      </c>
      <c r="H797">
        <v>1526006237</v>
      </c>
      <c r="I797">
        <v>1000006499</v>
      </c>
      <c r="L797" t="s">
        <v>335</v>
      </c>
      <c r="M797">
        <v>5100001939</v>
      </c>
      <c r="N797" t="s">
        <v>155</v>
      </c>
      <c r="O797" t="s">
        <v>156</v>
      </c>
      <c r="P797">
        <v>4110059608</v>
      </c>
      <c r="Q797" t="s">
        <v>240</v>
      </c>
      <c r="R797">
        <v>5000</v>
      </c>
      <c r="S797" t="s">
        <v>166</v>
      </c>
      <c r="V797" t="s">
        <v>167</v>
      </c>
      <c r="W797">
        <v>1502020129</v>
      </c>
      <c r="X797" t="s">
        <v>241</v>
      </c>
      <c r="Y797" t="str">
        <f>VLOOKUP(W797,Sheet4!$A$5:$B$71,2,0)</f>
        <v>RE STYLING</v>
      </c>
      <c r="Z797">
        <v>87082900</v>
      </c>
      <c r="AA797">
        <v>15</v>
      </c>
      <c r="AB797" t="s">
        <v>159</v>
      </c>
      <c r="AC797" s="24">
        <v>6500.18</v>
      </c>
      <c r="AD797" t="s">
        <v>160</v>
      </c>
      <c r="AE797" s="24">
        <v>97502.7</v>
      </c>
      <c r="AF797">
        <v>0</v>
      </c>
      <c r="AG797" s="24">
        <v>97502.7</v>
      </c>
      <c r="AH797">
        <v>0</v>
      </c>
      <c r="AI797">
        <v>0</v>
      </c>
      <c r="AJ797">
        <v>0</v>
      </c>
      <c r="AK797">
        <v>0</v>
      </c>
      <c r="AL797" s="24">
        <v>97502.7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s="24">
        <v>97502.7</v>
      </c>
      <c r="AV797">
        <v>0</v>
      </c>
      <c r="AW797">
        <v>0</v>
      </c>
      <c r="AX797">
        <v>311000</v>
      </c>
      <c r="AY797" t="s">
        <v>161</v>
      </c>
      <c r="AZ797">
        <v>0</v>
      </c>
      <c r="BA797">
        <v>0</v>
      </c>
      <c r="BB797">
        <v>0</v>
      </c>
      <c r="BC797" t="s">
        <v>242</v>
      </c>
      <c r="BD797">
        <v>1509</v>
      </c>
      <c r="BE797" t="s">
        <v>169</v>
      </c>
      <c r="BF797" t="s">
        <v>163</v>
      </c>
      <c r="BG797" t="s">
        <v>164</v>
      </c>
    </row>
    <row r="798" spans="1:59">
      <c r="A798">
        <v>1115</v>
      </c>
      <c r="B798">
        <v>1115</v>
      </c>
      <c r="C798">
        <v>10</v>
      </c>
      <c r="D798">
        <v>2</v>
      </c>
      <c r="E798" t="s">
        <v>152</v>
      </c>
      <c r="F798" t="s">
        <v>153</v>
      </c>
      <c r="G798" t="s">
        <v>154</v>
      </c>
      <c r="H798">
        <v>1526006236</v>
      </c>
      <c r="I798">
        <v>1000006498</v>
      </c>
      <c r="L798" t="s">
        <v>335</v>
      </c>
      <c r="M798">
        <v>5100001603</v>
      </c>
      <c r="N798" t="s">
        <v>155</v>
      </c>
      <c r="O798" t="s">
        <v>156</v>
      </c>
      <c r="P798">
        <v>4110025468</v>
      </c>
      <c r="Q798" t="s">
        <v>165</v>
      </c>
      <c r="R798">
        <v>5000</v>
      </c>
      <c r="S798" t="s">
        <v>166</v>
      </c>
      <c r="V798" t="s">
        <v>167</v>
      </c>
      <c r="W798">
        <v>1502020102</v>
      </c>
      <c r="X798" t="s">
        <v>58</v>
      </c>
      <c r="Y798" t="str">
        <f>VLOOKUP(W798,Sheet4!$A$5:$B$71,2,0)</f>
        <v>MAXIMA HD</v>
      </c>
      <c r="Z798">
        <v>87082900</v>
      </c>
      <c r="AA798">
        <v>6</v>
      </c>
      <c r="AB798" t="s">
        <v>159</v>
      </c>
      <c r="AC798" s="24">
        <v>8593.51</v>
      </c>
      <c r="AD798" t="s">
        <v>160</v>
      </c>
      <c r="AE798" s="24">
        <v>51561.06</v>
      </c>
      <c r="AF798">
        <v>0</v>
      </c>
      <c r="AG798" s="24">
        <v>51561.06</v>
      </c>
      <c r="AH798">
        <v>0</v>
      </c>
      <c r="AI798">
        <v>0</v>
      </c>
      <c r="AJ798">
        <v>0</v>
      </c>
      <c r="AK798">
        <v>0</v>
      </c>
      <c r="AL798" s="24">
        <v>51561.06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 s="24">
        <v>51561.06</v>
      </c>
      <c r="AV798">
        <v>0</v>
      </c>
      <c r="AW798">
        <v>0</v>
      </c>
      <c r="AX798">
        <v>311000</v>
      </c>
      <c r="AY798" t="s">
        <v>161</v>
      </c>
      <c r="AZ798">
        <v>93.34</v>
      </c>
      <c r="BA798">
        <v>75.430000000000007</v>
      </c>
      <c r="BB798">
        <v>17.91</v>
      </c>
      <c r="BC798" t="s">
        <v>168</v>
      </c>
      <c r="BD798">
        <v>1509</v>
      </c>
      <c r="BE798" t="s">
        <v>169</v>
      </c>
      <c r="BF798" t="s">
        <v>163</v>
      </c>
      <c r="BG798" t="s">
        <v>164</v>
      </c>
    </row>
    <row r="799" spans="1:59">
      <c r="A799">
        <v>1115</v>
      </c>
      <c r="B799">
        <v>1115</v>
      </c>
      <c r="C799">
        <v>10</v>
      </c>
      <c r="D799">
        <v>2</v>
      </c>
      <c r="E799" t="s">
        <v>152</v>
      </c>
      <c r="F799" t="s">
        <v>153</v>
      </c>
      <c r="G799" t="s">
        <v>154</v>
      </c>
      <c r="H799">
        <v>1526006235</v>
      </c>
      <c r="I799">
        <v>1000006497</v>
      </c>
      <c r="L799" t="s">
        <v>335</v>
      </c>
      <c r="M799">
        <v>5100001934</v>
      </c>
      <c r="N799" t="s">
        <v>155</v>
      </c>
      <c r="O799" t="s">
        <v>156</v>
      </c>
      <c r="P799">
        <v>4110058649</v>
      </c>
      <c r="Q799" t="s">
        <v>196</v>
      </c>
      <c r="R799">
        <v>5000</v>
      </c>
      <c r="S799" t="s">
        <v>166</v>
      </c>
      <c r="V799" t="s">
        <v>167</v>
      </c>
      <c r="W799">
        <v>1502040217</v>
      </c>
      <c r="X799" t="s">
        <v>197</v>
      </c>
      <c r="Y799" t="str">
        <f>VLOOKUP(W799,Sheet4!$A$5:$B$71,2,0)</f>
        <v>FRONT MUDGARD GOGO</v>
      </c>
      <c r="Z799">
        <v>87082900</v>
      </c>
      <c r="AA799">
        <v>60</v>
      </c>
      <c r="AB799" t="s">
        <v>159</v>
      </c>
      <c r="AC799">
        <v>380.93</v>
      </c>
      <c r="AD799" t="s">
        <v>160</v>
      </c>
      <c r="AE799" s="24">
        <v>22855.8</v>
      </c>
      <c r="AF799">
        <v>0</v>
      </c>
      <c r="AG799" s="24">
        <v>22855.8</v>
      </c>
      <c r="AH799">
        <v>0</v>
      </c>
      <c r="AI799">
        <v>0</v>
      </c>
      <c r="AJ799">
        <v>0</v>
      </c>
      <c r="AK799">
        <v>0</v>
      </c>
      <c r="AL799" s="24">
        <v>22855.8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 s="24">
        <v>22855.8</v>
      </c>
      <c r="AV799">
        <v>0</v>
      </c>
      <c r="AW799">
        <v>0</v>
      </c>
      <c r="AX799">
        <v>311000</v>
      </c>
      <c r="AY799" t="s">
        <v>161</v>
      </c>
      <c r="AZ799">
        <v>2.13</v>
      </c>
      <c r="BA799">
        <v>2.13</v>
      </c>
      <c r="BB799">
        <v>0</v>
      </c>
      <c r="BC799" t="s">
        <v>198</v>
      </c>
      <c r="BD799">
        <v>1511</v>
      </c>
      <c r="BE799" t="s">
        <v>174</v>
      </c>
      <c r="BF799" t="s">
        <v>163</v>
      </c>
      <c r="BG799" t="s">
        <v>164</v>
      </c>
    </row>
    <row r="800" spans="1:59">
      <c r="A800">
        <v>1115</v>
      </c>
      <c r="B800">
        <v>1115</v>
      </c>
      <c r="C800">
        <v>10</v>
      </c>
      <c r="D800">
        <v>2</v>
      </c>
      <c r="E800" t="s">
        <v>152</v>
      </c>
      <c r="F800" t="s">
        <v>153</v>
      </c>
      <c r="G800" t="s">
        <v>154</v>
      </c>
      <c r="H800">
        <v>1526006234</v>
      </c>
      <c r="I800">
        <v>1000006496</v>
      </c>
      <c r="L800" t="s">
        <v>335</v>
      </c>
      <c r="M800">
        <v>5100001636</v>
      </c>
      <c r="N800" t="s">
        <v>155</v>
      </c>
      <c r="O800" t="s">
        <v>156</v>
      </c>
      <c r="P800">
        <v>4110026445</v>
      </c>
      <c r="Q800" t="s">
        <v>170</v>
      </c>
      <c r="R800">
        <v>5000</v>
      </c>
      <c r="S800" t="s">
        <v>166</v>
      </c>
      <c r="V800" t="s">
        <v>167</v>
      </c>
      <c r="W800">
        <v>1502020104</v>
      </c>
      <c r="X800" t="s">
        <v>26</v>
      </c>
      <c r="Y800" t="str">
        <f>VLOOKUP(W800,Sheet4!$A$5:$B$71,2,0)</f>
        <v>RE STYLING</v>
      </c>
      <c r="Z800">
        <v>87082900</v>
      </c>
      <c r="AA800">
        <v>15</v>
      </c>
      <c r="AB800" t="s">
        <v>159</v>
      </c>
      <c r="AC800" s="24">
        <v>6585.55</v>
      </c>
      <c r="AD800" t="s">
        <v>160</v>
      </c>
      <c r="AE800" s="24">
        <v>98783.25</v>
      </c>
      <c r="AF800">
        <v>0</v>
      </c>
      <c r="AG800" s="24">
        <v>98783.25</v>
      </c>
      <c r="AH800">
        <v>0</v>
      </c>
      <c r="AI800">
        <v>0</v>
      </c>
      <c r="AJ800">
        <v>0</v>
      </c>
      <c r="AK800">
        <v>0</v>
      </c>
      <c r="AL800" s="24">
        <v>98783.25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 s="24">
        <v>98783.25</v>
      </c>
      <c r="AV800">
        <v>0</v>
      </c>
      <c r="AW800">
        <v>0</v>
      </c>
      <c r="AX800">
        <v>311000</v>
      </c>
      <c r="AY800" t="s">
        <v>161</v>
      </c>
      <c r="AZ800">
        <v>49.75</v>
      </c>
      <c r="BA800">
        <v>49.75</v>
      </c>
      <c r="BB800">
        <v>0</v>
      </c>
      <c r="BC800" t="s">
        <v>171</v>
      </c>
      <c r="BD800">
        <v>1509</v>
      </c>
      <c r="BE800" t="s">
        <v>169</v>
      </c>
      <c r="BF800" t="s">
        <v>163</v>
      </c>
      <c r="BG800" t="s">
        <v>164</v>
      </c>
    </row>
    <row r="801" spans="1:59">
      <c r="A801">
        <v>1115</v>
      </c>
      <c r="B801">
        <v>1115</v>
      </c>
      <c r="C801">
        <v>10</v>
      </c>
      <c r="D801">
        <v>2</v>
      </c>
      <c r="E801" t="s">
        <v>152</v>
      </c>
      <c r="F801" t="s">
        <v>153</v>
      </c>
      <c r="G801" t="s">
        <v>154</v>
      </c>
      <c r="H801">
        <v>1526006527</v>
      </c>
      <c r="I801">
        <v>1000006806</v>
      </c>
      <c r="L801" t="s">
        <v>348</v>
      </c>
      <c r="M801">
        <v>5100001101</v>
      </c>
      <c r="N801" t="s">
        <v>155</v>
      </c>
      <c r="O801" t="s">
        <v>156</v>
      </c>
      <c r="P801">
        <v>4110004653</v>
      </c>
      <c r="Q801" t="s">
        <v>177</v>
      </c>
      <c r="R801">
        <v>5000</v>
      </c>
      <c r="S801" t="s">
        <v>166</v>
      </c>
      <c r="V801" t="s">
        <v>167</v>
      </c>
      <c r="W801">
        <v>1502040194</v>
      </c>
      <c r="X801" t="s">
        <v>44</v>
      </c>
      <c r="Y801" t="str">
        <f>VLOOKUP(W801,Sheet4!$A$5:$B$71,2,0)</f>
        <v>CRADEL</v>
      </c>
      <c r="Z801">
        <v>87082900</v>
      </c>
      <c r="AA801">
        <v>48</v>
      </c>
      <c r="AB801" t="s">
        <v>159</v>
      </c>
      <c r="AC801">
        <v>956.92</v>
      </c>
      <c r="AD801" t="s">
        <v>160</v>
      </c>
      <c r="AE801" s="24">
        <v>45932.160000000003</v>
      </c>
      <c r="AF801">
        <v>0</v>
      </c>
      <c r="AG801" s="24">
        <v>45932.160000000003</v>
      </c>
      <c r="AH801">
        <v>0</v>
      </c>
      <c r="AI801">
        <v>0</v>
      </c>
      <c r="AJ801">
        <v>0</v>
      </c>
      <c r="AK801">
        <v>0</v>
      </c>
      <c r="AL801" s="24">
        <v>45932.160000000003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 s="24">
        <v>45932.160000000003</v>
      </c>
      <c r="AV801">
        <v>0</v>
      </c>
      <c r="AW801">
        <v>0</v>
      </c>
      <c r="AX801">
        <v>311000</v>
      </c>
      <c r="AY801" t="s">
        <v>161</v>
      </c>
      <c r="AZ801">
        <v>6.3769999999999998</v>
      </c>
      <c r="BA801">
        <v>6.3769999999999998</v>
      </c>
      <c r="BB801">
        <v>0</v>
      </c>
      <c r="BC801" t="s">
        <v>184</v>
      </c>
      <c r="BD801">
        <v>1511</v>
      </c>
      <c r="BE801" t="s">
        <v>174</v>
      </c>
      <c r="BF801" t="s">
        <v>163</v>
      </c>
      <c r="BG801" t="s">
        <v>164</v>
      </c>
    </row>
    <row r="802" spans="1:59">
      <c r="A802">
        <v>1115</v>
      </c>
      <c r="B802">
        <v>1115</v>
      </c>
      <c r="C802">
        <v>10</v>
      </c>
      <c r="D802">
        <v>2</v>
      </c>
      <c r="E802" t="s">
        <v>152</v>
      </c>
      <c r="F802" t="s">
        <v>153</v>
      </c>
      <c r="G802" t="s">
        <v>154</v>
      </c>
      <c r="H802">
        <v>1526006525</v>
      </c>
      <c r="I802">
        <v>1000006805</v>
      </c>
      <c r="L802" t="s">
        <v>348</v>
      </c>
      <c r="M802">
        <v>5100001568</v>
      </c>
      <c r="N802" t="s">
        <v>155</v>
      </c>
      <c r="O802" t="s">
        <v>156</v>
      </c>
      <c r="P802">
        <v>4110023868</v>
      </c>
      <c r="Q802" t="s">
        <v>182</v>
      </c>
      <c r="R802">
        <v>5000</v>
      </c>
      <c r="S802" t="s">
        <v>166</v>
      </c>
      <c r="V802" t="s">
        <v>167</v>
      </c>
      <c r="W802">
        <v>1502040236</v>
      </c>
      <c r="X802" t="s">
        <v>50</v>
      </c>
      <c r="Y802" t="str">
        <f>VLOOKUP(W802,Sheet4!$A$5:$B$71,2,0)</f>
        <v>SUPPORT TOP</v>
      </c>
      <c r="Z802">
        <v>87082900</v>
      </c>
      <c r="AA802">
        <v>288</v>
      </c>
      <c r="AB802" t="s">
        <v>159</v>
      </c>
      <c r="AC802">
        <v>134.19999999999999</v>
      </c>
      <c r="AD802" t="s">
        <v>160</v>
      </c>
      <c r="AE802" s="24">
        <v>38649.599999999999</v>
      </c>
      <c r="AF802">
        <v>0</v>
      </c>
      <c r="AG802" s="24">
        <v>38649.599999999999</v>
      </c>
      <c r="AH802">
        <v>0</v>
      </c>
      <c r="AI802">
        <v>0</v>
      </c>
      <c r="AJ802">
        <v>0</v>
      </c>
      <c r="AK802">
        <v>0</v>
      </c>
      <c r="AL802" s="24">
        <v>38649.599999999999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 s="24">
        <v>38649.599999999999</v>
      </c>
      <c r="AV802">
        <v>0</v>
      </c>
      <c r="AW802">
        <v>0</v>
      </c>
      <c r="AX802">
        <v>311000</v>
      </c>
      <c r="AY802" t="s">
        <v>161</v>
      </c>
      <c r="AZ802">
        <v>1.19</v>
      </c>
      <c r="BA802">
        <v>1.19</v>
      </c>
      <c r="BB802">
        <v>0</v>
      </c>
      <c r="BC802" t="s">
        <v>183</v>
      </c>
      <c r="BD802">
        <v>1511</v>
      </c>
      <c r="BE802" t="s">
        <v>174</v>
      </c>
      <c r="BF802" t="s">
        <v>163</v>
      </c>
      <c r="BG802" t="s">
        <v>164</v>
      </c>
    </row>
    <row r="803" spans="1:59">
      <c r="A803">
        <v>1115</v>
      </c>
      <c r="B803">
        <v>1115</v>
      </c>
      <c r="C803">
        <v>10</v>
      </c>
      <c r="D803">
        <v>2</v>
      </c>
      <c r="E803" t="s">
        <v>152</v>
      </c>
      <c r="F803" t="s">
        <v>153</v>
      </c>
      <c r="G803" t="s">
        <v>154</v>
      </c>
      <c r="H803">
        <v>1526006522</v>
      </c>
      <c r="I803">
        <v>1000006803</v>
      </c>
      <c r="L803" t="s">
        <v>348</v>
      </c>
      <c r="M803">
        <v>5100001100</v>
      </c>
      <c r="N803" t="s">
        <v>155</v>
      </c>
      <c r="O803" t="s">
        <v>156</v>
      </c>
      <c r="P803">
        <v>4110004652</v>
      </c>
      <c r="Q803" t="s">
        <v>177</v>
      </c>
      <c r="R803">
        <v>5000</v>
      </c>
      <c r="S803" t="s">
        <v>166</v>
      </c>
      <c r="V803" t="s">
        <v>167</v>
      </c>
      <c r="W803">
        <v>1502040165</v>
      </c>
      <c r="X803" t="s">
        <v>234</v>
      </c>
      <c r="Y803" t="str">
        <f>VLOOKUP(W803,Sheet4!$A$5:$B$71,2,0)</f>
        <v>REAR COVER</v>
      </c>
      <c r="Z803">
        <v>87082900</v>
      </c>
      <c r="AA803">
        <v>55</v>
      </c>
      <c r="AB803" t="s">
        <v>159</v>
      </c>
      <c r="AC803">
        <v>165.65</v>
      </c>
      <c r="AD803" t="s">
        <v>160</v>
      </c>
      <c r="AE803" s="24">
        <v>9110.75</v>
      </c>
      <c r="AF803">
        <v>0</v>
      </c>
      <c r="AG803" s="24">
        <v>9110.75</v>
      </c>
      <c r="AH803">
        <v>0</v>
      </c>
      <c r="AI803">
        <v>0</v>
      </c>
      <c r="AJ803">
        <v>0</v>
      </c>
      <c r="AK803">
        <v>0</v>
      </c>
      <c r="AL803" s="24">
        <v>9110.75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 s="24">
        <v>9110.75</v>
      </c>
      <c r="AV803">
        <v>0</v>
      </c>
      <c r="AW803">
        <v>0</v>
      </c>
      <c r="AX803">
        <v>311000</v>
      </c>
      <c r="AY803" t="s">
        <v>161</v>
      </c>
      <c r="AZ803">
        <v>1.248</v>
      </c>
      <c r="BA803">
        <v>1.248</v>
      </c>
      <c r="BB803">
        <v>0</v>
      </c>
      <c r="BC803" t="s">
        <v>235</v>
      </c>
      <c r="BD803">
        <v>1511</v>
      </c>
      <c r="BE803" t="s">
        <v>174</v>
      </c>
      <c r="BF803" t="s">
        <v>163</v>
      </c>
      <c r="BG803" t="s">
        <v>164</v>
      </c>
    </row>
    <row r="804" spans="1:59">
      <c r="A804">
        <v>1115</v>
      </c>
      <c r="B804">
        <v>1115</v>
      </c>
      <c r="C804">
        <v>10</v>
      </c>
      <c r="D804">
        <v>2</v>
      </c>
      <c r="E804" t="s">
        <v>152</v>
      </c>
      <c r="F804" t="s">
        <v>153</v>
      </c>
      <c r="G804" t="s">
        <v>154</v>
      </c>
      <c r="H804">
        <v>1526006521</v>
      </c>
      <c r="I804">
        <v>1000006802</v>
      </c>
      <c r="L804" t="s">
        <v>348</v>
      </c>
      <c r="M804">
        <v>5100001100</v>
      </c>
      <c r="N804" t="s">
        <v>155</v>
      </c>
      <c r="O804" t="s">
        <v>156</v>
      </c>
      <c r="P804">
        <v>4110004652</v>
      </c>
      <c r="Q804" t="s">
        <v>177</v>
      </c>
      <c r="R804">
        <v>5000</v>
      </c>
      <c r="S804" t="s">
        <v>166</v>
      </c>
      <c r="V804" t="s">
        <v>167</v>
      </c>
      <c r="W804">
        <v>1502040164</v>
      </c>
      <c r="X804" t="s">
        <v>236</v>
      </c>
      <c r="Y804" t="str">
        <f>VLOOKUP(W804,Sheet4!$A$5:$B$71,2,0)</f>
        <v>REAR COVER</v>
      </c>
      <c r="Z804">
        <v>87082900</v>
      </c>
      <c r="AA804">
        <v>55</v>
      </c>
      <c r="AB804" t="s">
        <v>159</v>
      </c>
      <c r="AC804">
        <v>160.52000000000001</v>
      </c>
      <c r="AD804" t="s">
        <v>160</v>
      </c>
      <c r="AE804" s="24">
        <v>8828.6</v>
      </c>
      <c r="AF804">
        <v>0</v>
      </c>
      <c r="AG804" s="24">
        <v>8828.6</v>
      </c>
      <c r="AH804">
        <v>0</v>
      </c>
      <c r="AI804">
        <v>0</v>
      </c>
      <c r="AJ804">
        <v>0</v>
      </c>
      <c r="AK804">
        <v>0</v>
      </c>
      <c r="AL804" s="24">
        <v>8828.6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 s="24">
        <v>8828.6</v>
      </c>
      <c r="AV804">
        <v>0</v>
      </c>
      <c r="AW804">
        <v>0</v>
      </c>
      <c r="AX804">
        <v>311000</v>
      </c>
      <c r="AY804" t="s">
        <v>161</v>
      </c>
      <c r="AZ804">
        <v>1.1659999999999999</v>
      </c>
      <c r="BA804">
        <v>1.1659999999999999</v>
      </c>
      <c r="BB804">
        <v>0</v>
      </c>
      <c r="BC804" t="s">
        <v>237</v>
      </c>
      <c r="BD804">
        <v>1511</v>
      </c>
      <c r="BE804" t="s">
        <v>174</v>
      </c>
      <c r="BF804" t="s">
        <v>163</v>
      </c>
      <c r="BG804" t="s">
        <v>164</v>
      </c>
    </row>
    <row r="805" spans="1:59">
      <c r="A805">
        <v>1115</v>
      </c>
      <c r="B805">
        <v>1115</v>
      </c>
      <c r="C805">
        <v>10</v>
      </c>
      <c r="D805">
        <v>2</v>
      </c>
      <c r="E805" t="s">
        <v>152</v>
      </c>
      <c r="F805" t="s">
        <v>153</v>
      </c>
      <c r="G805" t="s">
        <v>154</v>
      </c>
      <c r="H805">
        <v>1526006517</v>
      </c>
      <c r="I805">
        <v>1000006800</v>
      </c>
      <c r="L805" t="s">
        <v>348</v>
      </c>
      <c r="M805">
        <v>5100001666</v>
      </c>
      <c r="N805" t="s">
        <v>155</v>
      </c>
      <c r="O805" t="s">
        <v>156</v>
      </c>
      <c r="P805">
        <v>4110027035</v>
      </c>
      <c r="Q805" t="s">
        <v>225</v>
      </c>
      <c r="R805">
        <v>5000</v>
      </c>
      <c r="S805" t="s">
        <v>166</v>
      </c>
      <c r="V805" t="s">
        <v>167</v>
      </c>
      <c r="W805">
        <v>1502020105</v>
      </c>
      <c r="X805" t="s">
        <v>226</v>
      </c>
      <c r="Y805" t="str">
        <f>VLOOKUP(W805,Sheet4!$A$5:$B$71,2,0)</f>
        <v>RE STYLING</v>
      </c>
      <c r="Z805">
        <v>87082900</v>
      </c>
      <c r="AA805">
        <v>15</v>
      </c>
      <c r="AB805" t="s">
        <v>159</v>
      </c>
      <c r="AC805" s="24">
        <v>6570.77</v>
      </c>
      <c r="AD805" t="s">
        <v>160</v>
      </c>
      <c r="AE805" s="24">
        <v>98561.55</v>
      </c>
      <c r="AF805">
        <v>0</v>
      </c>
      <c r="AG805" s="24">
        <v>98561.55</v>
      </c>
      <c r="AH805">
        <v>0</v>
      </c>
      <c r="AI805">
        <v>0</v>
      </c>
      <c r="AJ805">
        <v>0</v>
      </c>
      <c r="AK805">
        <v>0</v>
      </c>
      <c r="AL805" s="24">
        <v>98561.55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 s="24">
        <v>98561.55</v>
      </c>
      <c r="AV805">
        <v>0</v>
      </c>
      <c r="AW805">
        <v>0</v>
      </c>
      <c r="AX805">
        <v>311000</v>
      </c>
      <c r="AY805" t="s">
        <v>161</v>
      </c>
      <c r="AZ805">
        <v>49.75</v>
      </c>
      <c r="BA805">
        <v>49.75</v>
      </c>
      <c r="BB805">
        <v>0</v>
      </c>
      <c r="BC805" t="s">
        <v>227</v>
      </c>
      <c r="BD805">
        <v>1509</v>
      </c>
      <c r="BE805" t="s">
        <v>169</v>
      </c>
      <c r="BF805" t="s">
        <v>163</v>
      </c>
      <c r="BG805" t="s">
        <v>164</v>
      </c>
    </row>
    <row r="806" spans="1:59">
      <c r="A806">
        <v>1115</v>
      </c>
      <c r="B806">
        <v>1115</v>
      </c>
      <c r="C806">
        <v>10</v>
      </c>
      <c r="D806">
        <v>2</v>
      </c>
      <c r="E806" t="s">
        <v>152</v>
      </c>
      <c r="F806" t="s">
        <v>153</v>
      </c>
      <c r="G806" t="s">
        <v>154</v>
      </c>
      <c r="H806">
        <v>1526006516</v>
      </c>
      <c r="I806">
        <v>1000006799</v>
      </c>
      <c r="L806" t="s">
        <v>348</v>
      </c>
      <c r="M806">
        <v>5100001666</v>
      </c>
      <c r="N806" t="s">
        <v>155</v>
      </c>
      <c r="O806" t="s">
        <v>156</v>
      </c>
      <c r="P806">
        <v>4110027035</v>
      </c>
      <c r="Q806" t="s">
        <v>225</v>
      </c>
      <c r="R806">
        <v>5000</v>
      </c>
      <c r="S806" t="s">
        <v>166</v>
      </c>
      <c r="V806" t="s">
        <v>167</v>
      </c>
      <c r="W806">
        <v>1502020105</v>
      </c>
      <c r="X806" t="s">
        <v>226</v>
      </c>
      <c r="Y806" t="str">
        <f>VLOOKUP(W806,Sheet4!$A$5:$B$71,2,0)</f>
        <v>RE STYLING</v>
      </c>
      <c r="Z806">
        <v>87082900</v>
      </c>
      <c r="AA806">
        <v>15</v>
      </c>
      <c r="AB806" t="s">
        <v>159</v>
      </c>
      <c r="AC806" s="24">
        <v>6570.77</v>
      </c>
      <c r="AD806" t="s">
        <v>160</v>
      </c>
      <c r="AE806" s="24">
        <v>98561.55</v>
      </c>
      <c r="AF806">
        <v>0</v>
      </c>
      <c r="AG806" s="24">
        <v>98561.55</v>
      </c>
      <c r="AH806">
        <v>0</v>
      </c>
      <c r="AI806">
        <v>0</v>
      </c>
      <c r="AJ806">
        <v>0</v>
      </c>
      <c r="AK806">
        <v>0</v>
      </c>
      <c r="AL806" s="24">
        <v>98561.55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 s="24">
        <v>98561.55</v>
      </c>
      <c r="AV806">
        <v>0</v>
      </c>
      <c r="AW806">
        <v>0</v>
      </c>
      <c r="AX806">
        <v>311000</v>
      </c>
      <c r="AY806" t="s">
        <v>161</v>
      </c>
      <c r="AZ806">
        <v>49.75</v>
      </c>
      <c r="BA806">
        <v>49.75</v>
      </c>
      <c r="BB806">
        <v>0</v>
      </c>
      <c r="BC806" t="s">
        <v>227</v>
      </c>
      <c r="BD806">
        <v>1509</v>
      </c>
      <c r="BE806" t="s">
        <v>169</v>
      </c>
      <c r="BF806" t="s">
        <v>163</v>
      </c>
      <c r="BG806" t="s">
        <v>164</v>
      </c>
    </row>
    <row r="807" spans="1:59">
      <c r="A807">
        <v>1115</v>
      </c>
      <c r="B807">
        <v>1115</v>
      </c>
      <c r="C807">
        <v>10</v>
      </c>
      <c r="D807">
        <v>2</v>
      </c>
      <c r="E807" t="s">
        <v>152</v>
      </c>
      <c r="F807" t="s">
        <v>153</v>
      </c>
      <c r="G807" t="s">
        <v>154</v>
      </c>
      <c r="H807">
        <v>1526006515</v>
      </c>
      <c r="I807">
        <v>1000006798</v>
      </c>
      <c r="L807" t="s">
        <v>348</v>
      </c>
      <c r="M807">
        <v>5100001666</v>
      </c>
      <c r="N807" t="s">
        <v>155</v>
      </c>
      <c r="O807" t="s">
        <v>156</v>
      </c>
      <c r="P807">
        <v>4110027035</v>
      </c>
      <c r="Q807" t="s">
        <v>225</v>
      </c>
      <c r="R807">
        <v>5000</v>
      </c>
      <c r="S807" t="s">
        <v>166</v>
      </c>
      <c r="V807" t="s">
        <v>167</v>
      </c>
      <c r="W807">
        <v>1502020105</v>
      </c>
      <c r="X807" t="s">
        <v>226</v>
      </c>
      <c r="Y807" t="str">
        <f>VLOOKUP(W807,Sheet4!$A$5:$B$71,2,0)</f>
        <v>RE STYLING</v>
      </c>
      <c r="Z807">
        <v>87082900</v>
      </c>
      <c r="AA807">
        <v>15</v>
      </c>
      <c r="AB807" t="s">
        <v>159</v>
      </c>
      <c r="AC807" s="24">
        <v>6570.77</v>
      </c>
      <c r="AD807" t="s">
        <v>160</v>
      </c>
      <c r="AE807" s="24">
        <v>98561.55</v>
      </c>
      <c r="AF807">
        <v>0</v>
      </c>
      <c r="AG807" s="24">
        <v>98561.55</v>
      </c>
      <c r="AH807">
        <v>0</v>
      </c>
      <c r="AI807">
        <v>0</v>
      </c>
      <c r="AJ807">
        <v>0</v>
      </c>
      <c r="AK807">
        <v>0</v>
      </c>
      <c r="AL807" s="24">
        <v>98561.55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 s="24">
        <v>98561.55</v>
      </c>
      <c r="AV807">
        <v>0</v>
      </c>
      <c r="AW807">
        <v>0</v>
      </c>
      <c r="AX807">
        <v>311000</v>
      </c>
      <c r="AY807" t="s">
        <v>161</v>
      </c>
      <c r="AZ807">
        <v>49.75</v>
      </c>
      <c r="BA807">
        <v>49.75</v>
      </c>
      <c r="BB807">
        <v>0</v>
      </c>
      <c r="BC807" t="s">
        <v>227</v>
      </c>
      <c r="BD807">
        <v>1509</v>
      </c>
      <c r="BE807" t="s">
        <v>169</v>
      </c>
      <c r="BF807" t="s">
        <v>163</v>
      </c>
      <c r="BG807" t="s">
        <v>164</v>
      </c>
    </row>
    <row r="808" spans="1:59">
      <c r="A808">
        <v>1115</v>
      </c>
      <c r="B808">
        <v>1115</v>
      </c>
      <c r="C808">
        <v>10</v>
      </c>
      <c r="D808">
        <v>2</v>
      </c>
      <c r="E808" t="s">
        <v>152</v>
      </c>
      <c r="F808" t="s">
        <v>153</v>
      </c>
      <c r="G808" t="s">
        <v>154</v>
      </c>
      <c r="H808">
        <v>1526006514</v>
      </c>
      <c r="I808">
        <v>1000006797</v>
      </c>
      <c r="L808" t="s">
        <v>348</v>
      </c>
      <c r="M808">
        <v>5100001666</v>
      </c>
      <c r="N808" t="s">
        <v>155</v>
      </c>
      <c r="O808" t="s">
        <v>156</v>
      </c>
      <c r="P808">
        <v>4110027035</v>
      </c>
      <c r="Q808" t="s">
        <v>225</v>
      </c>
      <c r="R808">
        <v>5000</v>
      </c>
      <c r="S808" t="s">
        <v>166</v>
      </c>
      <c r="V808" t="s">
        <v>167</v>
      </c>
      <c r="W808">
        <v>1502020105</v>
      </c>
      <c r="X808" t="s">
        <v>226</v>
      </c>
      <c r="Y808" t="str">
        <f>VLOOKUP(W808,Sheet4!$A$5:$B$71,2,0)</f>
        <v>RE STYLING</v>
      </c>
      <c r="Z808">
        <v>87082900</v>
      </c>
      <c r="AA808">
        <v>15</v>
      </c>
      <c r="AB808" t="s">
        <v>159</v>
      </c>
      <c r="AC808" s="24">
        <v>6570.77</v>
      </c>
      <c r="AD808" t="s">
        <v>160</v>
      </c>
      <c r="AE808" s="24">
        <v>98561.55</v>
      </c>
      <c r="AF808">
        <v>0</v>
      </c>
      <c r="AG808" s="24">
        <v>98561.55</v>
      </c>
      <c r="AH808">
        <v>0</v>
      </c>
      <c r="AI808">
        <v>0</v>
      </c>
      <c r="AJ808">
        <v>0</v>
      </c>
      <c r="AK808">
        <v>0</v>
      </c>
      <c r="AL808" s="24">
        <v>98561.55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 s="24">
        <v>98561.55</v>
      </c>
      <c r="AV808">
        <v>0</v>
      </c>
      <c r="AW808">
        <v>0</v>
      </c>
      <c r="AX808">
        <v>311000</v>
      </c>
      <c r="AY808" t="s">
        <v>161</v>
      </c>
      <c r="AZ808">
        <v>49.75</v>
      </c>
      <c r="BA808">
        <v>49.75</v>
      </c>
      <c r="BB808">
        <v>0</v>
      </c>
      <c r="BC808" t="s">
        <v>227</v>
      </c>
      <c r="BD808">
        <v>1509</v>
      </c>
      <c r="BE808" t="s">
        <v>169</v>
      </c>
      <c r="BF808" t="s">
        <v>163</v>
      </c>
      <c r="BG808" t="s">
        <v>164</v>
      </c>
    </row>
    <row r="809" spans="1:59">
      <c r="A809">
        <v>1115</v>
      </c>
      <c r="B809">
        <v>1115</v>
      </c>
      <c r="C809">
        <v>10</v>
      </c>
      <c r="D809">
        <v>2</v>
      </c>
      <c r="E809" t="s">
        <v>152</v>
      </c>
      <c r="F809" t="s">
        <v>153</v>
      </c>
      <c r="G809" t="s">
        <v>154</v>
      </c>
      <c r="H809">
        <v>1526006513</v>
      </c>
      <c r="I809">
        <v>1000006796</v>
      </c>
      <c r="L809" t="s">
        <v>348</v>
      </c>
      <c r="M809">
        <v>5100001924</v>
      </c>
      <c r="N809" t="s">
        <v>155</v>
      </c>
      <c r="O809" t="s">
        <v>156</v>
      </c>
      <c r="P809">
        <v>4110055642</v>
      </c>
      <c r="Q809" t="s">
        <v>199</v>
      </c>
      <c r="R809">
        <v>5000</v>
      </c>
      <c r="S809" t="s">
        <v>166</v>
      </c>
      <c r="V809" t="s">
        <v>167</v>
      </c>
      <c r="W809">
        <v>1502040314</v>
      </c>
      <c r="X809" t="s">
        <v>248</v>
      </c>
      <c r="Y809" t="str">
        <f>VLOOKUP(W809,Sheet4!$A$5:$B$71,2,0)</f>
        <v>Re Side Door</v>
      </c>
      <c r="Z809">
        <v>87082900</v>
      </c>
      <c r="AA809">
        <v>120</v>
      </c>
      <c r="AB809" t="s">
        <v>159</v>
      </c>
      <c r="AC809">
        <v>504.46</v>
      </c>
      <c r="AD809" t="s">
        <v>160</v>
      </c>
      <c r="AE809" s="24">
        <v>60535.199999999997</v>
      </c>
      <c r="AF809">
        <v>0</v>
      </c>
      <c r="AG809" s="24">
        <v>60535.199999999997</v>
      </c>
      <c r="AH809">
        <v>0</v>
      </c>
      <c r="AI809">
        <v>0</v>
      </c>
      <c r="AJ809">
        <v>0</v>
      </c>
      <c r="AK809">
        <v>0</v>
      </c>
      <c r="AL809" s="24">
        <v>60535.199999999997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 s="24">
        <v>60535.199999999997</v>
      </c>
      <c r="AV809">
        <v>0</v>
      </c>
      <c r="AW809">
        <v>0</v>
      </c>
      <c r="AX809">
        <v>311000</v>
      </c>
      <c r="AY809" t="s">
        <v>161</v>
      </c>
      <c r="AZ809">
        <v>2.27</v>
      </c>
      <c r="BA809">
        <v>2.27</v>
      </c>
      <c r="BB809">
        <v>0</v>
      </c>
      <c r="BC809" t="s">
        <v>249</v>
      </c>
      <c r="BD809">
        <v>1511</v>
      </c>
      <c r="BE809" t="s">
        <v>174</v>
      </c>
      <c r="BF809" t="s">
        <v>163</v>
      </c>
      <c r="BG809" t="s">
        <v>164</v>
      </c>
    </row>
    <row r="810" spans="1:59">
      <c r="A810">
        <v>1115</v>
      </c>
      <c r="B810">
        <v>1115</v>
      </c>
      <c r="C810">
        <v>10</v>
      </c>
      <c r="D810">
        <v>2</v>
      </c>
      <c r="E810" t="s">
        <v>152</v>
      </c>
      <c r="F810" t="s">
        <v>153</v>
      </c>
      <c r="G810" t="s">
        <v>154</v>
      </c>
      <c r="H810">
        <v>1526006511</v>
      </c>
      <c r="I810">
        <v>1000006794</v>
      </c>
      <c r="L810" t="s">
        <v>348</v>
      </c>
      <c r="M810">
        <v>5100001924</v>
      </c>
      <c r="N810" t="s">
        <v>155</v>
      </c>
      <c r="O810" t="s">
        <v>156</v>
      </c>
      <c r="P810">
        <v>4110055642</v>
      </c>
      <c r="Q810" t="s">
        <v>199</v>
      </c>
      <c r="R810">
        <v>5000</v>
      </c>
      <c r="S810" t="s">
        <v>166</v>
      </c>
      <c r="V810" t="s">
        <v>167</v>
      </c>
      <c r="W810">
        <v>1502040313</v>
      </c>
      <c r="X810" t="s">
        <v>246</v>
      </c>
      <c r="Y810" t="str">
        <f>VLOOKUP(W810,Sheet4!$A$5:$B$71,2,0)</f>
        <v>Re Side Door</v>
      </c>
      <c r="Z810">
        <v>87082900</v>
      </c>
      <c r="AA810">
        <v>120</v>
      </c>
      <c r="AB810" t="s">
        <v>159</v>
      </c>
      <c r="AC810">
        <v>504.46</v>
      </c>
      <c r="AD810" t="s">
        <v>160</v>
      </c>
      <c r="AE810" s="24">
        <v>60535.199999999997</v>
      </c>
      <c r="AF810">
        <v>0</v>
      </c>
      <c r="AG810" s="24">
        <v>60535.199999999997</v>
      </c>
      <c r="AH810">
        <v>0</v>
      </c>
      <c r="AI810">
        <v>0</v>
      </c>
      <c r="AJ810">
        <v>0</v>
      </c>
      <c r="AK810">
        <v>0</v>
      </c>
      <c r="AL810" s="24">
        <v>60535.199999999997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 s="24">
        <v>60535.199999999997</v>
      </c>
      <c r="AV810">
        <v>0</v>
      </c>
      <c r="AW810">
        <v>0</v>
      </c>
      <c r="AX810">
        <v>311000</v>
      </c>
      <c r="AY810" t="s">
        <v>161</v>
      </c>
      <c r="AZ810">
        <v>2.27</v>
      </c>
      <c r="BA810">
        <v>2.27</v>
      </c>
      <c r="BB810">
        <v>0</v>
      </c>
      <c r="BC810" t="s">
        <v>247</v>
      </c>
      <c r="BD810">
        <v>1511</v>
      </c>
      <c r="BE810" t="s">
        <v>174</v>
      </c>
      <c r="BF810" t="s">
        <v>163</v>
      </c>
      <c r="BG810" t="s">
        <v>164</v>
      </c>
    </row>
    <row r="811" spans="1:59">
      <c r="A811">
        <v>1115</v>
      </c>
      <c r="B811">
        <v>1115</v>
      </c>
      <c r="C811">
        <v>10</v>
      </c>
      <c r="D811">
        <v>2</v>
      </c>
      <c r="E811" t="s">
        <v>152</v>
      </c>
      <c r="F811" t="s">
        <v>153</v>
      </c>
      <c r="G811" t="s">
        <v>154</v>
      </c>
      <c r="H811">
        <v>1526006504</v>
      </c>
      <c r="I811">
        <v>1000006788</v>
      </c>
      <c r="L811" t="s">
        <v>348</v>
      </c>
      <c r="M811">
        <v>5100001949</v>
      </c>
      <c r="N811" t="s">
        <v>155</v>
      </c>
      <c r="O811" t="s">
        <v>156</v>
      </c>
      <c r="P811">
        <v>4110063766</v>
      </c>
      <c r="Q811" t="s">
        <v>252</v>
      </c>
      <c r="R811">
        <v>5000</v>
      </c>
      <c r="S811" t="s">
        <v>166</v>
      </c>
      <c r="V811" t="s">
        <v>167</v>
      </c>
      <c r="W811">
        <v>1502040322</v>
      </c>
      <c r="X811" t="s">
        <v>250</v>
      </c>
      <c r="Y811" t="str">
        <f>VLOOKUP(W811,Sheet4!$A$5:$B$71,2,0)</f>
        <v>DASH BOARD</v>
      </c>
      <c r="Z811">
        <v>87082900</v>
      </c>
      <c r="AA811">
        <v>120</v>
      </c>
      <c r="AB811" t="s">
        <v>159</v>
      </c>
      <c r="AC811">
        <v>291.27999999999997</v>
      </c>
      <c r="AD811" t="s">
        <v>160</v>
      </c>
      <c r="AE811" s="24">
        <v>34953.599999999999</v>
      </c>
      <c r="AF811">
        <v>0</v>
      </c>
      <c r="AG811" s="24">
        <v>34953.599999999999</v>
      </c>
      <c r="AH811">
        <v>0</v>
      </c>
      <c r="AI811">
        <v>0</v>
      </c>
      <c r="AJ811">
        <v>0</v>
      </c>
      <c r="AK811">
        <v>0</v>
      </c>
      <c r="AL811" s="24">
        <v>34953.599999999999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 s="24">
        <v>34953.599999999999</v>
      </c>
      <c r="AV811">
        <v>0</v>
      </c>
      <c r="AW811">
        <v>0</v>
      </c>
      <c r="AX811">
        <v>311000</v>
      </c>
      <c r="AY811" t="s">
        <v>161</v>
      </c>
      <c r="AZ811">
        <v>2.37</v>
      </c>
      <c r="BA811">
        <v>2.37</v>
      </c>
      <c r="BB811">
        <v>0</v>
      </c>
      <c r="BC811" t="s">
        <v>251</v>
      </c>
      <c r="BD811">
        <v>1511</v>
      </c>
      <c r="BE811" t="s">
        <v>174</v>
      </c>
      <c r="BF811" t="s">
        <v>163</v>
      </c>
      <c r="BG811" t="s">
        <v>164</v>
      </c>
    </row>
    <row r="812" spans="1:59">
      <c r="A812">
        <v>1115</v>
      </c>
      <c r="B812">
        <v>1115</v>
      </c>
      <c r="C812">
        <v>10</v>
      </c>
      <c r="D812">
        <v>2</v>
      </c>
      <c r="E812" t="s">
        <v>152</v>
      </c>
      <c r="F812" t="s">
        <v>153</v>
      </c>
      <c r="G812" t="s">
        <v>154</v>
      </c>
      <c r="H812">
        <v>1526006503</v>
      </c>
      <c r="I812">
        <v>1000006787</v>
      </c>
      <c r="L812" t="s">
        <v>348</v>
      </c>
      <c r="M812">
        <v>5100001899</v>
      </c>
      <c r="N812" t="s">
        <v>155</v>
      </c>
      <c r="O812" t="s">
        <v>156</v>
      </c>
      <c r="P812">
        <v>4110041854</v>
      </c>
      <c r="Q812" t="s">
        <v>172</v>
      </c>
      <c r="R812">
        <v>5000</v>
      </c>
      <c r="S812" t="s">
        <v>166</v>
      </c>
      <c r="V812" t="s">
        <v>167</v>
      </c>
      <c r="W812">
        <v>1502040267</v>
      </c>
      <c r="X812" t="s">
        <v>63</v>
      </c>
      <c r="Y812" t="str">
        <f>VLOOKUP(W812,Sheet4!$A$5:$B$71,2,0)</f>
        <v>DASH BOARD</v>
      </c>
      <c r="Z812">
        <v>87082900</v>
      </c>
      <c r="AA812">
        <v>384</v>
      </c>
      <c r="AB812" t="s">
        <v>159</v>
      </c>
      <c r="AC812">
        <v>290.89999999999998</v>
      </c>
      <c r="AD812" t="s">
        <v>160</v>
      </c>
      <c r="AE812" s="24">
        <v>111705.60000000001</v>
      </c>
      <c r="AF812">
        <v>0</v>
      </c>
      <c r="AG812" s="24">
        <v>111705.60000000001</v>
      </c>
      <c r="AH812">
        <v>0</v>
      </c>
      <c r="AI812">
        <v>0</v>
      </c>
      <c r="AJ812">
        <v>0</v>
      </c>
      <c r="AK812">
        <v>0</v>
      </c>
      <c r="AL812" s="24">
        <v>111705.60000000001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 s="24">
        <v>111705.60000000001</v>
      </c>
      <c r="AV812">
        <v>0</v>
      </c>
      <c r="AW812">
        <v>0</v>
      </c>
      <c r="AX812">
        <v>311000</v>
      </c>
      <c r="AY812" t="s">
        <v>161</v>
      </c>
      <c r="AZ812">
        <v>4.5</v>
      </c>
      <c r="BA812">
        <v>4.5</v>
      </c>
      <c r="BB812">
        <v>0</v>
      </c>
      <c r="BC812" t="s">
        <v>173</v>
      </c>
      <c r="BD812">
        <v>1511</v>
      </c>
      <c r="BE812" t="s">
        <v>174</v>
      </c>
      <c r="BF812" t="s">
        <v>163</v>
      </c>
      <c r="BG812" t="s">
        <v>164</v>
      </c>
    </row>
    <row r="813" spans="1:59">
      <c r="A813">
        <v>1115</v>
      </c>
      <c r="B813">
        <v>1115</v>
      </c>
      <c r="C813">
        <v>10</v>
      </c>
      <c r="D813">
        <v>2</v>
      </c>
      <c r="E813" t="s">
        <v>152</v>
      </c>
      <c r="F813" t="s">
        <v>153</v>
      </c>
      <c r="G813" t="s">
        <v>154</v>
      </c>
      <c r="H813">
        <v>1526006502</v>
      </c>
      <c r="I813">
        <v>1000006784</v>
      </c>
      <c r="L813" t="s">
        <v>348</v>
      </c>
      <c r="M813">
        <v>5100001666</v>
      </c>
      <c r="N813" t="s">
        <v>155</v>
      </c>
      <c r="O813" t="s">
        <v>156</v>
      </c>
      <c r="P813">
        <v>4110027035</v>
      </c>
      <c r="Q813" t="s">
        <v>225</v>
      </c>
      <c r="R813">
        <v>5000</v>
      </c>
      <c r="S813" t="s">
        <v>166</v>
      </c>
      <c r="V813" t="s">
        <v>167</v>
      </c>
      <c r="W813">
        <v>1502020105</v>
      </c>
      <c r="X813" t="s">
        <v>226</v>
      </c>
      <c r="Y813" t="str">
        <f>VLOOKUP(W813,Sheet4!$A$5:$B$71,2,0)</f>
        <v>RE STYLING</v>
      </c>
      <c r="Z813">
        <v>87082900</v>
      </c>
      <c r="AA813">
        <v>15</v>
      </c>
      <c r="AB813" t="s">
        <v>159</v>
      </c>
      <c r="AC813" s="24">
        <v>6570.77</v>
      </c>
      <c r="AD813" t="s">
        <v>160</v>
      </c>
      <c r="AE813" s="24">
        <v>98561.55</v>
      </c>
      <c r="AF813">
        <v>0</v>
      </c>
      <c r="AG813" s="24">
        <v>98561.55</v>
      </c>
      <c r="AH813">
        <v>0</v>
      </c>
      <c r="AI813">
        <v>0</v>
      </c>
      <c r="AJ813">
        <v>0</v>
      </c>
      <c r="AK813">
        <v>0</v>
      </c>
      <c r="AL813" s="24">
        <v>98561.55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 s="24">
        <v>98561.55</v>
      </c>
      <c r="AV813">
        <v>0</v>
      </c>
      <c r="AW813">
        <v>0</v>
      </c>
      <c r="AX813">
        <v>311000</v>
      </c>
      <c r="AY813" t="s">
        <v>161</v>
      </c>
      <c r="AZ813">
        <v>49.75</v>
      </c>
      <c r="BA813">
        <v>49.75</v>
      </c>
      <c r="BB813">
        <v>0</v>
      </c>
      <c r="BC813" t="s">
        <v>227</v>
      </c>
      <c r="BD813">
        <v>1509</v>
      </c>
      <c r="BE813" t="s">
        <v>169</v>
      </c>
      <c r="BF813" t="s">
        <v>163</v>
      </c>
      <c r="BG813" t="s">
        <v>164</v>
      </c>
    </row>
    <row r="814" spans="1:59">
      <c r="A814">
        <v>1115</v>
      </c>
      <c r="B814">
        <v>1115</v>
      </c>
      <c r="C814">
        <v>10</v>
      </c>
      <c r="D814">
        <v>2</v>
      </c>
      <c r="E814" t="s">
        <v>152</v>
      </c>
      <c r="F814" t="s">
        <v>153</v>
      </c>
      <c r="G814" t="s">
        <v>154</v>
      </c>
      <c r="H814">
        <v>1526006501</v>
      </c>
      <c r="I814">
        <v>1000006783</v>
      </c>
      <c r="L814" t="s">
        <v>348</v>
      </c>
      <c r="M814">
        <v>5100001666</v>
      </c>
      <c r="N814" t="s">
        <v>155</v>
      </c>
      <c r="O814" t="s">
        <v>156</v>
      </c>
      <c r="P814">
        <v>4110027035</v>
      </c>
      <c r="Q814" t="s">
        <v>225</v>
      </c>
      <c r="R814">
        <v>5000</v>
      </c>
      <c r="S814" t="s">
        <v>166</v>
      </c>
      <c r="V814" t="s">
        <v>167</v>
      </c>
      <c r="W814">
        <v>1502020105</v>
      </c>
      <c r="X814" t="s">
        <v>226</v>
      </c>
      <c r="Y814" t="str">
        <f>VLOOKUP(W814,Sheet4!$A$5:$B$71,2,0)</f>
        <v>RE STYLING</v>
      </c>
      <c r="Z814">
        <v>87082900</v>
      </c>
      <c r="AA814">
        <v>15</v>
      </c>
      <c r="AB814" t="s">
        <v>159</v>
      </c>
      <c r="AC814" s="24">
        <v>6570.77</v>
      </c>
      <c r="AD814" t="s">
        <v>160</v>
      </c>
      <c r="AE814" s="24">
        <v>98561.55</v>
      </c>
      <c r="AF814">
        <v>0</v>
      </c>
      <c r="AG814" s="24">
        <v>98561.55</v>
      </c>
      <c r="AH814">
        <v>0</v>
      </c>
      <c r="AI814">
        <v>0</v>
      </c>
      <c r="AJ814">
        <v>0</v>
      </c>
      <c r="AK814">
        <v>0</v>
      </c>
      <c r="AL814" s="24">
        <v>98561.55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 s="24">
        <v>98561.55</v>
      </c>
      <c r="AV814">
        <v>0</v>
      </c>
      <c r="AW814">
        <v>0</v>
      </c>
      <c r="AX814">
        <v>311000</v>
      </c>
      <c r="AY814" t="s">
        <v>161</v>
      </c>
      <c r="AZ814">
        <v>49.75</v>
      </c>
      <c r="BA814">
        <v>49.75</v>
      </c>
      <c r="BB814">
        <v>0</v>
      </c>
      <c r="BC814" t="s">
        <v>227</v>
      </c>
      <c r="BD814">
        <v>1509</v>
      </c>
      <c r="BE814" t="s">
        <v>169</v>
      </c>
      <c r="BF814" t="s">
        <v>163</v>
      </c>
      <c r="BG814" t="s">
        <v>164</v>
      </c>
    </row>
    <row r="815" spans="1:59">
      <c r="A815">
        <v>1115</v>
      </c>
      <c r="B815">
        <v>1115</v>
      </c>
      <c r="C815">
        <v>10</v>
      </c>
      <c r="D815">
        <v>2</v>
      </c>
      <c r="E815" t="s">
        <v>152</v>
      </c>
      <c r="F815" t="s">
        <v>153</v>
      </c>
      <c r="G815" t="s">
        <v>154</v>
      </c>
      <c r="H815">
        <v>1526006500</v>
      </c>
      <c r="I815">
        <v>1000006782</v>
      </c>
      <c r="L815" t="s">
        <v>348</v>
      </c>
      <c r="M815">
        <v>5100001666</v>
      </c>
      <c r="N815" t="s">
        <v>155</v>
      </c>
      <c r="O815" t="s">
        <v>156</v>
      </c>
      <c r="P815">
        <v>4110027035</v>
      </c>
      <c r="Q815" t="s">
        <v>225</v>
      </c>
      <c r="R815">
        <v>5000</v>
      </c>
      <c r="S815" t="s">
        <v>166</v>
      </c>
      <c r="V815" t="s">
        <v>167</v>
      </c>
      <c r="W815">
        <v>1502020105</v>
      </c>
      <c r="X815" t="s">
        <v>226</v>
      </c>
      <c r="Y815" t="str">
        <f>VLOOKUP(W815,Sheet4!$A$5:$B$71,2,0)</f>
        <v>RE STYLING</v>
      </c>
      <c r="Z815">
        <v>87082900</v>
      </c>
      <c r="AA815">
        <v>15</v>
      </c>
      <c r="AB815" t="s">
        <v>159</v>
      </c>
      <c r="AC815" s="24">
        <v>6570.77</v>
      </c>
      <c r="AD815" t="s">
        <v>160</v>
      </c>
      <c r="AE815" s="24">
        <v>98561.55</v>
      </c>
      <c r="AF815">
        <v>0</v>
      </c>
      <c r="AG815" s="24">
        <v>98561.55</v>
      </c>
      <c r="AH815">
        <v>0</v>
      </c>
      <c r="AI815">
        <v>0</v>
      </c>
      <c r="AJ815">
        <v>0</v>
      </c>
      <c r="AK815">
        <v>0</v>
      </c>
      <c r="AL815" s="24">
        <v>98561.55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 s="24">
        <v>98561.55</v>
      </c>
      <c r="AV815">
        <v>0</v>
      </c>
      <c r="AW815">
        <v>0</v>
      </c>
      <c r="AX815">
        <v>311000</v>
      </c>
      <c r="AY815" t="s">
        <v>161</v>
      </c>
      <c r="AZ815">
        <v>49.75</v>
      </c>
      <c r="BA815">
        <v>49.75</v>
      </c>
      <c r="BB815">
        <v>0</v>
      </c>
      <c r="BC815" t="s">
        <v>227</v>
      </c>
      <c r="BD815">
        <v>1509</v>
      </c>
      <c r="BE815" t="s">
        <v>169</v>
      </c>
      <c r="BF815" t="s">
        <v>163</v>
      </c>
      <c r="BG815" t="s">
        <v>164</v>
      </c>
    </row>
    <row r="816" spans="1:59">
      <c r="A816">
        <v>1115</v>
      </c>
      <c r="B816">
        <v>1115</v>
      </c>
      <c r="C816">
        <v>10</v>
      </c>
      <c r="D816">
        <v>2</v>
      </c>
      <c r="E816" t="s">
        <v>152</v>
      </c>
      <c r="F816" t="s">
        <v>153</v>
      </c>
      <c r="G816" t="s">
        <v>154</v>
      </c>
      <c r="H816">
        <v>1526006499</v>
      </c>
      <c r="I816">
        <v>1000006780</v>
      </c>
      <c r="L816" t="s">
        <v>348</v>
      </c>
      <c r="M816">
        <v>5100001928</v>
      </c>
      <c r="N816" t="s">
        <v>155</v>
      </c>
      <c r="O816" t="s">
        <v>156</v>
      </c>
      <c r="P816">
        <v>4110057393</v>
      </c>
      <c r="Q816" t="s">
        <v>192</v>
      </c>
      <c r="R816">
        <v>5000</v>
      </c>
      <c r="S816" t="s">
        <v>166</v>
      </c>
      <c r="V816" t="s">
        <v>167</v>
      </c>
      <c r="W816">
        <v>1502020122</v>
      </c>
      <c r="X816" t="s">
        <v>70</v>
      </c>
      <c r="Y816" t="str">
        <f>VLOOKUP(W816,Sheet4!$A$5:$B$71,2,0)</f>
        <v>MAX UG NEW EV</v>
      </c>
      <c r="Z816">
        <v>87082900</v>
      </c>
      <c r="AA816">
        <v>10</v>
      </c>
      <c r="AB816" t="s">
        <v>159</v>
      </c>
      <c r="AC816" s="24">
        <v>9566.51</v>
      </c>
      <c r="AD816" t="s">
        <v>160</v>
      </c>
      <c r="AE816" s="24">
        <v>95665.1</v>
      </c>
      <c r="AF816">
        <v>0</v>
      </c>
      <c r="AG816" s="24">
        <v>95665.1</v>
      </c>
      <c r="AH816">
        <v>0</v>
      </c>
      <c r="AI816">
        <v>0</v>
      </c>
      <c r="AJ816">
        <v>0</v>
      </c>
      <c r="AK816">
        <v>0</v>
      </c>
      <c r="AL816" s="24">
        <v>95665.1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 s="24">
        <v>95665.1</v>
      </c>
      <c r="AV816">
        <v>0</v>
      </c>
      <c r="AW816">
        <v>0</v>
      </c>
      <c r="AX816">
        <v>311000</v>
      </c>
      <c r="AY816" t="s">
        <v>161</v>
      </c>
      <c r="AZ816">
        <v>0</v>
      </c>
      <c r="BA816">
        <v>61</v>
      </c>
      <c r="BB816">
        <v>-61</v>
      </c>
      <c r="BC816" t="s">
        <v>193</v>
      </c>
      <c r="BD816">
        <v>1509</v>
      </c>
      <c r="BE816" t="s">
        <v>169</v>
      </c>
      <c r="BF816" t="s">
        <v>163</v>
      </c>
      <c r="BG816" t="s">
        <v>164</v>
      </c>
    </row>
    <row r="817" spans="1:59">
      <c r="A817">
        <v>1115</v>
      </c>
      <c r="B817">
        <v>1115</v>
      </c>
      <c r="C817">
        <v>10</v>
      </c>
      <c r="D817">
        <v>2</v>
      </c>
      <c r="E817" t="s">
        <v>152</v>
      </c>
      <c r="F817" t="s">
        <v>153</v>
      </c>
      <c r="G817" t="s">
        <v>154</v>
      </c>
      <c r="H817">
        <v>1526006498</v>
      </c>
      <c r="I817">
        <v>1000006779</v>
      </c>
      <c r="L817" t="s">
        <v>348</v>
      </c>
      <c r="M817">
        <v>5100001928</v>
      </c>
      <c r="N817" t="s">
        <v>155</v>
      </c>
      <c r="O817" t="s">
        <v>156</v>
      </c>
      <c r="P817">
        <v>4110057393</v>
      </c>
      <c r="Q817" t="s">
        <v>192</v>
      </c>
      <c r="R817">
        <v>5000</v>
      </c>
      <c r="S817" t="s">
        <v>166</v>
      </c>
      <c r="V817" t="s">
        <v>167</v>
      </c>
      <c r="W817">
        <v>1502020122</v>
      </c>
      <c r="X817" t="s">
        <v>70</v>
      </c>
      <c r="Y817" t="str">
        <f>VLOOKUP(W817,Sheet4!$A$5:$B$71,2,0)</f>
        <v>MAX UG NEW EV</v>
      </c>
      <c r="Z817">
        <v>87082900</v>
      </c>
      <c r="AA817">
        <v>10</v>
      </c>
      <c r="AB817" t="s">
        <v>159</v>
      </c>
      <c r="AC817" s="24">
        <v>9566.51</v>
      </c>
      <c r="AD817" t="s">
        <v>160</v>
      </c>
      <c r="AE817" s="24">
        <v>95665.1</v>
      </c>
      <c r="AF817">
        <v>0</v>
      </c>
      <c r="AG817" s="24">
        <v>95665.1</v>
      </c>
      <c r="AH817">
        <v>0</v>
      </c>
      <c r="AI817">
        <v>0</v>
      </c>
      <c r="AJ817">
        <v>0</v>
      </c>
      <c r="AK817">
        <v>0</v>
      </c>
      <c r="AL817" s="24">
        <v>95665.1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 s="24">
        <v>95665.1</v>
      </c>
      <c r="AV817">
        <v>0</v>
      </c>
      <c r="AW817">
        <v>0</v>
      </c>
      <c r="AX817">
        <v>311000</v>
      </c>
      <c r="AY817" t="s">
        <v>161</v>
      </c>
      <c r="AZ817">
        <v>0</v>
      </c>
      <c r="BA817">
        <v>61</v>
      </c>
      <c r="BB817">
        <v>-61</v>
      </c>
      <c r="BC817" t="s">
        <v>193</v>
      </c>
      <c r="BD817">
        <v>1509</v>
      </c>
      <c r="BE817" t="s">
        <v>169</v>
      </c>
      <c r="BF817" t="s">
        <v>163</v>
      </c>
      <c r="BG817" t="s">
        <v>164</v>
      </c>
    </row>
    <row r="818" spans="1:59">
      <c r="A818">
        <v>1115</v>
      </c>
      <c r="B818">
        <v>1115</v>
      </c>
      <c r="C818">
        <v>10</v>
      </c>
      <c r="D818">
        <v>2</v>
      </c>
      <c r="E818" t="s">
        <v>152</v>
      </c>
      <c r="F818" t="s">
        <v>153</v>
      </c>
      <c r="G818" t="s">
        <v>154</v>
      </c>
      <c r="H818">
        <v>1526006497</v>
      </c>
      <c r="I818">
        <v>1000006778</v>
      </c>
      <c r="L818" t="s">
        <v>348</v>
      </c>
      <c r="M818">
        <v>5100001928</v>
      </c>
      <c r="N818" t="s">
        <v>155</v>
      </c>
      <c r="O818" t="s">
        <v>156</v>
      </c>
      <c r="P818">
        <v>4110057393</v>
      </c>
      <c r="Q818" t="s">
        <v>192</v>
      </c>
      <c r="R818">
        <v>5000</v>
      </c>
      <c r="S818" t="s">
        <v>166</v>
      </c>
      <c r="V818" t="s">
        <v>167</v>
      </c>
      <c r="W818">
        <v>1502020122</v>
      </c>
      <c r="X818" t="s">
        <v>70</v>
      </c>
      <c r="Y818" t="str">
        <f>VLOOKUP(W818,Sheet4!$A$5:$B$71,2,0)</f>
        <v>MAX UG NEW EV</v>
      </c>
      <c r="Z818">
        <v>87082900</v>
      </c>
      <c r="AA818">
        <v>10</v>
      </c>
      <c r="AB818" t="s">
        <v>159</v>
      </c>
      <c r="AC818" s="24">
        <v>9566.51</v>
      </c>
      <c r="AD818" t="s">
        <v>160</v>
      </c>
      <c r="AE818" s="24">
        <v>95665.1</v>
      </c>
      <c r="AF818">
        <v>0</v>
      </c>
      <c r="AG818" s="24">
        <v>95665.1</v>
      </c>
      <c r="AH818">
        <v>0</v>
      </c>
      <c r="AI818">
        <v>0</v>
      </c>
      <c r="AJ818">
        <v>0</v>
      </c>
      <c r="AK818">
        <v>0</v>
      </c>
      <c r="AL818" s="24">
        <v>95665.1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 s="24">
        <v>95665.1</v>
      </c>
      <c r="AV818">
        <v>0</v>
      </c>
      <c r="AW818">
        <v>0</v>
      </c>
      <c r="AX818">
        <v>311000</v>
      </c>
      <c r="AY818" t="s">
        <v>161</v>
      </c>
      <c r="AZ818">
        <v>0</v>
      </c>
      <c r="BA818">
        <v>61</v>
      </c>
      <c r="BB818">
        <v>-61</v>
      </c>
      <c r="BC818" t="s">
        <v>193</v>
      </c>
      <c r="BD818">
        <v>1509</v>
      </c>
      <c r="BE818" t="s">
        <v>169</v>
      </c>
      <c r="BF818" t="s">
        <v>163</v>
      </c>
      <c r="BG818" t="s">
        <v>164</v>
      </c>
    </row>
    <row r="819" spans="1:59">
      <c r="A819">
        <v>1115</v>
      </c>
      <c r="B819">
        <v>1115</v>
      </c>
      <c r="C819">
        <v>10</v>
      </c>
      <c r="D819">
        <v>2</v>
      </c>
      <c r="E819" t="s">
        <v>152</v>
      </c>
      <c r="F819" t="s">
        <v>153</v>
      </c>
      <c r="G819" t="s">
        <v>154</v>
      </c>
      <c r="H819">
        <v>1526006496</v>
      </c>
      <c r="I819">
        <v>1000006777</v>
      </c>
      <c r="L819" t="s">
        <v>348</v>
      </c>
      <c r="M819">
        <v>5100001928</v>
      </c>
      <c r="N819" t="s">
        <v>155</v>
      </c>
      <c r="O819" t="s">
        <v>156</v>
      </c>
      <c r="P819">
        <v>4110057393</v>
      </c>
      <c r="Q819" t="s">
        <v>192</v>
      </c>
      <c r="R819">
        <v>5000</v>
      </c>
      <c r="S819" t="s">
        <v>166</v>
      </c>
      <c r="V819" t="s">
        <v>167</v>
      </c>
      <c r="W819">
        <v>1502020122</v>
      </c>
      <c r="X819" t="s">
        <v>70</v>
      </c>
      <c r="Y819" t="str">
        <f>VLOOKUP(W819,Sheet4!$A$5:$B$71,2,0)</f>
        <v>MAX UG NEW EV</v>
      </c>
      <c r="Z819">
        <v>87082900</v>
      </c>
      <c r="AA819">
        <v>10</v>
      </c>
      <c r="AB819" t="s">
        <v>159</v>
      </c>
      <c r="AC819" s="24">
        <v>9566.51</v>
      </c>
      <c r="AD819" t="s">
        <v>160</v>
      </c>
      <c r="AE819" s="24">
        <v>95665.1</v>
      </c>
      <c r="AF819">
        <v>0</v>
      </c>
      <c r="AG819" s="24">
        <v>95665.1</v>
      </c>
      <c r="AH819">
        <v>0</v>
      </c>
      <c r="AI819">
        <v>0</v>
      </c>
      <c r="AJ819">
        <v>0</v>
      </c>
      <c r="AK819">
        <v>0</v>
      </c>
      <c r="AL819" s="24">
        <v>95665.1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 s="24">
        <v>95665.1</v>
      </c>
      <c r="AV819">
        <v>0</v>
      </c>
      <c r="AW819">
        <v>0</v>
      </c>
      <c r="AX819">
        <v>311000</v>
      </c>
      <c r="AY819" t="s">
        <v>161</v>
      </c>
      <c r="AZ819">
        <v>0</v>
      </c>
      <c r="BA819">
        <v>61</v>
      </c>
      <c r="BB819">
        <v>-61</v>
      </c>
      <c r="BC819" t="s">
        <v>193</v>
      </c>
      <c r="BD819">
        <v>1509</v>
      </c>
      <c r="BE819" t="s">
        <v>169</v>
      </c>
      <c r="BF819" t="s">
        <v>163</v>
      </c>
      <c r="BG819" t="s">
        <v>164</v>
      </c>
    </row>
    <row r="820" spans="1:59">
      <c r="A820">
        <v>1115</v>
      </c>
      <c r="B820">
        <v>1115</v>
      </c>
      <c r="C820">
        <v>10</v>
      </c>
      <c r="D820">
        <v>2</v>
      </c>
      <c r="E820" t="s">
        <v>152</v>
      </c>
      <c r="F820" t="s">
        <v>153</v>
      </c>
      <c r="G820" t="s">
        <v>154</v>
      </c>
      <c r="H820">
        <v>1526006495</v>
      </c>
      <c r="I820">
        <v>1000006776</v>
      </c>
      <c r="L820" t="s">
        <v>348</v>
      </c>
      <c r="M820">
        <v>5100001928</v>
      </c>
      <c r="N820" t="s">
        <v>155</v>
      </c>
      <c r="O820" t="s">
        <v>156</v>
      </c>
      <c r="P820">
        <v>4110057393</v>
      </c>
      <c r="Q820" t="s">
        <v>192</v>
      </c>
      <c r="R820">
        <v>5000</v>
      </c>
      <c r="S820" t="s">
        <v>166</v>
      </c>
      <c r="V820" t="s">
        <v>167</v>
      </c>
      <c r="W820">
        <v>1502020122</v>
      </c>
      <c r="X820" t="s">
        <v>70</v>
      </c>
      <c r="Y820" t="str">
        <f>VLOOKUP(W820,Sheet4!$A$5:$B$71,2,0)</f>
        <v>MAX UG NEW EV</v>
      </c>
      <c r="Z820">
        <v>87082900</v>
      </c>
      <c r="AA820">
        <v>10</v>
      </c>
      <c r="AB820" t="s">
        <v>159</v>
      </c>
      <c r="AC820" s="24">
        <v>9566.51</v>
      </c>
      <c r="AD820" t="s">
        <v>160</v>
      </c>
      <c r="AE820" s="24">
        <v>95665.1</v>
      </c>
      <c r="AF820">
        <v>0</v>
      </c>
      <c r="AG820" s="24">
        <v>95665.1</v>
      </c>
      <c r="AH820">
        <v>0</v>
      </c>
      <c r="AI820">
        <v>0</v>
      </c>
      <c r="AJ820">
        <v>0</v>
      </c>
      <c r="AK820">
        <v>0</v>
      </c>
      <c r="AL820" s="24">
        <v>95665.1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 s="24">
        <v>95665.1</v>
      </c>
      <c r="AV820">
        <v>0</v>
      </c>
      <c r="AW820">
        <v>0</v>
      </c>
      <c r="AX820">
        <v>311000</v>
      </c>
      <c r="AY820" t="s">
        <v>161</v>
      </c>
      <c r="AZ820">
        <v>0</v>
      </c>
      <c r="BA820">
        <v>61</v>
      </c>
      <c r="BB820">
        <v>-61</v>
      </c>
      <c r="BC820" t="s">
        <v>193</v>
      </c>
      <c r="BD820">
        <v>1509</v>
      </c>
      <c r="BE820" t="s">
        <v>169</v>
      </c>
      <c r="BF820" t="s">
        <v>163</v>
      </c>
      <c r="BG820" t="s">
        <v>164</v>
      </c>
    </row>
    <row r="821" spans="1:59">
      <c r="A821">
        <v>1115</v>
      </c>
      <c r="B821">
        <v>1115</v>
      </c>
      <c r="C821">
        <v>10</v>
      </c>
      <c r="D821">
        <v>2</v>
      </c>
      <c r="E821" t="s">
        <v>152</v>
      </c>
      <c r="F821" t="s">
        <v>153</v>
      </c>
      <c r="G821" t="s">
        <v>154</v>
      </c>
      <c r="H821">
        <v>1526006494</v>
      </c>
      <c r="I821">
        <v>1000006775</v>
      </c>
      <c r="L821" t="s">
        <v>348</v>
      </c>
      <c r="M821">
        <v>5100001943</v>
      </c>
      <c r="N821" t="s">
        <v>155</v>
      </c>
      <c r="O821" t="s">
        <v>156</v>
      </c>
      <c r="P821">
        <v>4110061540</v>
      </c>
      <c r="Q821" t="s">
        <v>349</v>
      </c>
      <c r="R821">
        <v>5000</v>
      </c>
      <c r="S821" t="s">
        <v>166</v>
      </c>
      <c r="V821" t="s">
        <v>167</v>
      </c>
      <c r="W821">
        <v>1502020117</v>
      </c>
      <c r="X821" t="s">
        <v>210</v>
      </c>
      <c r="Y821" t="str">
        <f>VLOOKUP(W821,Sheet4!$A$5:$B$71,2,0)</f>
        <v>MAXIMA HD</v>
      </c>
      <c r="Z821">
        <v>87082900</v>
      </c>
      <c r="AA821">
        <v>8</v>
      </c>
      <c r="AB821" t="s">
        <v>159</v>
      </c>
      <c r="AC821" s="24">
        <v>8350.51</v>
      </c>
      <c r="AD821" t="s">
        <v>160</v>
      </c>
      <c r="AE821" s="24">
        <v>66804.08</v>
      </c>
      <c r="AF821">
        <v>0</v>
      </c>
      <c r="AG821" s="24">
        <v>66804.08</v>
      </c>
      <c r="AH821">
        <v>0</v>
      </c>
      <c r="AI821">
        <v>0</v>
      </c>
      <c r="AJ821">
        <v>0</v>
      </c>
      <c r="AK821">
        <v>0</v>
      </c>
      <c r="AL821" s="24">
        <v>66804.08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 s="24">
        <v>66804.08</v>
      </c>
      <c r="AV821">
        <v>0</v>
      </c>
      <c r="AW821">
        <v>0</v>
      </c>
      <c r="AX821">
        <v>311000</v>
      </c>
      <c r="AY821" t="s">
        <v>161</v>
      </c>
      <c r="AZ821">
        <v>63</v>
      </c>
      <c r="BA821">
        <v>63</v>
      </c>
      <c r="BB821">
        <v>0</v>
      </c>
      <c r="BC821" t="s">
        <v>350</v>
      </c>
      <c r="BD821">
        <v>1509</v>
      </c>
      <c r="BE821" t="s">
        <v>169</v>
      </c>
      <c r="BF821" t="s">
        <v>163</v>
      </c>
      <c r="BG821" t="s">
        <v>164</v>
      </c>
    </row>
    <row r="822" spans="1:59">
      <c r="A822">
        <v>1115</v>
      </c>
      <c r="B822">
        <v>1115</v>
      </c>
      <c r="C822">
        <v>10</v>
      </c>
      <c r="D822">
        <v>2</v>
      </c>
      <c r="E822" t="s">
        <v>152</v>
      </c>
      <c r="F822" t="s">
        <v>153</v>
      </c>
      <c r="G822" t="s">
        <v>154</v>
      </c>
      <c r="H822">
        <v>1526006493</v>
      </c>
      <c r="I822">
        <v>1000006774</v>
      </c>
      <c r="L822" t="s">
        <v>348</v>
      </c>
      <c r="M822">
        <v>5100001666</v>
      </c>
      <c r="N822" t="s">
        <v>155</v>
      </c>
      <c r="O822" t="s">
        <v>156</v>
      </c>
      <c r="P822">
        <v>4110027035</v>
      </c>
      <c r="Q822" t="s">
        <v>225</v>
      </c>
      <c r="R822">
        <v>5000</v>
      </c>
      <c r="S822" t="s">
        <v>166</v>
      </c>
      <c r="V822" t="s">
        <v>167</v>
      </c>
      <c r="W822">
        <v>1502020105</v>
      </c>
      <c r="X822" t="s">
        <v>226</v>
      </c>
      <c r="Y822" t="str">
        <f>VLOOKUP(W822,Sheet4!$A$5:$B$71,2,0)</f>
        <v>RE STYLING</v>
      </c>
      <c r="Z822">
        <v>87082900</v>
      </c>
      <c r="AA822">
        <v>15</v>
      </c>
      <c r="AB822" t="s">
        <v>159</v>
      </c>
      <c r="AC822" s="24">
        <v>6570.77</v>
      </c>
      <c r="AD822" t="s">
        <v>160</v>
      </c>
      <c r="AE822" s="24">
        <v>98561.55</v>
      </c>
      <c r="AF822">
        <v>0</v>
      </c>
      <c r="AG822" s="24">
        <v>98561.55</v>
      </c>
      <c r="AH822">
        <v>0</v>
      </c>
      <c r="AI822">
        <v>0</v>
      </c>
      <c r="AJ822">
        <v>0</v>
      </c>
      <c r="AK822">
        <v>0</v>
      </c>
      <c r="AL822" s="24">
        <v>98561.55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 s="24">
        <v>98561.55</v>
      </c>
      <c r="AV822">
        <v>0</v>
      </c>
      <c r="AW822">
        <v>0</v>
      </c>
      <c r="AX822">
        <v>311000</v>
      </c>
      <c r="AY822" t="s">
        <v>161</v>
      </c>
      <c r="AZ822">
        <v>49.75</v>
      </c>
      <c r="BA822">
        <v>49.75</v>
      </c>
      <c r="BB822">
        <v>0</v>
      </c>
      <c r="BC822" t="s">
        <v>227</v>
      </c>
      <c r="BD822">
        <v>1509</v>
      </c>
      <c r="BE822" t="s">
        <v>169</v>
      </c>
      <c r="BF822" t="s">
        <v>163</v>
      </c>
      <c r="BG822" t="s">
        <v>164</v>
      </c>
    </row>
    <row r="823" spans="1:59">
      <c r="A823">
        <v>1115</v>
      </c>
      <c r="B823">
        <v>1115</v>
      </c>
      <c r="C823">
        <v>10</v>
      </c>
      <c r="D823">
        <v>2</v>
      </c>
      <c r="E823" t="s">
        <v>152</v>
      </c>
      <c r="F823" t="s">
        <v>153</v>
      </c>
      <c r="G823" t="s">
        <v>154</v>
      </c>
      <c r="H823">
        <v>1526006492</v>
      </c>
      <c r="I823">
        <v>1000006773</v>
      </c>
      <c r="L823" t="s">
        <v>348</v>
      </c>
      <c r="M823">
        <v>5100001666</v>
      </c>
      <c r="N823" t="s">
        <v>155</v>
      </c>
      <c r="O823" t="s">
        <v>156</v>
      </c>
      <c r="P823">
        <v>4110027035</v>
      </c>
      <c r="Q823" t="s">
        <v>225</v>
      </c>
      <c r="R823">
        <v>5000</v>
      </c>
      <c r="S823" t="s">
        <v>166</v>
      </c>
      <c r="V823" t="s">
        <v>167</v>
      </c>
      <c r="W823">
        <v>1502020105</v>
      </c>
      <c r="X823" t="s">
        <v>226</v>
      </c>
      <c r="Y823" t="str">
        <f>VLOOKUP(W823,Sheet4!$A$5:$B$71,2,0)</f>
        <v>RE STYLING</v>
      </c>
      <c r="Z823">
        <v>87082900</v>
      </c>
      <c r="AA823">
        <v>15</v>
      </c>
      <c r="AB823" t="s">
        <v>159</v>
      </c>
      <c r="AC823" s="24">
        <v>6570.77</v>
      </c>
      <c r="AD823" t="s">
        <v>160</v>
      </c>
      <c r="AE823" s="24">
        <v>98561.55</v>
      </c>
      <c r="AF823">
        <v>0</v>
      </c>
      <c r="AG823" s="24">
        <v>98561.55</v>
      </c>
      <c r="AH823">
        <v>0</v>
      </c>
      <c r="AI823">
        <v>0</v>
      </c>
      <c r="AJ823">
        <v>0</v>
      </c>
      <c r="AK823">
        <v>0</v>
      </c>
      <c r="AL823" s="24">
        <v>98561.55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s="24">
        <v>98561.55</v>
      </c>
      <c r="AV823">
        <v>0</v>
      </c>
      <c r="AW823">
        <v>0</v>
      </c>
      <c r="AX823">
        <v>311000</v>
      </c>
      <c r="AY823" t="s">
        <v>161</v>
      </c>
      <c r="AZ823">
        <v>49.75</v>
      </c>
      <c r="BA823">
        <v>49.75</v>
      </c>
      <c r="BB823">
        <v>0</v>
      </c>
      <c r="BC823" t="s">
        <v>227</v>
      </c>
      <c r="BD823">
        <v>1509</v>
      </c>
      <c r="BE823" t="s">
        <v>169</v>
      </c>
      <c r="BF823" t="s">
        <v>163</v>
      </c>
      <c r="BG823" t="s">
        <v>164</v>
      </c>
    </row>
    <row r="824" spans="1:59">
      <c r="A824">
        <v>1115</v>
      </c>
      <c r="B824">
        <v>1115</v>
      </c>
      <c r="C824">
        <v>10</v>
      </c>
      <c r="D824">
        <v>2</v>
      </c>
      <c r="E824" t="s">
        <v>152</v>
      </c>
      <c r="F824" t="s">
        <v>153</v>
      </c>
      <c r="G824" t="s">
        <v>154</v>
      </c>
      <c r="H824">
        <v>1526006491</v>
      </c>
      <c r="I824">
        <v>1000006772</v>
      </c>
      <c r="L824" t="s">
        <v>348</v>
      </c>
      <c r="M824">
        <v>5100001588</v>
      </c>
      <c r="N824" t="s">
        <v>155</v>
      </c>
      <c r="O824" t="s">
        <v>156</v>
      </c>
      <c r="P824">
        <v>4110025058</v>
      </c>
      <c r="Q824" t="s">
        <v>180</v>
      </c>
      <c r="R824">
        <v>5000</v>
      </c>
      <c r="S824" t="s">
        <v>166</v>
      </c>
      <c r="V824" t="s">
        <v>167</v>
      </c>
      <c r="W824">
        <v>1502040235</v>
      </c>
      <c r="X824" t="s">
        <v>47</v>
      </c>
      <c r="Y824" t="str">
        <f>VLOOKUP(W824,Sheet4!$A$5:$B$71,2,0)</f>
        <v>STARTING HANDLE</v>
      </c>
      <c r="Z824">
        <v>87082900</v>
      </c>
      <c r="AA824">
        <v>540</v>
      </c>
      <c r="AB824" t="s">
        <v>159</v>
      </c>
      <c r="AC824">
        <v>217.33</v>
      </c>
      <c r="AD824" t="s">
        <v>160</v>
      </c>
      <c r="AE824" s="24">
        <v>117358.2</v>
      </c>
      <c r="AF824">
        <v>0</v>
      </c>
      <c r="AG824" s="24">
        <v>117358.2</v>
      </c>
      <c r="AH824">
        <v>0</v>
      </c>
      <c r="AI824">
        <v>0</v>
      </c>
      <c r="AJ824">
        <v>0</v>
      </c>
      <c r="AK824">
        <v>0</v>
      </c>
      <c r="AL824" s="24">
        <v>117358.2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 s="24">
        <v>117358.2</v>
      </c>
      <c r="AV824">
        <v>0</v>
      </c>
      <c r="AW824">
        <v>0</v>
      </c>
      <c r="AX824">
        <v>311000</v>
      </c>
      <c r="AY824" t="s">
        <v>161</v>
      </c>
      <c r="AZ824">
        <v>1.19</v>
      </c>
      <c r="BA824">
        <v>1.19</v>
      </c>
      <c r="BB824">
        <v>0</v>
      </c>
      <c r="BC824" t="s">
        <v>181</v>
      </c>
      <c r="BD824">
        <v>1511</v>
      </c>
      <c r="BE824" t="s">
        <v>174</v>
      </c>
      <c r="BF824" t="s">
        <v>163</v>
      </c>
      <c r="BG824" t="s">
        <v>164</v>
      </c>
    </row>
    <row r="825" spans="1:59">
      <c r="A825">
        <v>1115</v>
      </c>
      <c r="B825">
        <v>1115</v>
      </c>
      <c r="C825">
        <v>10</v>
      </c>
      <c r="D825">
        <v>2</v>
      </c>
      <c r="E825" t="s">
        <v>152</v>
      </c>
      <c r="F825" t="s">
        <v>153</v>
      </c>
      <c r="G825" t="s">
        <v>154</v>
      </c>
      <c r="H825">
        <v>1526006490</v>
      </c>
      <c r="I825">
        <v>1000006771</v>
      </c>
      <c r="L825" t="s">
        <v>348</v>
      </c>
      <c r="M825">
        <v>5100001588</v>
      </c>
      <c r="N825" t="s">
        <v>155</v>
      </c>
      <c r="O825" t="s">
        <v>156</v>
      </c>
      <c r="P825">
        <v>4110025058</v>
      </c>
      <c r="Q825" t="s">
        <v>180</v>
      </c>
      <c r="R825">
        <v>5000</v>
      </c>
      <c r="S825" t="s">
        <v>166</v>
      </c>
      <c r="V825" t="s">
        <v>167</v>
      </c>
      <c r="W825">
        <v>1502040235</v>
      </c>
      <c r="X825" t="s">
        <v>47</v>
      </c>
      <c r="Y825" t="str">
        <f>VLOOKUP(W825,Sheet4!$A$5:$B$71,2,0)</f>
        <v>STARTING HANDLE</v>
      </c>
      <c r="Z825">
        <v>87082900</v>
      </c>
      <c r="AA825">
        <v>540</v>
      </c>
      <c r="AB825" t="s">
        <v>159</v>
      </c>
      <c r="AC825">
        <v>217.33</v>
      </c>
      <c r="AD825" t="s">
        <v>160</v>
      </c>
      <c r="AE825" s="24">
        <v>117358.2</v>
      </c>
      <c r="AF825">
        <v>0</v>
      </c>
      <c r="AG825" s="24">
        <v>117358.2</v>
      </c>
      <c r="AH825">
        <v>0</v>
      </c>
      <c r="AI825">
        <v>0</v>
      </c>
      <c r="AJ825">
        <v>0</v>
      </c>
      <c r="AK825">
        <v>0</v>
      </c>
      <c r="AL825" s="24">
        <v>117358.2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 s="24">
        <v>117358.2</v>
      </c>
      <c r="AV825">
        <v>0</v>
      </c>
      <c r="AW825">
        <v>0</v>
      </c>
      <c r="AX825">
        <v>311000</v>
      </c>
      <c r="AY825" t="s">
        <v>161</v>
      </c>
      <c r="AZ825">
        <v>1.19</v>
      </c>
      <c r="BA825">
        <v>1.19</v>
      </c>
      <c r="BB825">
        <v>0</v>
      </c>
      <c r="BC825" t="s">
        <v>181</v>
      </c>
      <c r="BD825">
        <v>1511</v>
      </c>
      <c r="BE825" t="s">
        <v>174</v>
      </c>
      <c r="BF825" t="s">
        <v>163</v>
      </c>
      <c r="BG825" t="s">
        <v>164</v>
      </c>
    </row>
    <row r="826" spans="1:59">
      <c r="A826">
        <v>1115</v>
      </c>
      <c r="B826">
        <v>1115</v>
      </c>
      <c r="C826">
        <v>10</v>
      </c>
      <c r="D826">
        <v>2</v>
      </c>
      <c r="E826" t="s">
        <v>152</v>
      </c>
      <c r="F826" t="s">
        <v>153</v>
      </c>
      <c r="G826" t="s">
        <v>154</v>
      </c>
      <c r="H826">
        <v>1526006488</v>
      </c>
      <c r="I826">
        <v>1000006769</v>
      </c>
      <c r="L826" t="s">
        <v>348</v>
      </c>
      <c r="M826">
        <v>5100001919</v>
      </c>
      <c r="N826" t="s">
        <v>155</v>
      </c>
      <c r="O826" t="s">
        <v>156</v>
      </c>
      <c r="P826">
        <v>5500000930</v>
      </c>
      <c r="Q826" t="s">
        <v>157</v>
      </c>
      <c r="R826">
        <v>5356</v>
      </c>
      <c r="S826" t="s">
        <v>158</v>
      </c>
      <c r="W826">
        <v>1502010011</v>
      </c>
      <c r="X826" t="s">
        <v>35</v>
      </c>
      <c r="Y826" t="str">
        <f>VLOOKUP(W826,Sheet4!$A$5:$B$71,2,0)</f>
        <v>REAR MUDGAURD</v>
      </c>
      <c r="Z826">
        <v>87082900</v>
      </c>
      <c r="AA826">
        <v>432</v>
      </c>
      <c r="AB826" t="s">
        <v>159</v>
      </c>
      <c r="AC826">
        <v>89.25</v>
      </c>
      <c r="AD826" t="s">
        <v>160</v>
      </c>
      <c r="AE826" s="24">
        <v>38556</v>
      </c>
      <c r="AF826">
        <v>0</v>
      </c>
      <c r="AG826" s="24">
        <v>38556</v>
      </c>
      <c r="AH826">
        <v>0</v>
      </c>
      <c r="AI826">
        <v>0</v>
      </c>
      <c r="AJ826">
        <v>0</v>
      </c>
      <c r="AK826">
        <v>0</v>
      </c>
      <c r="AL826" s="24">
        <v>38556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 s="24">
        <v>38556</v>
      </c>
      <c r="AV826">
        <v>0</v>
      </c>
      <c r="AW826">
        <v>0</v>
      </c>
      <c r="AX826">
        <v>311000</v>
      </c>
      <c r="AY826" t="s">
        <v>161</v>
      </c>
      <c r="AZ826">
        <v>1.32</v>
      </c>
      <c r="BA826">
        <v>0.72399999999999998</v>
      </c>
      <c r="BB826">
        <v>0.59599999999999997</v>
      </c>
      <c r="BC826">
        <v>2000001017</v>
      </c>
      <c r="BD826">
        <v>1508</v>
      </c>
      <c r="BE826" t="s">
        <v>162</v>
      </c>
      <c r="BF826" t="s">
        <v>163</v>
      </c>
      <c r="BG826" t="s">
        <v>164</v>
      </c>
    </row>
    <row r="827" spans="1:59">
      <c r="A827">
        <v>1115</v>
      </c>
      <c r="B827">
        <v>1115</v>
      </c>
      <c r="C827">
        <v>10</v>
      </c>
      <c r="D827">
        <v>2</v>
      </c>
      <c r="E827" t="s">
        <v>152</v>
      </c>
      <c r="F827" t="s">
        <v>153</v>
      </c>
      <c r="G827" t="s">
        <v>154</v>
      </c>
      <c r="H827">
        <v>1526006487</v>
      </c>
      <c r="I827">
        <v>1000006766</v>
      </c>
      <c r="L827" t="s">
        <v>348</v>
      </c>
      <c r="M827">
        <v>5100001919</v>
      </c>
      <c r="N827" t="s">
        <v>155</v>
      </c>
      <c r="O827" t="s">
        <v>156</v>
      </c>
      <c r="P827">
        <v>5500000930</v>
      </c>
      <c r="Q827" t="s">
        <v>157</v>
      </c>
      <c r="R827">
        <v>5356</v>
      </c>
      <c r="S827" t="s">
        <v>158</v>
      </c>
      <c r="W827">
        <v>1502010011</v>
      </c>
      <c r="X827" t="s">
        <v>35</v>
      </c>
      <c r="Y827" t="str">
        <f>VLOOKUP(W827,Sheet4!$A$5:$B$71,2,0)</f>
        <v>REAR MUDGAURD</v>
      </c>
      <c r="Z827">
        <v>87082900</v>
      </c>
      <c r="AA827">
        <v>432</v>
      </c>
      <c r="AB827" t="s">
        <v>159</v>
      </c>
      <c r="AC827">
        <v>89.25</v>
      </c>
      <c r="AD827" t="s">
        <v>160</v>
      </c>
      <c r="AE827" s="24">
        <v>38556</v>
      </c>
      <c r="AF827">
        <v>0</v>
      </c>
      <c r="AG827" s="24">
        <v>38556</v>
      </c>
      <c r="AH827">
        <v>0</v>
      </c>
      <c r="AI827">
        <v>0</v>
      </c>
      <c r="AJ827">
        <v>0</v>
      </c>
      <c r="AK827">
        <v>0</v>
      </c>
      <c r="AL827" s="24">
        <v>38556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 s="24">
        <v>38556</v>
      </c>
      <c r="AV827">
        <v>0</v>
      </c>
      <c r="AW827">
        <v>0</v>
      </c>
      <c r="AX827">
        <v>311000</v>
      </c>
      <c r="AY827" t="s">
        <v>161</v>
      </c>
      <c r="AZ827">
        <v>1.32</v>
      </c>
      <c r="BA827">
        <v>0.72399999999999998</v>
      </c>
      <c r="BB827">
        <v>0.59599999999999997</v>
      </c>
      <c r="BC827">
        <v>2000001017</v>
      </c>
      <c r="BD827">
        <v>1508</v>
      </c>
      <c r="BE827" t="s">
        <v>162</v>
      </c>
      <c r="BF827" t="s">
        <v>163</v>
      </c>
      <c r="BG827" t="s">
        <v>164</v>
      </c>
    </row>
    <row r="828" spans="1:59">
      <c r="A828">
        <v>1115</v>
      </c>
      <c r="B828">
        <v>1115</v>
      </c>
      <c r="C828">
        <v>10</v>
      </c>
      <c r="D828">
        <v>2</v>
      </c>
      <c r="E828" t="s">
        <v>152</v>
      </c>
      <c r="F828" t="s">
        <v>153</v>
      </c>
      <c r="G828" t="s">
        <v>154</v>
      </c>
      <c r="H828">
        <v>1526006486</v>
      </c>
      <c r="I828">
        <v>1000006765</v>
      </c>
      <c r="L828" t="s">
        <v>348</v>
      </c>
      <c r="M828">
        <v>5100001919</v>
      </c>
      <c r="N828" t="s">
        <v>155</v>
      </c>
      <c r="O828" t="s">
        <v>156</v>
      </c>
      <c r="P828">
        <v>5500000930</v>
      </c>
      <c r="Q828" t="s">
        <v>157</v>
      </c>
      <c r="R828">
        <v>5356</v>
      </c>
      <c r="S828" t="s">
        <v>158</v>
      </c>
      <c r="W828">
        <v>1502010011</v>
      </c>
      <c r="X828" t="s">
        <v>35</v>
      </c>
      <c r="Y828" t="str">
        <f>VLOOKUP(W828,Sheet4!$A$5:$B$71,2,0)</f>
        <v>REAR MUDGAURD</v>
      </c>
      <c r="Z828">
        <v>87082900</v>
      </c>
      <c r="AA828">
        <v>432</v>
      </c>
      <c r="AB828" t="s">
        <v>159</v>
      </c>
      <c r="AC828">
        <v>89.25</v>
      </c>
      <c r="AD828" t="s">
        <v>160</v>
      </c>
      <c r="AE828" s="24">
        <v>38556</v>
      </c>
      <c r="AF828">
        <v>0</v>
      </c>
      <c r="AG828" s="24">
        <v>38556</v>
      </c>
      <c r="AH828">
        <v>0</v>
      </c>
      <c r="AI828">
        <v>0</v>
      </c>
      <c r="AJ828">
        <v>0</v>
      </c>
      <c r="AK828">
        <v>0</v>
      </c>
      <c r="AL828" s="24">
        <v>38556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s="24">
        <v>38556</v>
      </c>
      <c r="AV828">
        <v>0</v>
      </c>
      <c r="AW828">
        <v>0</v>
      </c>
      <c r="AX828">
        <v>311000</v>
      </c>
      <c r="AY828" t="s">
        <v>161</v>
      </c>
      <c r="AZ828">
        <v>1.32</v>
      </c>
      <c r="BA828">
        <v>0.72399999999999998</v>
      </c>
      <c r="BB828">
        <v>0.59599999999999997</v>
      </c>
      <c r="BC828">
        <v>2000001017</v>
      </c>
      <c r="BD828">
        <v>1508</v>
      </c>
      <c r="BE828" t="s">
        <v>162</v>
      </c>
      <c r="BF828" t="s">
        <v>163</v>
      </c>
      <c r="BG828" t="s">
        <v>164</v>
      </c>
    </row>
    <row r="829" spans="1:59">
      <c r="A829">
        <v>1115</v>
      </c>
      <c r="B829">
        <v>1115</v>
      </c>
      <c r="C829">
        <v>10</v>
      </c>
      <c r="D829">
        <v>2</v>
      </c>
      <c r="E829" t="s">
        <v>152</v>
      </c>
      <c r="F829" t="s">
        <v>153</v>
      </c>
      <c r="G829" t="s">
        <v>154</v>
      </c>
      <c r="H829">
        <v>1526006485</v>
      </c>
      <c r="I829">
        <v>1000006764</v>
      </c>
      <c r="L829" t="s">
        <v>348</v>
      </c>
      <c r="M829">
        <v>5100001919</v>
      </c>
      <c r="N829" t="s">
        <v>155</v>
      </c>
      <c r="O829" t="s">
        <v>156</v>
      </c>
      <c r="P829">
        <v>5500000930</v>
      </c>
      <c r="Q829" t="s">
        <v>157</v>
      </c>
      <c r="R829">
        <v>5356</v>
      </c>
      <c r="S829" t="s">
        <v>158</v>
      </c>
      <c r="W829">
        <v>1502010011</v>
      </c>
      <c r="X829" t="s">
        <v>35</v>
      </c>
      <c r="Y829" t="str">
        <f>VLOOKUP(W829,Sheet4!$A$5:$B$71,2,0)</f>
        <v>REAR MUDGAURD</v>
      </c>
      <c r="Z829">
        <v>87082900</v>
      </c>
      <c r="AA829">
        <v>432</v>
      </c>
      <c r="AB829" t="s">
        <v>159</v>
      </c>
      <c r="AC829">
        <v>89.25</v>
      </c>
      <c r="AD829" t="s">
        <v>160</v>
      </c>
      <c r="AE829" s="24">
        <v>38556</v>
      </c>
      <c r="AF829">
        <v>0</v>
      </c>
      <c r="AG829" s="24">
        <v>38556</v>
      </c>
      <c r="AH829">
        <v>0</v>
      </c>
      <c r="AI829">
        <v>0</v>
      </c>
      <c r="AJ829">
        <v>0</v>
      </c>
      <c r="AK829">
        <v>0</v>
      </c>
      <c r="AL829" s="24">
        <v>38556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 s="24">
        <v>38556</v>
      </c>
      <c r="AV829">
        <v>0</v>
      </c>
      <c r="AW829">
        <v>0</v>
      </c>
      <c r="AX829">
        <v>311000</v>
      </c>
      <c r="AY829" t="s">
        <v>161</v>
      </c>
      <c r="AZ829">
        <v>1.32</v>
      </c>
      <c r="BA829">
        <v>0.72399999999999998</v>
      </c>
      <c r="BB829">
        <v>0.59599999999999997</v>
      </c>
      <c r="BC829">
        <v>2000001017</v>
      </c>
      <c r="BD829">
        <v>1508</v>
      </c>
      <c r="BE829" t="s">
        <v>162</v>
      </c>
      <c r="BF829" t="s">
        <v>163</v>
      </c>
      <c r="BG829" t="s">
        <v>164</v>
      </c>
    </row>
    <row r="830" spans="1:59">
      <c r="A830">
        <v>1115</v>
      </c>
      <c r="B830">
        <v>1115</v>
      </c>
      <c r="C830">
        <v>10</v>
      </c>
      <c r="D830">
        <v>2</v>
      </c>
      <c r="E830" t="s">
        <v>152</v>
      </c>
      <c r="F830" t="s">
        <v>153</v>
      </c>
      <c r="G830" t="s">
        <v>154</v>
      </c>
      <c r="H830">
        <v>1526006484</v>
      </c>
      <c r="I830">
        <v>1000006763</v>
      </c>
      <c r="L830" t="s">
        <v>348</v>
      </c>
      <c r="M830">
        <v>5100001919</v>
      </c>
      <c r="N830" t="s">
        <v>155</v>
      </c>
      <c r="O830" t="s">
        <v>156</v>
      </c>
      <c r="P830">
        <v>5500000930</v>
      </c>
      <c r="Q830" t="s">
        <v>157</v>
      </c>
      <c r="R830">
        <v>5356</v>
      </c>
      <c r="S830" t="s">
        <v>158</v>
      </c>
      <c r="W830">
        <v>1502010011</v>
      </c>
      <c r="X830" t="s">
        <v>35</v>
      </c>
      <c r="Y830" t="str">
        <f>VLOOKUP(W830,Sheet4!$A$5:$B$71,2,0)</f>
        <v>REAR MUDGAURD</v>
      </c>
      <c r="Z830">
        <v>87082900</v>
      </c>
      <c r="AA830">
        <v>432</v>
      </c>
      <c r="AB830" t="s">
        <v>159</v>
      </c>
      <c r="AC830">
        <v>89.25</v>
      </c>
      <c r="AD830" t="s">
        <v>160</v>
      </c>
      <c r="AE830" s="24">
        <v>38556</v>
      </c>
      <c r="AF830">
        <v>0</v>
      </c>
      <c r="AG830" s="24">
        <v>38556</v>
      </c>
      <c r="AH830">
        <v>0</v>
      </c>
      <c r="AI830">
        <v>0</v>
      </c>
      <c r="AJ830">
        <v>0</v>
      </c>
      <c r="AK830">
        <v>0</v>
      </c>
      <c r="AL830" s="24">
        <v>38556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 s="24">
        <v>38556</v>
      </c>
      <c r="AV830">
        <v>0</v>
      </c>
      <c r="AW830">
        <v>0</v>
      </c>
      <c r="AX830">
        <v>311000</v>
      </c>
      <c r="AY830" t="s">
        <v>161</v>
      </c>
      <c r="AZ830">
        <v>1.32</v>
      </c>
      <c r="BA830">
        <v>0.72399999999999998</v>
      </c>
      <c r="BB830">
        <v>0.59599999999999997</v>
      </c>
      <c r="BC830">
        <v>2000001017</v>
      </c>
      <c r="BD830">
        <v>1508</v>
      </c>
      <c r="BE830" t="s">
        <v>162</v>
      </c>
      <c r="BF830" t="s">
        <v>163</v>
      </c>
      <c r="BG830" t="s">
        <v>164</v>
      </c>
    </row>
    <row r="831" spans="1:59">
      <c r="A831">
        <v>1115</v>
      </c>
      <c r="B831">
        <v>1115</v>
      </c>
      <c r="C831">
        <v>10</v>
      </c>
      <c r="D831">
        <v>2</v>
      </c>
      <c r="E831" t="s">
        <v>152</v>
      </c>
      <c r="F831" t="s">
        <v>153</v>
      </c>
      <c r="G831" t="s">
        <v>154</v>
      </c>
      <c r="H831">
        <v>1526006483</v>
      </c>
      <c r="I831">
        <v>1000006762</v>
      </c>
      <c r="L831" t="s">
        <v>348</v>
      </c>
      <c r="M831">
        <v>5100001919</v>
      </c>
      <c r="N831" t="s">
        <v>155</v>
      </c>
      <c r="O831" t="s">
        <v>156</v>
      </c>
      <c r="P831">
        <v>5500000930</v>
      </c>
      <c r="Q831" t="s">
        <v>157</v>
      </c>
      <c r="R831">
        <v>5356</v>
      </c>
      <c r="S831" t="s">
        <v>158</v>
      </c>
      <c r="W831">
        <v>1502010011</v>
      </c>
      <c r="X831" t="s">
        <v>35</v>
      </c>
      <c r="Y831" t="str">
        <f>VLOOKUP(W831,Sheet4!$A$5:$B$71,2,0)</f>
        <v>REAR MUDGAURD</v>
      </c>
      <c r="Z831">
        <v>87082900</v>
      </c>
      <c r="AA831">
        <v>432</v>
      </c>
      <c r="AB831" t="s">
        <v>159</v>
      </c>
      <c r="AC831">
        <v>89.25</v>
      </c>
      <c r="AD831" t="s">
        <v>160</v>
      </c>
      <c r="AE831" s="24">
        <v>38556</v>
      </c>
      <c r="AF831">
        <v>0</v>
      </c>
      <c r="AG831" s="24">
        <v>38556</v>
      </c>
      <c r="AH831">
        <v>0</v>
      </c>
      <c r="AI831">
        <v>0</v>
      </c>
      <c r="AJ831">
        <v>0</v>
      </c>
      <c r="AK831">
        <v>0</v>
      </c>
      <c r="AL831" s="24">
        <v>38556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 s="24">
        <v>38556</v>
      </c>
      <c r="AV831">
        <v>0</v>
      </c>
      <c r="AW831">
        <v>0</v>
      </c>
      <c r="AX831">
        <v>311000</v>
      </c>
      <c r="AY831" t="s">
        <v>161</v>
      </c>
      <c r="AZ831">
        <v>1.32</v>
      </c>
      <c r="BA831">
        <v>0.72399999999999998</v>
      </c>
      <c r="BB831">
        <v>0.59599999999999997</v>
      </c>
      <c r="BC831">
        <v>2000001017</v>
      </c>
      <c r="BD831">
        <v>1508</v>
      </c>
      <c r="BE831" t="s">
        <v>162</v>
      </c>
      <c r="BF831" t="s">
        <v>163</v>
      </c>
      <c r="BG831" t="s">
        <v>164</v>
      </c>
    </row>
    <row r="832" spans="1:59">
      <c r="A832">
        <v>1115</v>
      </c>
      <c r="B832">
        <v>1115</v>
      </c>
      <c r="C832">
        <v>10</v>
      </c>
      <c r="D832">
        <v>2</v>
      </c>
      <c r="E832" t="s">
        <v>152</v>
      </c>
      <c r="F832" t="s">
        <v>153</v>
      </c>
      <c r="G832" t="s">
        <v>154</v>
      </c>
      <c r="H832">
        <v>1526006482</v>
      </c>
      <c r="I832">
        <v>1000006761</v>
      </c>
      <c r="L832" t="s">
        <v>348</v>
      </c>
      <c r="M832">
        <v>5100001603</v>
      </c>
      <c r="N832" t="s">
        <v>155</v>
      </c>
      <c r="O832" t="s">
        <v>156</v>
      </c>
      <c r="P832">
        <v>4110025468</v>
      </c>
      <c r="Q832" t="s">
        <v>165</v>
      </c>
      <c r="R832">
        <v>5000</v>
      </c>
      <c r="S832" t="s">
        <v>166</v>
      </c>
      <c r="V832" t="s">
        <v>167</v>
      </c>
      <c r="W832">
        <v>1502020102</v>
      </c>
      <c r="X832" t="s">
        <v>58</v>
      </c>
      <c r="Y832" t="str">
        <f>VLOOKUP(W832,Sheet4!$A$5:$B$71,2,0)</f>
        <v>MAXIMA HD</v>
      </c>
      <c r="Z832">
        <v>87082900</v>
      </c>
      <c r="AA832">
        <v>8</v>
      </c>
      <c r="AB832" t="s">
        <v>159</v>
      </c>
      <c r="AC832" s="24">
        <v>8593.51</v>
      </c>
      <c r="AD832" t="s">
        <v>160</v>
      </c>
      <c r="AE832" s="24">
        <v>68748.08</v>
      </c>
      <c r="AF832">
        <v>0</v>
      </c>
      <c r="AG832" s="24">
        <v>68748.08</v>
      </c>
      <c r="AH832">
        <v>0</v>
      </c>
      <c r="AI832">
        <v>0</v>
      </c>
      <c r="AJ832">
        <v>0</v>
      </c>
      <c r="AK832">
        <v>0</v>
      </c>
      <c r="AL832" s="24">
        <v>68748.08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 s="24">
        <v>68748.08</v>
      </c>
      <c r="AV832">
        <v>0</v>
      </c>
      <c r="AW832">
        <v>0</v>
      </c>
      <c r="AX832">
        <v>311000</v>
      </c>
      <c r="AY832" t="s">
        <v>161</v>
      </c>
      <c r="AZ832">
        <v>93.34</v>
      </c>
      <c r="BA832">
        <v>75.430000000000007</v>
      </c>
      <c r="BB832">
        <v>17.91</v>
      </c>
      <c r="BC832" t="s">
        <v>168</v>
      </c>
      <c r="BD832">
        <v>1509</v>
      </c>
      <c r="BE832" t="s">
        <v>169</v>
      </c>
      <c r="BF832" t="s">
        <v>163</v>
      </c>
      <c r="BG832" t="s">
        <v>164</v>
      </c>
    </row>
    <row r="833" spans="1:59">
      <c r="A833">
        <v>1115</v>
      </c>
      <c r="B833">
        <v>1115</v>
      </c>
      <c r="C833">
        <v>10</v>
      </c>
      <c r="D833">
        <v>2</v>
      </c>
      <c r="E833" t="s">
        <v>152</v>
      </c>
      <c r="F833" t="s">
        <v>153</v>
      </c>
      <c r="G833" t="s">
        <v>154</v>
      </c>
      <c r="H833">
        <v>1526006481</v>
      </c>
      <c r="I833">
        <v>1000006760</v>
      </c>
      <c r="L833" t="s">
        <v>348</v>
      </c>
      <c r="M833">
        <v>5100001603</v>
      </c>
      <c r="N833" t="s">
        <v>155</v>
      </c>
      <c r="O833" t="s">
        <v>156</v>
      </c>
      <c r="P833">
        <v>4110025468</v>
      </c>
      <c r="Q833" t="s">
        <v>165</v>
      </c>
      <c r="R833">
        <v>5000</v>
      </c>
      <c r="S833" t="s">
        <v>166</v>
      </c>
      <c r="V833" t="s">
        <v>167</v>
      </c>
      <c r="W833">
        <v>1502020102</v>
      </c>
      <c r="X833" t="s">
        <v>58</v>
      </c>
      <c r="Y833" t="str">
        <f>VLOOKUP(W833,Sheet4!$A$5:$B$71,2,0)</f>
        <v>MAXIMA HD</v>
      </c>
      <c r="Z833">
        <v>87082900</v>
      </c>
      <c r="AA833">
        <v>8</v>
      </c>
      <c r="AB833" t="s">
        <v>159</v>
      </c>
      <c r="AC833" s="24">
        <v>8593.51</v>
      </c>
      <c r="AD833" t="s">
        <v>160</v>
      </c>
      <c r="AE833" s="24">
        <v>68748.08</v>
      </c>
      <c r="AF833">
        <v>0</v>
      </c>
      <c r="AG833" s="24">
        <v>68748.08</v>
      </c>
      <c r="AH833">
        <v>0</v>
      </c>
      <c r="AI833">
        <v>0</v>
      </c>
      <c r="AJ833">
        <v>0</v>
      </c>
      <c r="AK833">
        <v>0</v>
      </c>
      <c r="AL833" s="24">
        <v>68748.08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 s="24">
        <v>68748.08</v>
      </c>
      <c r="AV833">
        <v>0</v>
      </c>
      <c r="AW833">
        <v>0</v>
      </c>
      <c r="AX833">
        <v>311000</v>
      </c>
      <c r="AY833" t="s">
        <v>161</v>
      </c>
      <c r="AZ833">
        <v>93.34</v>
      </c>
      <c r="BA833">
        <v>75.430000000000007</v>
      </c>
      <c r="BB833">
        <v>17.91</v>
      </c>
      <c r="BC833" t="s">
        <v>168</v>
      </c>
      <c r="BD833">
        <v>1509</v>
      </c>
      <c r="BE833" t="s">
        <v>169</v>
      </c>
      <c r="BF833" t="s">
        <v>163</v>
      </c>
      <c r="BG833" t="s">
        <v>164</v>
      </c>
    </row>
    <row r="834" spans="1:59">
      <c r="A834">
        <v>1115</v>
      </c>
      <c r="B834">
        <v>1115</v>
      </c>
      <c r="C834">
        <v>10</v>
      </c>
      <c r="D834">
        <v>2</v>
      </c>
      <c r="E834" t="s">
        <v>152</v>
      </c>
      <c r="F834" t="s">
        <v>153</v>
      </c>
      <c r="G834" t="s">
        <v>154</v>
      </c>
      <c r="H834">
        <v>1526006480</v>
      </c>
      <c r="I834">
        <v>1000006759</v>
      </c>
      <c r="L834" t="s">
        <v>348</v>
      </c>
      <c r="M834">
        <v>5100001603</v>
      </c>
      <c r="N834" t="s">
        <v>155</v>
      </c>
      <c r="O834" t="s">
        <v>156</v>
      </c>
      <c r="P834">
        <v>4110025468</v>
      </c>
      <c r="Q834" t="s">
        <v>165</v>
      </c>
      <c r="R834">
        <v>5000</v>
      </c>
      <c r="S834" t="s">
        <v>166</v>
      </c>
      <c r="V834" t="s">
        <v>167</v>
      </c>
      <c r="W834">
        <v>1502020102</v>
      </c>
      <c r="X834" t="s">
        <v>58</v>
      </c>
      <c r="Y834" t="str">
        <f>VLOOKUP(W834,Sheet4!$A$5:$B$71,2,0)</f>
        <v>MAXIMA HD</v>
      </c>
      <c r="Z834">
        <v>87082900</v>
      </c>
      <c r="AA834">
        <v>8</v>
      </c>
      <c r="AB834" t="s">
        <v>159</v>
      </c>
      <c r="AC834" s="24">
        <v>8593.51</v>
      </c>
      <c r="AD834" t="s">
        <v>160</v>
      </c>
      <c r="AE834" s="24">
        <v>68748.08</v>
      </c>
      <c r="AF834">
        <v>0</v>
      </c>
      <c r="AG834" s="24">
        <v>68748.08</v>
      </c>
      <c r="AH834">
        <v>0</v>
      </c>
      <c r="AI834">
        <v>0</v>
      </c>
      <c r="AJ834">
        <v>0</v>
      </c>
      <c r="AK834">
        <v>0</v>
      </c>
      <c r="AL834" s="24">
        <v>68748.08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 s="24">
        <v>68748.08</v>
      </c>
      <c r="AV834">
        <v>0</v>
      </c>
      <c r="AW834">
        <v>0</v>
      </c>
      <c r="AX834">
        <v>311000</v>
      </c>
      <c r="AY834" t="s">
        <v>161</v>
      </c>
      <c r="AZ834">
        <v>93.34</v>
      </c>
      <c r="BA834">
        <v>75.430000000000007</v>
      </c>
      <c r="BB834">
        <v>17.91</v>
      </c>
      <c r="BC834" t="s">
        <v>168</v>
      </c>
      <c r="BD834">
        <v>1509</v>
      </c>
      <c r="BE834" t="s">
        <v>169</v>
      </c>
      <c r="BF834" t="s">
        <v>163</v>
      </c>
      <c r="BG834" t="s">
        <v>164</v>
      </c>
    </row>
    <row r="835" spans="1:59">
      <c r="A835">
        <v>1115</v>
      </c>
      <c r="B835">
        <v>1115</v>
      </c>
      <c r="C835">
        <v>10</v>
      </c>
      <c r="D835">
        <v>2</v>
      </c>
      <c r="E835" t="s">
        <v>152</v>
      </c>
      <c r="F835" t="s">
        <v>153</v>
      </c>
      <c r="G835" t="s">
        <v>154</v>
      </c>
      <c r="H835">
        <v>1526006479</v>
      </c>
      <c r="I835">
        <v>1000006758</v>
      </c>
      <c r="L835" t="s">
        <v>348</v>
      </c>
      <c r="M835">
        <v>5100001913</v>
      </c>
      <c r="N835" t="s">
        <v>155</v>
      </c>
      <c r="O835" t="s">
        <v>156</v>
      </c>
      <c r="P835">
        <v>4110050475</v>
      </c>
      <c r="Q835" t="s">
        <v>178</v>
      </c>
      <c r="R835">
        <v>5000</v>
      </c>
      <c r="S835" t="s">
        <v>166</v>
      </c>
      <c r="V835" t="s">
        <v>167</v>
      </c>
      <c r="W835">
        <v>1502040289</v>
      </c>
      <c r="X835" t="s">
        <v>49</v>
      </c>
      <c r="Y835" t="str">
        <f>VLOOKUP(W835,Sheet4!$A$5:$B$71,2,0)</f>
        <v>SUPPORT TOP</v>
      </c>
      <c r="Z835">
        <v>87082900</v>
      </c>
      <c r="AA835">
        <v>480</v>
      </c>
      <c r="AB835" t="s">
        <v>159</v>
      </c>
      <c r="AC835">
        <v>174.61</v>
      </c>
      <c r="AD835" t="s">
        <v>160</v>
      </c>
      <c r="AE835" s="24">
        <v>83812.800000000003</v>
      </c>
      <c r="AF835">
        <v>0</v>
      </c>
      <c r="AG835" s="24">
        <v>83812.800000000003</v>
      </c>
      <c r="AH835">
        <v>0</v>
      </c>
      <c r="AI835">
        <v>0</v>
      </c>
      <c r="AJ835">
        <v>0</v>
      </c>
      <c r="AK835">
        <v>0</v>
      </c>
      <c r="AL835" s="24">
        <v>83812.800000000003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 s="24">
        <v>83812.800000000003</v>
      </c>
      <c r="AV835">
        <v>0</v>
      </c>
      <c r="AW835">
        <v>0</v>
      </c>
      <c r="AX835">
        <v>311000</v>
      </c>
      <c r="AY835" t="s">
        <v>161</v>
      </c>
      <c r="AZ835">
        <v>0</v>
      </c>
      <c r="BA835">
        <v>0</v>
      </c>
      <c r="BB835">
        <v>0</v>
      </c>
      <c r="BC835" t="s">
        <v>179</v>
      </c>
      <c r="BD835">
        <v>1511</v>
      </c>
      <c r="BE835" t="s">
        <v>174</v>
      </c>
      <c r="BF835" t="s">
        <v>163</v>
      </c>
      <c r="BG835" t="s">
        <v>164</v>
      </c>
    </row>
    <row r="836" spans="1:59">
      <c r="A836">
        <v>1115</v>
      </c>
      <c r="B836">
        <v>1115</v>
      </c>
      <c r="C836">
        <v>10</v>
      </c>
      <c r="D836">
        <v>2</v>
      </c>
      <c r="E836" t="s">
        <v>152</v>
      </c>
      <c r="F836" t="s">
        <v>153</v>
      </c>
      <c r="G836" t="s">
        <v>154</v>
      </c>
      <c r="H836">
        <v>1526006477</v>
      </c>
      <c r="I836">
        <v>1000006756</v>
      </c>
      <c r="L836" t="s">
        <v>348</v>
      </c>
      <c r="M836">
        <v>5100001919</v>
      </c>
      <c r="N836" t="s">
        <v>155</v>
      </c>
      <c r="O836" t="s">
        <v>156</v>
      </c>
      <c r="P836">
        <v>5500000930</v>
      </c>
      <c r="Q836" t="s">
        <v>157</v>
      </c>
      <c r="R836">
        <v>5356</v>
      </c>
      <c r="S836" t="s">
        <v>158</v>
      </c>
      <c r="W836">
        <v>1502010011</v>
      </c>
      <c r="X836" t="s">
        <v>35</v>
      </c>
      <c r="Y836" t="str">
        <f>VLOOKUP(W836,Sheet4!$A$5:$B$71,2,0)</f>
        <v>REAR MUDGAURD</v>
      </c>
      <c r="Z836">
        <v>87082900</v>
      </c>
      <c r="AA836">
        <v>432</v>
      </c>
      <c r="AB836" t="s">
        <v>159</v>
      </c>
      <c r="AC836">
        <v>89.25</v>
      </c>
      <c r="AD836" t="s">
        <v>160</v>
      </c>
      <c r="AE836" s="24">
        <v>38556</v>
      </c>
      <c r="AF836">
        <v>0</v>
      </c>
      <c r="AG836" s="24">
        <v>38556</v>
      </c>
      <c r="AH836">
        <v>0</v>
      </c>
      <c r="AI836">
        <v>0</v>
      </c>
      <c r="AJ836">
        <v>0</v>
      </c>
      <c r="AK836">
        <v>0</v>
      </c>
      <c r="AL836" s="24">
        <v>38556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 s="24">
        <v>38556</v>
      </c>
      <c r="AV836">
        <v>0</v>
      </c>
      <c r="AW836">
        <v>0</v>
      </c>
      <c r="AX836">
        <v>311000</v>
      </c>
      <c r="AY836" t="s">
        <v>161</v>
      </c>
      <c r="AZ836">
        <v>1.32</v>
      </c>
      <c r="BA836">
        <v>0.72399999999999998</v>
      </c>
      <c r="BB836">
        <v>0.59599999999999997</v>
      </c>
      <c r="BC836">
        <v>2000001017</v>
      </c>
      <c r="BD836">
        <v>1508</v>
      </c>
      <c r="BE836" t="s">
        <v>162</v>
      </c>
      <c r="BF836" t="s">
        <v>163</v>
      </c>
      <c r="BG836" t="s">
        <v>164</v>
      </c>
    </row>
    <row r="837" spans="1:59">
      <c r="A837">
        <v>1115</v>
      </c>
      <c r="B837">
        <v>1115</v>
      </c>
      <c r="C837">
        <v>10</v>
      </c>
      <c r="D837">
        <v>2</v>
      </c>
      <c r="E837" t="s">
        <v>152</v>
      </c>
      <c r="F837" t="s">
        <v>153</v>
      </c>
      <c r="G837" t="s">
        <v>154</v>
      </c>
      <c r="H837">
        <v>1526006476</v>
      </c>
      <c r="I837">
        <v>1000006755</v>
      </c>
      <c r="L837" t="s">
        <v>348</v>
      </c>
      <c r="M837">
        <v>5100001919</v>
      </c>
      <c r="N837" t="s">
        <v>155</v>
      </c>
      <c r="O837" t="s">
        <v>156</v>
      </c>
      <c r="P837">
        <v>5500000930</v>
      </c>
      <c r="Q837" t="s">
        <v>157</v>
      </c>
      <c r="R837">
        <v>5356</v>
      </c>
      <c r="S837" t="s">
        <v>158</v>
      </c>
      <c r="W837">
        <v>1502010011</v>
      </c>
      <c r="X837" t="s">
        <v>35</v>
      </c>
      <c r="Y837" t="str">
        <f>VLOOKUP(W837,Sheet4!$A$5:$B$71,2,0)</f>
        <v>REAR MUDGAURD</v>
      </c>
      <c r="Z837">
        <v>87082900</v>
      </c>
      <c r="AA837">
        <v>432</v>
      </c>
      <c r="AB837" t="s">
        <v>159</v>
      </c>
      <c r="AC837">
        <v>89.25</v>
      </c>
      <c r="AD837" t="s">
        <v>160</v>
      </c>
      <c r="AE837" s="24">
        <v>38556</v>
      </c>
      <c r="AF837">
        <v>0</v>
      </c>
      <c r="AG837" s="24">
        <v>38556</v>
      </c>
      <c r="AH837">
        <v>0</v>
      </c>
      <c r="AI837">
        <v>0</v>
      </c>
      <c r="AJ837">
        <v>0</v>
      </c>
      <c r="AK837">
        <v>0</v>
      </c>
      <c r="AL837" s="24">
        <v>38556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 s="24">
        <v>38556</v>
      </c>
      <c r="AV837">
        <v>0</v>
      </c>
      <c r="AW837">
        <v>0</v>
      </c>
      <c r="AX837">
        <v>311000</v>
      </c>
      <c r="AY837" t="s">
        <v>161</v>
      </c>
      <c r="AZ837">
        <v>1.32</v>
      </c>
      <c r="BA837">
        <v>0.72399999999999998</v>
      </c>
      <c r="BB837">
        <v>0.59599999999999997</v>
      </c>
      <c r="BC837">
        <v>2000001017</v>
      </c>
      <c r="BD837">
        <v>1508</v>
      </c>
      <c r="BE837" t="s">
        <v>162</v>
      </c>
      <c r="BF837" t="s">
        <v>163</v>
      </c>
      <c r="BG837" t="s">
        <v>164</v>
      </c>
    </row>
    <row r="838" spans="1:59">
      <c r="A838">
        <v>1115</v>
      </c>
      <c r="B838">
        <v>1115</v>
      </c>
      <c r="C838">
        <v>10</v>
      </c>
      <c r="D838">
        <v>2</v>
      </c>
      <c r="E838" t="s">
        <v>152</v>
      </c>
      <c r="F838" t="s">
        <v>153</v>
      </c>
      <c r="G838" t="s">
        <v>154</v>
      </c>
      <c r="H838">
        <v>1526006475</v>
      </c>
      <c r="I838">
        <v>1000006754</v>
      </c>
      <c r="L838" t="s">
        <v>348</v>
      </c>
      <c r="M838">
        <v>5100001919</v>
      </c>
      <c r="N838" t="s">
        <v>155</v>
      </c>
      <c r="O838" t="s">
        <v>156</v>
      </c>
      <c r="P838">
        <v>5500000930</v>
      </c>
      <c r="Q838" t="s">
        <v>157</v>
      </c>
      <c r="R838">
        <v>5356</v>
      </c>
      <c r="S838" t="s">
        <v>158</v>
      </c>
      <c r="W838">
        <v>1502010011</v>
      </c>
      <c r="X838" t="s">
        <v>35</v>
      </c>
      <c r="Y838" t="str">
        <f>VLOOKUP(W838,Sheet4!$A$5:$B$71,2,0)</f>
        <v>REAR MUDGAURD</v>
      </c>
      <c r="Z838">
        <v>87082900</v>
      </c>
      <c r="AA838">
        <v>432</v>
      </c>
      <c r="AB838" t="s">
        <v>159</v>
      </c>
      <c r="AC838">
        <v>89.25</v>
      </c>
      <c r="AD838" t="s">
        <v>160</v>
      </c>
      <c r="AE838" s="24">
        <v>38556</v>
      </c>
      <c r="AF838">
        <v>0</v>
      </c>
      <c r="AG838" s="24">
        <v>38556</v>
      </c>
      <c r="AH838">
        <v>0</v>
      </c>
      <c r="AI838">
        <v>0</v>
      </c>
      <c r="AJ838">
        <v>0</v>
      </c>
      <c r="AK838">
        <v>0</v>
      </c>
      <c r="AL838" s="24">
        <v>38556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 s="24">
        <v>38556</v>
      </c>
      <c r="AV838">
        <v>0</v>
      </c>
      <c r="AW838">
        <v>0</v>
      </c>
      <c r="AX838">
        <v>311000</v>
      </c>
      <c r="AY838" t="s">
        <v>161</v>
      </c>
      <c r="AZ838">
        <v>1.32</v>
      </c>
      <c r="BA838">
        <v>0.72399999999999998</v>
      </c>
      <c r="BB838">
        <v>0.59599999999999997</v>
      </c>
      <c r="BC838">
        <v>2000001017</v>
      </c>
      <c r="BD838">
        <v>1508</v>
      </c>
      <c r="BE838" t="s">
        <v>162</v>
      </c>
      <c r="BF838" t="s">
        <v>163</v>
      </c>
      <c r="BG838" t="s">
        <v>164</v>
      </c>
    </row>
    <row r="839" spans="1:59">
      <c r="A839">
        <v>1115</v>
      </c>
      <c r="B839">
        <v>1115</v>
      </c>
      <c r="C839">
        <v>10</v>
      </c>
      <c r="D839">
        <v>2</v>
      </c>
      <c r="E839" t="s">
        <v>152</v>
      </c>
      <c r="F839" t="s">
        <v>153</v>
      </c>
      <c r="G839" t="s">
        <v>154</v>
      </c>
      <c r="H839">
        <v>1526006474</v>
      </c>
      <c r="I839">
        <v>1000006753</v>
      </c>
      <c r="L839" t="s">
        <v>348</v>
      </c>
      <c r="M839">
        <v>5100001919</v>
      </c>
      <c r="N839" t="s">
        <v>155</v>
      </c>
      <c r="O839" t="s">
        <v>156</v>
      </c>
      <c r="P839">
        <v>5500000930</v>
      </c>
      <c r="Q839" t="s">
        <v>157</v>
      </c>
      <c r="R839">
        <v>5356</v>
      </c>
      <c r="S839" t="s">
        <v>158</v>
      </c>
      <c r="W839">
        <v>1502010011</v>
      </c>
      <c r="X839" t="s">
        <v>35</v>
      </c>
      <c r="Y839" t="str">
        <f>VLOOKUP(W839,Sheet4!$A$5:$B$71,2,0)</f>
        <v>REAR MUDGAURD</v>
      </c>
      <c r="Z839">
        <v>87082900</v>
      </c>
      <c r="AA839">
        <v>432</v>
      </c>
      <c r="AB839" t="s">
        <v>159</v>
      </c>
      <c r="AC839">
        <v>89.25</v>
      </c>
      <c r="AD839" t="s">
        <v>160</v>
      </c>
      <c r="AE839" s="24">
        <v>38556</v>
      </c>
      <c r="AF839">
        <v>0</v>
      </c>
      <c r="AG839" s="24">
        <v>38556</v>
      </c>
      <c r="AH839">
        <v>0</v>
      </c>
      <c r="AI839">
        <v>0</v>
      </c>
      <c r="AJ839">
        <v>0</v>
      </c>
      <c r="AK839">
        <v>0</v>
      </c>
      <c r="AL839" s="24">
        <v>38556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 s="24">
        <v>38556</v>
      </c>
      <c r="AV839">
        <v>0</v>
      </c>
      <c r="AW839">
        <v>0</v>
      </c>
      <c r="AX839">
        <v>311000</v>
      </c>
      <c r="AY839" t="s">
        <v>161</v>
      </c>
      <c r="AZ839">
        <v>1.32</v>
      </c>
      <c r="BA839">
        <v>0.72399999999999998</v>
      </c>
      <c r="BB839">
        <v>0.59599999999999997</v>
      </c>
      <c r="BC839">
        <v>2000001017</v>
      </c>
      <c r="BD839">
        <v>1508</v>
      </c>
      <c r="BE839" t="s">
        <v>162</v>
      </c>
      <c r="BF839" t="s">
        <v>163</v>
      </c>
      <c r="BG839" t="s">
        <v>164</v>
      </c>
    </row>
    <row r="840" spans="1:59">
      <c r="A840">
        <v>1115</v>
      </c>
      <c r="B840">
        <v>1115</v>
      </c>
      <c r="C840">
        <v>10</v>
      </c>
      <c r="D840">
        <v>2</v>
      </c>
      <c r="E840" t="s">
        <v>152</v>
      </c>
      <c r="F840" t="s">
        <v>153</v>
      </c>
      <c r="G840" t="s">
        <v>154</v>
      </c>
      <c r="H840">
        <v>1526006473</v>
      </c>
      <c r="I840">
        <v>1000006751</v>
      </c>
      <c r="L840" t="s">
        <v>348</v>
      </c>
      <c r="M840">
        <v>5100001919</v>
      </c>
      <c r="N840" t="s">
        <v>155</v>
      </c>
      <c r="O840" t="s">
        <v>156</v>
      </c>
      <c r="P840">
        <v>5500000930</v>
      </c>
      <c r="Q840" t="s">
        <v>157</v>
      </c>
      <c r="R840">
        <v>5356</v>
      </c>
      <c r="S840" t="s">
        <v>158</v>
      </c>
      <c r="W840">
        <v>1502010011</v>
      </c>
      <c r="X840" t="s">
        <v>35</v>
      </c>
      <c r="Y840" t="str">
        <f>VLOOKUP(W840,Sheet4!$A$5:$B$71,2,0)</f>
        <v>REAR MUDGAURD</v>
      </c>
      <c r="Z840">
        <v>87082900</v>
      </c>
      <c r="AA840">
        <v>432</v>
      </c>
      <c r="AB840" t="s">
        <v>159</v>
      </c>
      <c r="AC840">
        <v>89.25</v>
      </c>
      <c r="AD840" t="s">
        <v>160</v>
      </c>
      <c r="AE840" s="24">
        <v>38556</v>
      </c>
      <c r="AF840">
        <v>0</v>
      </c>
      <c r="AG840" s="24">
        <v>38556</v>
      </c>
      <c r="AH840">
        <v>0</v>
      </c>
      <c r="AI840">
        <v>0</v>
      </c>
      <c r="AJ840">
        <v>0</v>
      </c>
      <c r="AK840">
        <v>0</v>
      </c>
      <c r="AL840" s="24">
        <v>38556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 s="24">
        <v>38556</v>
      </c>
      <c r="AV840">
        <v>0</v>
      </c>
      <c r="AW840">
        <v>0</v>
      </c>
      <c r="AX840">
        <v>311000</v>
      </c>
      <c r="AY840" t="s">
        <v>161</v>
      </c>
      <c r="AZ840">
        <v>1.32</v>
      </c>
      <c r="BA840">
        <v>0.72399999999999998</v>
      </c>
      <c r="BB840">
        <v>0.59599999999999997</v>
      </c>
      <c r="BC840">
        <v>2000001017</v>
      </c>
      <c r="BD840">
        <v>1508</v>
      </c>
      <c r="BE840" t="s">
        <v>162</v>
      </c>
      <c r="BF840" t="s">
        <v>163</v>
      </c>
      <c r="BG840" t="s">
        <v>164</v>
      </c>
    </row>
    <row r="841" spans="1:59">
      <c r="A841">
        <v>1115</v>
      </c>
      <c r="B841">
        <v>1115</v>
      </c>
      <c r="C841">
        <v>10</v>
      </c>
      <c r="D841">
        <v>2</v>
      </c>
      <c r="E841" t="s">
        <v>152</v>
      </c>
      <c r="F841" t="s">
        <v>153</v>
      </c>
      <c r="G841" t="s">
        <v>154</v>
      </c>
      <c r="H841">
        <v>1526006472</v>
      </c>
      <c r="I841">
        <v>1000006750</v>
      </c>
      <c r="L841" t="s">
        <v>348</v>
      </c>
      <c r="M841">
        <v>5100001666</v>
      </c>
      <c r="N841" t="s">
        <v>155</v>
      </c>
      <c r="O841" t="s">
        <v>156</v>
      </c>
      <c r="P841">
        <v>4110027035</v>
      </c>
      <c r="Q841" t="s">
        <v>225</v>
      </c>
      <c r="R841">
        <v>5000</v>
      </c>
      <c r="S841" t="s">
        <v>166</v>
      </c>
      <c r="V841" t="s">
        <v>167</v>
      </c>
      <c r="W841">
        <v>1502020105</v>
      </c>
      <c r="X841" t="s">
        <v>226</v>
      </c>
      <c r="Y841" t="str">
        <f>VLOOKUP(W841,Sheet4!$A$5:$B$71,2,0)</f>
        <v>RE STYLING</v>
      </c>
      <c r="Z841">
        <v>87082900</v>
      </c>
      <c r="AA841">
        <v>15</v>
      </c>
      <c r="AB841" t="s">
        <v>159</v>
      </c>
      <c r="AC841" s="24">
        <v>6570.77</v>
      </c>
      <c r="AD841" t="s">
        <v>160</v>
      </c>
      <c r="AE841" s="24">
        <v>98561.55</v>
      </c>
      <c r="AF841">
        <v>0</v>
      </c>
      <c r="AG841" s="24">
        <v>98561.55</v>
      </c>
      <c r="AH841">
        <v>0</v>
      </c>
      <c r="AI841">
        <v>0</v>
      </c>
      <c r="AJ841">
        <v>0</v>
      </c>
      <c r="AK841">
        <v>0</v>
      </c>
      <c r="AL841" s="24">
        <v>98561.55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 s="24">
        <v>98561.55</v>
      </c>
      <c r="AV841">
        <v>0</v>
      </c>
      <c r="AW841">
        <v>0</v>
      </c>
      <c r="AX841">
        <v>311000</v>
      </c>
      <c r="AY841" t="s">
        <v>161</v>
      </c>
      <c r="AZ841">
        <v>49.75</v>
      </c>
      <c r="BA841">
        <v>49.75</v>
      </c>
      <c r="BB841">
        <v>0</v>
      </c>
      <c r="BC841" t="s">
        <v>227</v>
      </c>
      <c r="BD841">
        <v>1509</v>
      </c>
      <c r="BE841" t="s">
        <v>169</v>
      </c>
      <c r="BF841" t="s">
        <v>163</v>
      </c>
      <c r="BG841" t="s">
        <v>164</v>
      </c>
    </row>
    <row r="842" spans="1:59">
      <c r="A842">
        <v>1115</v>
      </c>
      <c r="B842">
        <v>1115</v>
      </c>
      <c r="C842">
        <v>10</v>
      </c>
      <c r="D842">
        <v>2</v>
      </c>
      <c r="E842" t="s">
        <v>152</v>
      </c>
      <c r="F842" t="s">
        <v>153</v>
      </c>
      <c r="G842" t="s">
        <v>154</v>
      </c>
      <c r="H842">
        <v>1526006580</v>
      </c>
      <c r="I842">
        <v>1000006855</v>
      </c>
      <c r="L842" t="s">
        <v>348</v>
      </c>
      <c r="M842">
        <v>5100001227</v>
      </c>
      <c r="N842" t="s">
        <v>155</v>
      </c>
      <c r="O842" t="s">
        <v>156</v>
      </c>
      <c r="P842">
        <v>4110011319</v>
      </c>
      <c r="Q842" t="s">
        <v>175</v>
      </c>
      <c r="R842">
        <v>5000</v>
      </c>
      <c r="S842" t="s">
        <v>166</v>
      </c>
      <c r="V842" t="s">
        <v>167</v>
      </c>
      <c r="W842">
        <v>1502020074</v>
      </c>
      <c r="X842" t="s">
        <v>28</v>
      </c>
      <c r="Y842" t="str">
        <f>VLOOKUP(W842,Sheet4!$A$5:$B$71,2,0)</f>
        <v>MAX UG NEW</v>
      </c>
      <c r="Z842">
        <v>87082900</v>
      </c>
      <c r="AA842">
        <v>10</v>
      </c>
      <c r="AB842" t="s">
        <v>159</v>
      </c>
      <c r="AC842" s="24">
        <v>9397.5</v>
      </c>
      <c r="AD842" t="s">
        <v>160</v>
      </c>
      <c r="AE842" s="24">
        <v>93975</v>
      </c>
      <c r="AF842">
        <v>0</v>
      </c>
      <c r="AG842" s="24">
        <v>93975</v>
      </c>
      <c r="AH842">
        <v>0</v>
      </c>
      <c r="AI842">
        <v>0</v>
      </c>
      <c r="AJ842">
        <v>0</v>
      </c>
      <c r="AK842">
        <v>0</v>
      </c>
      <c r="AL842" s="24">
        <v>93975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s="24">
        <v>93975</v>
      </c>
      <c r="AV842">
        <v>0</v>
      </c>
      <c r="AW842">
        <v>0</v>
      </c>
      <c r="AX842">
        <v>311000</v>
      </c>
      <c r="AY842" t="s">
        <v>161</v>
      </c>
      <c r="AZ842">
        <v>69.5</v>
      </c>
      <c r="BA842">
        <v>69.5</v>
      </c>
      <c r="BB842">
        <v>0</v>
      </c>
      <c r="BC842" t="s">
        <v>176</v>
      </c>
      <c r="BD842">
        <v>1509</v>
      </c>
      <c r="BE842" t="s">
        <v>169</v>
      </c>
      <c r="BF842" t="s">
        <v>163</v>
      </c>
      <c r="BG842" t="s">
        <v>164</v>
      </c>
    </row>
    <row r="843" spans="1:59">
      <c r="A843">
        <v>1115</v>
      </c>
      <c r="B843">
        <v>1115</v>
      </c>
      <c r="C843">
        <v>10</v>
      </c>
      <c r="D843">
        <v>2</v>
      </c>
      <c r="E843" t="s">
        <v>152</v>
      </c>
      <c r="F843" t="s">
        <v>153</v>
      </c>
      <c r="G843" t="s">
        <v>154</v>
      </c>
      <c r="H843">
        <v>1526006579</v>
      </c>
      <c r="I843">
        <v>1000006854</v>
      </c>
      <c r="L843" t="s">
        <v>348</v>
      </c>
      <c r="M843">
        <v>5100001227</v>
      </c>
      <c r="N843" t="s">
        <v>155</v>
      </c>
      <c r="O843" t="s">
        <v>156</v>
      </c>
      <c r="P843">
        <v>4110011319</v>
      </c>
      <c r="Q843" t="s">
        <v>175</v>
      </c>
      <c r="R843">
        <v>5000</v>
      </c>
      <c r="S843" t="s">
        <v>166</v>
      </c>
      <c r="V843" t="s">
        <v>167</v>
      </c>
      <c r="W843">
        <v>1502020074</v>
      </c>
      <c r="X843" t="s">
        <v>28</v>
      </c>
      <c r="Y843" t="str">
        <f>VLOOKUP(W843,Sheet4!$A$5:$B$71,2,0)</f>
        <v>MAX UG NEW</v>
      </c>
      <c r="Z843">
        <v>87082900</v>
      </c>
      <c r="AA843">
        <v>10</v>
      </c>
      <c r="AB843" t="s">
        <v>159</v>
      </c>
      <c r="AC843" s="24">
        <v>9397.5</v>
      </c>
      <c r="AD843" t="s">
        <v>160</v>
      </c>
      <c r="AE843" s="24">
        <v>93975</v>
      </c>
      <c r="AF843">
        <v>0</v>
      </c>
      <c r="AG843" s="24">
        <v>93975</v>
      </c>
      <c r="AH843">
        <v>0</v>
      </c>
      <c r="AI843">
        <v>0</v>
      </c>
      <c r="AJ843">
        <v>0</v>
      </c>
      <c r="AK843">
        <v>0</v>
      </c>
      <c r="AL843" s="24">
        <v>93975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 s="24">
        <v>93975</v>
      </c>
      <c r="AV843">
        <v>0</v>
      </c>
      <c r="AW843">
        <v>0</v>
      </c>
      <c r="AX843">
        <v>311000</v>
      </c>
      <c r="AY843" t="s">
        <v>161</v>
      </c>
      <c r="AZ843">
        <v>69.5</v>
      </c>
      <c r="BA843">
        <v>69.5</v>
      </c>
      <c r="BB843">
        <v>0</v>
      </c>
      <c r="BC843" t="s">
        <v>176</v>
      </c>
      <c r="BD843">
        <v>1509</v>
      </c>
      <c r="BE843" t="s">
        <v>169</v>
      </c>
      <c r="BF843" t="s">
        <v>163</v>
      </c>
      <c r="BG843" t="s">
        <v>164</v>
      </c>
    </row>
    <row r="844" spans="1:59">
      <c r="A844">
        <v>1115</v>
      </c>
      <c r="B844">
        <v>1115</v>
      </c>
      <c r="C844">
        <v>10</v>
      </c>
      <c r="D844">
        <v>2</v>
      </c>
      <c r="E844" t="s">
        <v>152</v>
      </c>
      <c r="F844" t="s">
        <v>153</v>
      </c>
      <c r="G844" t="s">
        <v>154</v>
      </c>
      <c r="H844">
        <v>1526006578</v>
      </c>
      <c r="I844">
        <v>1000006853</v>
      </c>
      <c r="L844" t="s">
        <v>348</v>
      </c>
      <c r="M844">
        <v>5100001227</v>
      </c>
      <c r="N844" t="s">
        <v>155</v>
      </c>
      <c r="O844" t="s">
        <v>156</v>
      </c>
      <c r="P844">
        <v>4110011319</v>
      </c>
      <c r="Q844" t="s">
        <v>175</v>
      </c>
      <c r="R844">
        <v>5000</v>
      </c>
      <c r="S844" t="s">
        <v>166</v>
      </c>
      <c r="V844" t="s">
        <v>167</v>
      </c>
      <c r="W844">
        <v>1502020074</v>
      </c>
      <c r="X844" t="s">
        <v>28</v>
      </c>
      <c r="Y844" t="str">
        <f>VLOOKUP(W844,Sheet4!$A$5:$B$71,2,0)</f>
        <v>MAX UG NEW</v>
      </c>
      <c r="Z844">
        <v>87082900</v>
      </c>
      <c r="AA844">
        <v>10</v>
      </c>
      <c r="AB844" t="s">
        <v>159</v>
      </c>
      <c r="AC844" s="24">
        <v>9397.5</v>
      </c>
      <c r="AD844" t="s">
        <v>160</v>
      </c>
      <c r="AE844" s="24">
        <v>93975</v>
      </c>
      <c r="AF844">
        <v>0</v>
      </c>
      <c r="AG844" s="24">
        <v>93975</v>
      </c>
      <c r="AH844">
        <v>0</v>
      </c>
      <c r="AI844">
        <v>0</v>
      </c>
      <c r="AJ844">
        <v>0</v>
      </c>
      <c r="AK844">
        <v>0</v>
      </c>
      <c r="AL844" s="24">
        <v>93975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 s="24">
        <v>93975</v>
      </c>
      <c r="AV844">
        <v>0</v>
      </c>
      <c r="AW844">
        <v>0</v>
      </c>
      <c r="AX844">
        <v>311000</v>
      </c>
      <c r="AY844" t="s">
        <v>161</v>
      </c>
      <c r="AZ844">
        <v>69.5</v>
      </c>
      <c r="BA844">
        <v>69.5</v>
      </c>
      <c r="BB844">
        <v>0</v>
      </c>
      <c r="BC844" t="s">
        <v>176</v>
      </c>
      <c r="BD844">
        <v>1509</v>
      </c>
      <c r="BE844" t="s">
        <v>169</v>
      </c>
      <c r="BF844" t="s">
        <v>163</v>
      </c>
      <c r="BG844" t="s">
        <v>164</v>
      </c>
    </row>
    <row r="845" spans="1:59">
      <c r="A845">
        <v>1115</v>
      </c>
      <c r="B845">
        <v>1115</v>
      </c>
      <c r="C845">
        <v>10</v>
      </c>
      <c r="D845">
        <v>2</v>
      </c>
      <c r="E845" t="s">
        <v>152</v>
      </c>
      <c r="F845" t="s">
        <v>153</v>
      </c>
      <c r="G845" t="s">
        <v>154</v>
      </c>
      <c r="H845">
        <v>1526006577</v>
      </c>
      <c r="I845">
        <v>1000006852</v>
      </c>
      <c r="L845" t="s">
        <v>348</v>
      </c>
      <c r="M845">
        <v>5100001227</v>
      </c>
      <c r="N845" t="s">
        <v>155</v>
      </c>
      <c r="O845" t="s">
        <v>156</v>
      </c>
      <c r="P845">
        <v>4110011319</v>
      </c>
      <c r="Q845" t="s">
        <v>175</v>
      </c>
      <c r="R845">
        <v>5000</v>
      </c>
      <c r="S845" t="s">
        <v>166</v>
      </c>
      <c r="V845" t="s">
        <v>167</v>
      </c>
      <c r="W845">
        <v>1502020074</v>
      </c>
      <c r="X845" t="s">
        <v>28</v>
      </c>
      <c r="Y845" t="str">
        <f>VLOOKUP(W845,Sheet4!$A$5:$B$71,2,0)</f>
        <v>MAX UG NEW</v>
      </c>
      <c r="Z845">
        <v>87082900</v>
      </c>
      <c r="AA845">
        <v>10</v>
      </c>
      <c r="AB845" t="s">
        <v>159</v>
      </c>
      <c r="AC845" s="24">
        <v>9397.5</v>
      </c>
      <c r="AD845" t="s">
        <v>160</v>
      </c>
      <c r="AE845" s="24">
        <v>93975</v>
      </c>
      <c r="AF845">
        <v>0</v>
      </c>
      <c r="AG845" s="24">
        <v>93975</v>
      </c>
      <c r="AH845">
        <v>0</v>
      </c>
      <c r="AI845">
        <v>0</v>
      </c>
      <c r="AJ845">
        <v>0</v>
      </c>
      <c r="AK845">
        <v>0</v>
      </c>
      <c r="AL845" s="24">
        <v>93975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 s="24">
        <v>93975</v>
      </c>
      <c r="AV845">
        <v>0</v>
      </c>
      <c r="AW845">
        <v>0</v>
      </c>
      <c r="AX845">
        <v>311000</v>
      </c>
      <c r="AY845" t="s">
        <v>161</v>
      </c>
      <c r="AZ845">
        <v>69.5</v>
      </c>
      <c r="BA845">
        <v>69.5</v>
      </c>
      <c r="BB845">
        <v>0</v>
      </c>
      <c r="BC845" t="s">
        <v>176</v>
      </c>
      <c r="BD845">
        <v>1509</v>
      </c>
      <c r="BE845" t="s">
        <v>169</v>
      </c>
      <c r="BF845" t="s">
        <v>163</v>
      </c>
      <c r="BG845" t="s">
        <v>164</v>
      </c>
    </row>
    <row r="846" spans="1:59">
      <c r="A846">
        <v>1115</v>
      </c>
      <c r="B846">
        <v>1115</v>
      </c>
      <c r="C846">
        <v>10</v>
      </c>
      <c r="D846">
        <v>2</v>
      </c>
      <c r="E846" t="s">
        <v>152</v>
      </c>
      <c r="F846" t="s">
        <v>153</v>
      </c>
      <c r="G846" t="s">
        <v>154</v>
      </c>
      <c r="H846">
        <v>1526006576</v>
      </c>
      <c r="I846">
        <v>1000006851</v>
      </c>
      <c r="L846" t="s">
        <v>348</v>
      </c>
      <c r="M846">
        <v>5100001227</v>
      </c>
      <c r="N846" t="s">
        <v>155</v>
      </c>
      <c r="O846" t="s">
        <v>156</v>
      </c>
      <c r="P846">
        <v>4110011319</v>
      </c>
      <c r="Q846" t="s">
        <v>175</v>
      </c>
      <c r="R846">
        <v>5000</v>
      </c>
      <c r="S846" t="s">
        <v>166</v>
      </c>
      <c r="V846" t="s">
        <v>167</v>
      </c>
      <c r="W846">
        <v>1502020074</v>
      </c>
      <c r="X846" t="s">
        <v>28</v>
      </c>
      <c r="Y846" t="str">
        <f>VLOOKUP(W846,Sheet4!$A$5:$B$71,2,0)</f>
        <v>MAX UG NEW</v>
      </c>
      <c r="Z846">
        <v>87082900</v>
      </c>
      <c r="AA846">
        <v>10</v>
      </c>
      <c r="AB846" t="s">
        <v>159</v>
      </c>
      <c r="AC846" s="24">
        <v>9397.5</v>
      </c>
      <c r="AD846" t="s">
        <v>160</v>
      </c>
      <c r="AE846" s="24">
        <v>93975</v>
      </c>
      <c r="AF846">
        <v>0</v>
      </c>
      <c r="AG846" s="24">
        <v>93975</v>
      </c>
      <c r="AH846">
        <v>0</v>
      </c>
      <c r="AI846">
        <v>0</v>
      </c>
      <c r="AJ846">
        <v>0</v>
      </c>
      <c r="AK846">
        <v>0</v>
      </c>
      <c r="AL846" s="24">
        <v>93975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 s="24">
        <v>93975</v>
      </c>
      <c r="AV846">
        <v>0</v>
      </c>
      <c r="AW846">
        <v>0</v>
      </c>
      <c r="AX846">
        <v>311000</v>
      </c>
      <c r="AY846" t="s">
        <v>161</v>
      </c>
      <c r="AZ846">
        <v>69.5</v>
      </c>
      <c r="BA846">
        <v>69.5</v>
      </c>
      <c r="BB846">
        <v>0</v>
      </c>
      <c r="BC846" t="s">
        <v>176</v>
      </c>
      <c r="BD846">
        <v>1509</v>
      </c>
      <c r="BE846" t="s">
        <v>169</v>
      </c>
      <c r="BF846" t="s">
        <v>163</v>
      </c>
      <c r="BG846" t="s">
        <v>164</v>
      </c>
    </row>
    <row r="847" spans="1:59">
      <c r="A847">
        <v>1115</v>
      </c>
      <c r="B847">
        <v>1115</v>
      </c>
      <c r="C847">
        <v>10</v>
      </c>
      <c r="D847">
        <v>2</v>
      </c>
      <c r="E847" t="s">
        <v>152</v>
      </c>
      <c r="F847" t="s">
        <v>153</v>
      </c>
      <c r="G847" t="s">
        <v>154</v>
      </c>
      <c r="H847">
        <v>1526006575</v>
      </c>
      <c r="I847">
        <v>1000006850</v>
      </c>
      <c r="L847" t="s">
        <v>348</v>
      </c>
      <c r="M847">
        <v>5100001227</v>
      </c>
      <c r="N847" t="s">
        <v>155</v>
      </c>
      <c r="O847" t="s">
        <v>156</v>
      </c>
      <c r="P847">
        <v>4110011319</v>
      </c>
      <c r="Q847" t="s">
        <v>175</v>
      </c>
      <c r="R847">
        <v>5000</v>
      </c>
      <c r="S847" t="s">
        <v>166</v>
      </c>
      <c r="V847" t="s">
        <v>167</v>
      </c>
      <c r="W847">
        <v>1502020074</v>
      </c>
      <c r="X847" t="s">
        <v>28</v>
      </c>
      <c r="Y847" t="str">
        <f>VLOOKUP(W847,Sheet4!$A$5:$B$71,2,0)</f>
        <v>MAX UG NEW</v>
      </c>
      <c r="Z847">
        <v>87082900</v>
      </c>
      <c r="AA847">
        <v>10</v>
      </c>
      <c r="AB847" t="s">
        <v>159</v>
      </c>
      <c r="AC847" s="24">
        <v>9397.5</v>
      </c>
      <c r="AD847" t="s">
        <v>160</v>
      </c>
      <c r="AE847" s="24">
        <v>93975</v>
      </c>
      <c r="AF847">
        <v>0</v>
      </c>
      <c r="AG847" s="24">
        <v>93975</v>
      </c>
      <c r="AH847">
        <v>0</v>
      </c>
      <c r="AI847">
        <v>0</v>
      </c>
      <c r="AJ847">
        <v>0</v>
      </c>
      <c r="AK847">
        <v>0</v>
      </c>
      <c r="AL847" s="24">
        <v>93975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 s="24">
        <v>93975</v>
      </c>
      <c r="AV847">
        <v>0</v>
      </c>
      <c r="AW847">
        <v>0</v>
      </c>
      <c r="AX847">
        <v>311000</v>
      </c>
      <c r="AY847" t="s">
        <v>161</v>
      </c>
      <c r="AZ847">
        <v>69.5</v>
      </c>
      <c r="BA847">
        <v>69.5</v>
      </c>
      <c r="BB847">
        <v>0</v>
      </c>
      <c r="BC847" t="s">
        <v>176</v>
      </c>
      <c r="BD847">
        <v>1509</v>
      </c>
      <c r="BE847" t="s">
        <v>169</v>
      </c>
      <c r="BF847" t="s">
        <v>163</v>
      </c>
      <c r="BG847" t="s">
        <v>164</v>
      </c>
    </row>
    <row r="848" spans="1:59">
      <c r="A848">
        <v>1115</v>
      </c>
      <c r="B848">
        <v>1115</v>
      </c>
      <c r="C848">
        <v>10</v>
      </c>
      <c r="D848">
        <v>2</v>
      </c>
      <c r="E848" t="s">
        <v>152</v>
      </c>
      <c r="F848" t="s">
        <v>153</v>
      </c>
      <c r="G848" t="s">
        <v>154</v>
      </c>
      <c r="H848">
        <v>1526006574</v>
      </c>
      <c r="I848">
        <v>1000006849</v>
      </c>
      <c r="L848" t="s">
        <v>348</v>
      </c>
      <c r="M848">
        <v>5100001227</v>
      </c>
      <c r="N848" t="s">
        <v>155</v>
      </c>
      <c r="O848" t="s">
        <v>156</v>
      </c>
      <c r="P848">
        <v>4110011319</v>
      </c>
      <c r="Q848" t="s">
        <v>175</v>
      </c>
      <c r="R848">
        <v>5000</v>
      </c>
      <c r="S848" t="s">
        <v>166</v>
      </c>
      <c r="V848" t="s">
        <v>167</v>
      </c>
      <c r="W848">
        <v>1502020074</v>
      </c>
      <c r="X848" t="s">
        <v>28</v>
      </c>
      <c r="Y848" t="str">
        <f>VLOOKUP(W848,Sheet4!$A$5:$B$71,2,0)</f>
        <v>MAX UG NEW</v>
      </c>
      <c r="Z848">
        <v>87082900</v>
      </c>
      <c r="AA848">
        <v>10</v>
      </c>
      <c r="AB848" t="s">
        <v>159</v>
      </c>
      <c r="AC848" s="24">
        <v>9397.5</v>
      </c>
      <c r="AD848" t="s">
        <v>160</v>
      </c>
      <c r="AE848" s="24">
        <v>93975</v>
      </c>
      <c r="AF848">
        <v>0</v>
      </c>
      <c r="AG848" s="24">
        <v>93975</v>
      </c>
      <c r="AH848">
        <v>0</v>
      </c>
      <c r="AI848">
        <v>0</v>
      </c>
      <c r="AJ848">
        <v>0</v>
      </c>
      <c r="AK848">
        <v>0</v>
      </c>
      <c r="AL848" s="24">
        <v>93975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 s="24">
        <v>93975</v>
      </c>
      <c r="AV848">
        <v>0</v>
      </c>
      <c r="AW848">
        <v>0</v>
      </c>
      <c r="AX848">
        <v>311000</v>
      </c>
      <c r="AY848" t="s">
        <v>161</v>
      </c>
      <c r="AZ848">
        <v>69.5</v>
      </c>
      <c r="BA848">
        <v>69.5</v>
      </c>
      <c r="BB848">
        <v>0</v>
      </c>
      <c r="BC848" t="s">
        <v>176</v>
      </c>
      <c r="BD848">
        <v>1509</v>
      </c>
      <c r="BE848" t="s">
        <v>169</v>
      </c>
      <c r="BF848" t="s">
        <v>163</v>
      </c>
      <c r="BG848" t="s">
        <v>164</v>
      </c>
    </row>
    <row r="849" spans="1:59">
      <c r="A849">
        <v>1115</v>
      </c>
      <c r="B849">
        <v>1115</v>
      </c>
      <c r="C849">
        <v>10</v>
      </c>
      <c r="D849">
        <v>2</v>
      </c>
      <c r="E849" t="s">
        <v>152</v>
      </c>
      <c r="F849" t="s">
        <v>153</v>
      </c>
      <c r="G849" t="s">
        <v>154</v>
      </c>
      <c r="H849">
        <v>1526006573</v>
      </c>
      <c r="I849">
        <v>1000006848</v>
      </c>
      <c r="L849" t="s">
        <v>348</v>
      </c>
      <c r="M849">
        <v>5100001227</v>
      </c>
      <c r="N849" t="s">
        <v>155</v>
      </c>
      <c r="O849" t="s">
        <v>156</v>
      </c>
      <c r="P849">
        <v>4110011319</v>
      </c>
      <c r="Q849" t="s">
        <v>175</v>
      </c>
      <c r="R849">
        <v>5000</v>
      </c>
      <c r="S849" t="s">
        <v>166</v>
      </c>
      <c r="V849" t="s">
        <v>167</v>
      </c>
      <c r="W849">
        <v>1502020074</v>
      </c>
      <c r="X849" t="s">
        <v>28</v>
      </c>
      <c r="Y849" t="str">
        <f>VLOOKUP(W849,Sheet4!$A$5:$B$71,2,0)</f>
        <v>MAX UG NEW</v>
      </c>
      <c r="Z849">
        <v>87082900</v>
      </c>
      <c r="AA849">
        <v>10</v>
      </c>
      <c r="AB849" t="s">
        <v>159</v>
      </c>
      <c r="AC849" s="24">
        <v>9397.5</v>
      </c>
      <c r="AD849" t="s">
        <v>160</v>
      </c>
      <c r="AE849" s="24">
        <v>93975</v>
      </c>
      <c r="AF849">
        <v>0</v>
      </c>
      <c r="AG849" s="24">
        <v>93975</v>
      </c>
      <c r="AH849">
        <v>0</v>
      </c>
      <c r="AI849">
        <v>0</v>
      </c>
      <c r="AJ849">
        <v>0</v>
      </c>
      <c r="AK849">
        <v>0</v>
      </c>
      <c r="AL849" s="24">
        <v>93975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 s="24">
        <v>93975</v>
      </c>
      <c r="AV849">
        <v>0</v>
      </c>
      <c r="AW849">
        <v>0</v>
      </c>
      <c r="AX849">
        <v>311000</v>
      </c>
      <c r="AY849" t="s">
        <v>161</v>
      </c>
      <c r="AZ849">
        <v>69.5</v>
      </c>
      <c r="BA849">
        <v>69.5</v>
      </c>
      <c r="BB849">
        <v>0</v>
      </c>
      <c r="BC849" t="s">
        <v>176</v>
      </c>
      <c r="BD849">
        <v>1509</v>
      </c>
      <c r="BE849" t="s">
        <v>169</v>
      </c>
      <c r="BF849" t="s">
        <v>163</v>
      </c>
      <c r="BG849" t="s">
        <v>164</v>
      </c>
    </row>
    <row r="850" spans="1:59">
      <c r="A850">
        <v>1115</v>
      </c>
      <c r="B850">
        <v>1115</v>
      </c>
      <c r="C850">
        <v>10</v>
      </c>
      <c r="D850">
        <v>2</v>
      </c>
      <c r="E850" t="s">
        <v>152</v>
      </c>
      <c r="F850" t="s">
        <v>153</v>
      </c>
      <c r="G850" t="s">
        <v>154</v>
      </c>
      <c r="H850">
        <v>1526006572</v>
      </c>
      <c r="I850">
        <v>1000006847</v>
      </c>
      <c r="L850" t="s">
        <v>348</v>
      </c>
      <c r="M850">
        <v>5100001227</v>
      </c>
      <c r="N850" t="s">
        <v>155</v>
      </c>
      <c r="O850" t="s">
        <v>156</v>
      </c>
      <c r="P850">
        <v>4110011319</v>
      </c>
      <c r="Q850" t="s">
        <v>175</v>
      </c>
      <c r="R850">
        <v>5000</v>
      </c>
      <c r="S850" t="s">
        <v>166</v>
      </c>
      <c r="V850" t="s">
        <v>167</v>
      </c>
      <c r="W850">
        <v>1502020074</v>
      </c>
      <c r="X850" t="s">
        <v>28</v>
      </c>
      <c r="Y850" t="str">
        <f>VLOOKUP(W850,Sheet4!$A$5:$B$71,2,0)</f>
        <v>MAX UG NEW</v>
      </c>
      <c r="Z850">
        <v>87082900</v>
      </c>
      <c r="AA850">
        <v>10</v>
      </c>
      <c r="AB850" t="s">
        <v>159</v>
      </c>
      <c r="AC850" s="24">
        <v>9397.5</v>
      </c>
      <c r="AD850" t="s">
        <v>160</v>
      </c>
      <c r="AE850" s="24">
        <v>93975</v>
      </c>
      <c r="AF850">
        <v>0</v>
      </c>
      <c r="AG850" s="24">
        <v>93975</v>
      </c>
      <c r="AH850">
        <v>0</v>
      </c>
      <c r="AI850">
        <v>0</v>
      </c>
      <c r="AJ850">
        <v>0</v>
      </c>
      <c r="AK850">
        <v>0</v>
      </c>
      <c r="AL850" s="24">
        <v>93975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 s="24">
        <v>93975</v>
      </c>
      <c r="AV850">
        <v>0</v>
      </c>
      <c r="AW850">
        <v>0</v>
      </c>
      <c r="AX850">
        <v>311000</v>
      </c>
      <c r="AY850" t="s">
        <v>161</v>
      </c>
      <c r="AZ850">
        <v>69.5</v>
      </c>
      <c r="BA850">
        <v>69.5</v>
      </c>
      <c r="BB850">
        <v>0</v>
      </c>
      <c r="BC850" t="s">
        <v>176</v>
      </c>
      <c r="BD850">
        <v>1509</v>
      </c>
      <c r="BE850" t="s">
        <v>169</v>
      </c>
      <c r="BF850" t="s">
        <v>163</v>
      </c>
      <c r="BG850" t="s">
        <v>164</v>
      </c>
    </row>
    <row r="851" spans="1:59">
      <c r="A851">
        <v>1115</v>
      </c>
      <c r="B851">
        <v>1115</v>
      </c>
      <c r="C851">
        <v>10</v>
      </c>
      <c r="D851">
        <v>2</v>
      </c>
      <c r="E851" t="s">
        <v>152</v>
      </c>
      <c r="F851" t="s">
        <v>153</v>
      </c>
      <c r="G851" t="s">
        <v>154</v>
      </c>
      <c r="H851">
        <v>1526006570</v>
      </c>
      <c r="I851">
        <v>1000006846</v>
      </c>
      <c r="L851" t="s">
        <v>348</v>
      </c>
      <c r="M851">
        <v>5100001227</v>
      </c>
      <c r="N851" t="s">
        <v>155</v>
      </c>
      <c r="O851" t="s">
        <v>156</v>
      </c>
      <c r="P851">
        <v>4110011319</v>
      </c>
      <c r="Q851" t="s">
        <v>175</v>
      </c>
      <c r="R851">
        <v>5000</v>
      </c>
      <c r="S851" t="s">
        <v>166</v>
      </c>
      <c r="V851" t="s">
        <v>167</v>
      </c>
      <c r="W851">
        <v>1502020074</v>
      </c>
      <c r="X851" t="s">
        <v>28</v>
      </c>
      <c r="Y851" t="str">
        <f>VLOOKUP(W851,Sheet4!$A$5:$B$71,2,0)</f>
        <v>MAX UG NEW</v>
      </c>
      <c r="Z851">
        <v>87082900</v>
      </c>
      <c r="AA851">
        <v>10</v>
      </c>
      <c r="AB851" t="s">
        <v>159</v>
      </c>
      <c r="AC851" s="24">
        <v>9397.5</v>
      </c>
      <c r="AD851" t="s">
        <v>160</v>
      </c>
      <c r="AE851" s="24">
        <v>93975</v>
      </c>
      <c r="AF851">
        <v>0</v>
      </c>
      <c r="AG851" s="24">
        <v>93975</v>
      </c>
      <c r="AH851">
        <v>0</v>
      </c>
      <c r="AI851">
        <v>0</v>
      </c>
      <c r="AJ851">
        <v>0</v>
      </c>
      <c r="AK851">
        <v>0</v>
      </c>
      <c r="AL851" s="24">
        <v>93975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 s="24">
        <v>93975</v>
      </c>
      <c r="AV851">
        <v>0</v>
      </c>
      <c r="AW851">
        <v>0</v>
      </c>
      <c r="AX851">
        <v>311000</v>
      </c>
      <c r="AY851" t="s">
        <v>161</v>
      </c>
      <c r="AZ851">
        <v>69.5</v>
      </c>
      <c r="BA851">
        <v>69.5</v>
      </c>
      <c r="BB851">
        <v>0</v>
      </c>
      <c r="BC851" t="s">
        <v>176</v>
      </c>
      <c r="BD851">
        <v>1509</v>
      </c>
      <c r="BE851" t="s">
        <v>169</v>
      </c>
      <c r="BF851" t="s">
        <v>163</v>
      </c>
      <c r="BG851" t="s">
        <v>164</v>
      </c>
    </row>
    <row r="852" spans="1:59">
      <c r="A852">
        <v>1115</v>
      </c>
      <c r="B852">
        <v>1115</v>
      </c>
      <c r="C852">
        <v>10</v>
      </c>
      <c r="D852">
        <v>2</v>
      </c>
      <c r="E852" t="s">
        <v>152</v>
      </c>
      <c r="F852" t="s">
        <v>153</v>
      </c>
      <c r="G852" t="s">
        <v>154</v>
      </c>
      <c r="H852">
        <v>1526006569</v>
      </c>
      <c r="I852">
        <v>1000006845</v>
      </c>
      <c r="L852" t="s">
        <v>348</v>
      </c>
      <c r="M852">
        <v>5100001227</v>
      </c>
      <c r="N852" t="s">
        <v>155</v>
      </c>
      <c r="O852" t="s">
        <v>156</v>
      </c>
      <c r="P852">
        <v>4110011319</v>
      </c>
      <c r="Q852" t="s">
        <v>175</v>
      </c>
      <c r="R852">
        <v>5000</v>
      </c>
      <c r="S852" t="s">
        <v>166</v>
      </c>
      <c r="V852" t="s">
        <v>167</v>
      </c>
      <c r="W852">
        <v>1502020074</v>
      </c>
      <c r="X852" t="s">
        <v>28</v>
      </c>
      <c r="Y852" t="str">
        <f>VLOOKUP(W852,Sheet4!$A$5:$B$71,2,0)</f>
        <v>MAX UG NEW</v>
      </c>
      <c r="Z852">
        <v>87082900</v>
      </c>
      <c r="AA852">
        <v>10</v>
      </c>
      <c r="AB852" t="s">
        <v>159</v>
      </c>
      <c r="AC852" s="24">
        <v>9397.5</v>
      </c>
      <c r="AD852" t="s">
        <v>160</v>
      </c>
      <c r="AE852" s="24">
        <v>93975</v>
      </c>
      <c r="AF852">
        <v>0</v>
      </c>
      <c r="AG852" s="24">
        <v>93975</v>
      </c>
      <c r="AH852">
        <v>0</v>
      </c>
      <c r="AI852">
        <v>0</v>
      </c>
      <c r="AJ852">
        <v>0</v>
      </c>
      <c r="AK852">
        <v>0</v>
      </c>
      <c r="AL852" s="24">
        <v>93975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 s="24">
        <v>93975</v>
      </c>
      <c r="AV852">
        <v>0</v>
      </c>
      <c r="AW852">
        <v>0</v>
      </c>
      <c r="AX852">
        <v>311000</v>
      </c>
      <c r="AY852" t="s">
        <v>161</v>
      </c>
      <c r="AZ852">
        <v>69.5</v>
      </c>
      <c r="BA852">
        <v>69.5</v>
      </c>
      <c r="BB852">
        <v>0</v>
      </c>
      <c r="BC852" t="s">
        <v>176</v>
      </c>
      <c r="BD852">
        <v>1509</v>
      </c>
      <c r="BE852" t="s">
        <v>169</v>
      </c>
      <c r="BF852" t="s">
        <v>163</v>
      </c>
      <c r="BG852" t="s">
        <v>164</v>
      </c>
    </row>
    <row r="853" spans="1:59">
      <c r="A853">
        <v>1115</v>
      </c>
      <c r="B853">
        <v>1115</v>
      </c>
      <c r="C853">
        <v>10</v>
      </c>
      <c r="D853">
        <v>2</v>
      </c>
      <c r="E853" t="s">
        <v>152</v>
      </c>
      <c r="F853" t="s">
        <v>153</v>
      </c>
      <c r="G853" t="s">
        <v>154</v>
      </c>
      <c r="H853">
        <v>1526006568</v>
      </c>
      <c r="I853">
        <v>1000006844</v>
      </c>
      <c r="L853" t="s">
        <v>348</v>
      </c>
      <c r="M853">
        <v>5100001949</v>
      </c>
      <c r="N853" t="s">
        <v>155</v>
      </c>
      <c r="O853" t="s">
        <v>156</v>
      </c>
      <c r="P853">
        <v>4110063766</v>
      </c>
      <c r="Q853" t="s">
        <v>252</v>
      </c>
      <c r="R853">
        <v>5000</v>
      </c>
      <c r="S853" t="s">
        <v>166</v>
      </c>
      <c r="V853" t="s">
        <v>167</v>
      </c>
      <c r="W853">
        <v>1502040322</v>
      </c>
      <c r="X853" t="s">
        <v>250</v>
      </c>
      <c r="Y853" t="str">
        <f>VLOOKUP(W853,Sheet4!$A$5:$B$71,2,0)</f>
        <v>DASH BOARD</v>
      </c>
      <c r="Z853">
        <v>87082900</v>
      </c>
      <c r="AA853">
        <v>120</v>
      </c>
      <c r="AB853" t="s">
        <v>159</v>
      </c>
      <c r="AC853">
        <v>291.27999999999997</v>
      </c>
      <c r="AD853" t="s">
        <v>160</v>
      </c>
      <c r="AE853" s="24">
        <v>34953.599999999999</v>
      </c>
      <c r="AF853">
        <v>0</v>
      </c>
      <c r="AG853" s="24">
        <v>34953.599999999999</v>
      </c>
      <c r="AH853">
        <v>0</v>
      </c>
      <c r="AI853">
        <v>0</v>
      </c>
      <c r="AJ853">
        <v>0</v>
      </c>
      <c r="AK853">
        <v>0</v>
      </c>
      <c r="AL853" s="24">
        <v>34953.599999999999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 s="24">
        <v>34953.599999999999</v>
      </c>
      <c r="AV853">
        <v>0</v>
      </c>
      <c r="AW853">
        <v>0</v>
      </c>
      <c r="AX853">
        <v>311000</v>
      </c>
      <c r="AY853" t="s">
        <v>161</v>
      </c>
      <c r="AZ853">
        <v>2.37</v>
      </c>
      <c r="BA853">
        <v>2.37</v>
      </c>
      <c r="BB853">
        <v>0</v>
      </c>
      <c r="BC853" t="s">
        <v>251</v>
      </c>
      <c r="BD853">
        <v>1511</v>
      </c>
      <c r="BE853" t="s">
        <v>174</v>
      </c>
      <c r="BF853" t="s">
        <v>163</v>
      </c>
      <c r="BG853" t="s">
        <v>164</v>
      </c>
    </row>
    <row r="854" spans="1:59">
      <c r="A854">
        <v>1115</v>
      </c>
      <c r="B854">
        <v>1115</v>
      </c>
      <c r="C854">
        <v>10</v>
      </c>
      <c r="D854">
        <v>2</v>
      </c>
      <c r="E854" t="s">
        <v>152</v>
      </c>
      <c r="F854" t="s">
        <v>153</v>
      </c>
      <c r="G854" t="s">
        <v>154</v>
      </c>
      <c r="H854">
        <v>1526006567</v>
      </c>
      <c r="I854">
        <v>1000006843</v>
      </c>
      <c r="L854" t="s">
        <v>348</v>
      </c>
      <c r="M854">
        <v>5100001899</v>
      </c>
      <c r="N854" t="s">
        <v>155</v>
      </c>
      <c r="O854" t="s">
        <v>156</v>
      </c>
      <c r="P854">
        <v>4110041854</v>
      </c>
      <c r="Q854" t="s">
        <v>172</v>
      </c>
      <c r="R854">
        <v>5000</v>
      </c>
      <c r="S854" t="s">
        <v>166</v>
      </c>
      <c r="V854" t="s">
        <v>167</v>
      </c>
      <c r="W854">
        <v>1502040267</v>
      </c>
      <c r="X854" t="s">
        <v>63</v>
      </c>
      <c r="Y854" t="str">
        <f>VLOOKUP(W854,Sheet4!$A$5:$B$71,2,0)</f>
        <v>DASH BOARD</v>
      </c>
      <c r="Z854">
        <v>87082900</v>
      </c>
      <c r="AA854">
        <v>384</v>
      </c>
      <c r="AB854" t="s">
        <v>159</v>
      </c>
      <c r="AC854">
        <v>290.89999999999998</v>
      </c>
      <c r="AD854" t="s">
        <v>160</v>
      </c>
      <c r="AE854" s="24">
        <v>111705.60000000001</v>
      </c>
      <c r="AF854">
        <v>0</v>
      </c>
      <c r="AG854" s="24">
        <v>111705.60000000001</v>
      </c>
      <c r="AH854">
        <v>0</v>
      </c>
      <c r="AI854">
        <v>0</v>
      </c>
      <c r="AJ854">
        <v>0</v>
      </c>
      <c r="AK854">
        <v>0</v>
      </c>
      <c r="AL854" s="24">
        <v>111705.60000000001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 s="24">
        <v>111705.60000000001</v>
      </c>
      <c r="AV854">
        <v>0</v>
      </c>
      <c r="AW854">
        <v>0</v>
      </c>
      <c r="AX854">
        <v>311000</v>
      </c>
      <c r="AY854" t="s">
        <v>161</v>
      </c>
      <c r="AZ854">
        <v>4.5</v>
      </c>
      <c r="BA854">
        <v>4.5</v>
      </c>
      <c r="BB854">
        <v>0</v>
      </c>
      <c r="BC854" t="s">
        <v>173</v>
      </c>
      <c r="BD854">
        <v>1511</v>
      </c>
      <c r="BE854" t="s">
        <v>174</v>
      </c>
      <c r="BF854" t="s">
        <v>163</v>
      </c>
      <c r="BG854" t="s">
        <v>164</v>
      </c>
    </row>
    <row r="855" spans="1:59">
      <c r="A855">
        <v>1115</v>
      </c>
      <c r="B855">
        <v>1115</v>
      </c>
      <c r="C855">
        <v>10</v>
      </c>
      <c r="D855">
        <v>2</v>
      </c>
      <c r="E855" t="s">
        <v>152</v>
      </c>
      <c r="F855" t="s">
        <v>153</v>
      </c>
      <c r="G855" t="s">
        <v>154</v>
      </c>
      <c r="H855">
        <v>1526006566</v>
      </c>
      <c r="I855">
        <v>1000006842</v>
      </c>
      <c r="L855" t="s">
        <v>348</v>
      </c>
      <c r="M855">
        <v>5100001924</v>
      </c>
      <c r="N855" t="s">
        <v>155</v>
      </c>
      <c r="O855" t="s">
        <v>156</v>
      </c>
      <c r="P855">
        <v>4110055642</v>
      </c>
      <c r="Q855" t="s">
        <v>199</v>
      </c>
      <c r="R855">
        <v>5000</v>
      </c>
      <c r="S855" t="s">
        <v>166</v>
      </c>
      <c r="V855" t="s">
        <v>167</v>
      </c>
      <c r="W855">
        <v>1502040314</v>
      </c>
      <c r="X855" t="s">
        <v>248</v>
      </c>
      <c r="Y855" t="str">
        <f>VLOOKUP(W855,Sheet4!$A$5:$B$71,2,0)</f>
        <v>Re Side Door</v>
      </c>
      <c r="Z855">
        <v>87082900</v>
      </c>
      <c r="AA855">
        <v>120</v>
      </c>
      <c r="AB855" t="s">
        <v>159</v>
      </c>
      <c r="AC855">
        <v>504.46</v>
      </c>
      <c r="AD855" t="s">
        <v>160</v>
      </c>
      <c r="AE855" s="24">
        <v>60535.199999999997</v>
      </c>
      <c r="AF855">
        <v>0</v>
      </c>
      <c r="AG855" s="24">
        <v>60535.199999999997</v>
      </c>
      <c r="AH855">
        <v>0</v>
      </c>
      <c r="AI855">
        <v>0</v>
      </c>
      <c r="AJ855">
        <v>0</v>
      </c>
      <c r="AK855">
        <v>0</v>
      </c>
      <c r="AL855" s="24">
        <v>60535.199999999997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 s="24">
        <v>60535.199999999997</v>
      </c>
      <c r="AV855">
        <v>0</v>
      </c>
      <c r="AW855">
        <v>0</v>
      </c>
      <c r="AX855">
        <v>311000</v>
      </c>
      <c r="AY855" t="s">
        <v>161</v>
      </c>
      <c r="AZ855">
        <v>2.27</v>
      </c>
      <c r="BA855">
        <v>2.27</v>
      </c>
      <c r="BB855">
        <v>0</v>
      </c>
      <c r="BC855" t="s">
        <v>249</v>
      </c>
      <c r="BD855">
        <v>1511</v>
      </c>
      <c r="BE855" t="s">
        <v>174</v>
      </c>
      <c r="BF855" t="s">
        <v>163</v>
      </c>
      <c r="BG855" t="s">
        <v>164</v>
      </c>
    </row>
    <row r="856" spans="1:59">
      <c r="A856">
        <v>1115</v>
      </c>
      <c r="B856">
        <v>1115</v>
      </c>
      <c r="C856">
        <v>10</v>
      </c>
      <c r="D856">
        <v>2</v>
      </c>
      <c r="E856" t="s">
        <v>152</v>
      </c>
      <c r="F856" t="s">
        <v>153</v>
      </c>
      <c r="G856" t="s">
        <v>154</v>
      </c>
      <c r="H856">
        <v>1526006565</v>
      </c>
      <c r="I856">
        <v>1000006841</v>
      </c>
      <c r="L856" t="s">
        <v>348</v>
      </c>
      <c r="M856">
        <v>5100001924</v>
      </c>
      <c r="N856" t="s">
        <v>155</v>
      </c>
      <c r="O856" t="s">
        <v>156</v>
      </c>
      <c r="P856">
        <v>4110055642</v>
      </c>
      <c r="Q856" t="s">
        <v>199</v>
      </c>
      <c r="R856">
        <v>5000</v>
      </c>
      <c r="S856" t="s">
        <v>166</v>
      </c>
      <c r="V856" t="s">
        <v>167</v>
      </c>
      <c r="W856">
        <v>1502040313</v>
      </c>
      <c r="X856" t="s">
        <v>246</v>
      </c>
      <c r="Y856" t="str">
        <f>VLOOKUP(W856,Sheet4!$A$5:$B$71,2,0)</f>
        <v>Re Side Door</v>
      </c>
      <c r="Z856">
        <v>87082900</v>
      </c>
      <c r="AA856">
        <v>120</v>
      </c>
      <c r="AB856" t="s">
        <v>159</v>
      </c>
      <c r="AC856">
        <v>504.46</v>
      </c>
      <c r="AD856" t="s">
        <v>160</v>
      </c>
      <c r="AE856" s="24">
        <v>60535.199999999997</v>
      </c>
      <c r="AF856">
        <v>0</v>
      </c>
      <c r="AG856" s="24">
        <v>60535.199999999997</v>
      </c>
      <c r="AH856">
        <v>0</v>
      </c>
      <c r="AI856">
        <v>0</v>
      </c>
      <c r="AJ856">
        <v>0</v>
      </c>
      <c r="AK856">
        <v>0</v>
      </c>
      <c r="AL856" s="24">
        <v>60535.199999999997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 s="24">
        <v>60535.199999999997</v>
      </c>
      <c r="AV856">
        <v>0</v>
      </c>
      <c r="AW856">
        <v>0</v>
      </c>
      <c r="AX856">
        <v>311000</v>
      </c>
      <c r="AY856" t="s">
        <v>161</v>
      </c>
      <c r="AZ856">
        <v>2.27</v>
      </c>
      <c r="BA856">
        <v>2.27</v>
      </c>
      <c r="BB856">
        <v>0</v>
      </c>
      <c r="BC856" t="s">
        <v>247</v>
      </c>
      <c r="BD856">
        <v>1511</v>
      </c>
      <c r="BE856" t="s">
        <v>174</v>
      </c>
      <c r="BF856" t="s">
        <v>163</v>
      </c>
      <c r="BG856" t="s">
        <v>164</v>
      </c>
    </row>
    <row r="857" spans="1:59">
      <c r="A857">
        <v>1115</v>
      </c>
      <c r="B857">
        <v>1115</v>
      </c>
      <c r="C857">
        <v>10</v>
      </c>
      <c r="D857">
        <v>2</v>
      </c>
      <c r="E857" t="s">
        <v>152</v>
      </c>
      <c r="F857" t="s">
        <v>153</v>
      </c>
      <c r="G857" t="s">
        <v>154</v>
      </c>
      <c r="H857">
        <v>1526006564</v>
      </c>
      <c r="I857">
        <v>1000006840</v>
      </c>
      <c r="L857" t="s">
        <v>348</v>
      </c>
      <c r="M857">
        <v>5100001227</v>
      </c>
      <c r="N857" t="s">
        <v>155</v>
      </c>
      <c r="O857" t="s">
        <v>156</v>
      </c>
      <c r="P857">
        <v>4110011319</v>
      </c>
      <c r="Q857" t="s">
        <v>175</v>
      </c>
      <c r="R857">
        <v>5000</v>
      </c>
      <c r="S857" t="s">
        <v>166</v>
      </c>
      <c r="V857" t="s">
        <v>167</v>
      </c>
      <c r="W857">
        <v>1502020074</v>
      </c>
      <c r="X857" t="s">
        <v>28</v>
      </c>
      <c r="Y857" t="str">
        <f>VLOOKUP(W857,Sheet4!$A$5:$B$71,2,0)</f>
        <v>MAX UG NEW</v>
      </c>
      <c r="Z857">
        <v>87082900</v>
      </c>
      <c r="AA857">
        <v>10</v>
      </c>
      <c r="AB857" t="s">
        <v>159</v>
      </c>
      <c r="AC857" s="24">
        <v>9397.5</v>
      </c>
      <c r="AD857" t="s">
        <v>160</v>
      </c>
      <c r="AE857" s="24">
        <v>93975</v>
      </c>
      <c r="AF857">
        <v>0</v>
      </c>
      <c r="AG857" s="24">
        <v>93975</v>
      </c>
      <c r="AH857">
        <v>0</v>
      </c>
      <c r="AI857">
        <v>0</v>
      </c>
      <c r="AJ857">
        <v>0</v>
      </c>
      <c r="AK857">
        <v>0</v>
      </c>
      <c r="AL857" s="24">
        <v>93975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 s="24">
        <v>93975</v>
      </c>
      <c r="AV857">
        <v>0</v>
      </c>
      <c r="AW857">
        <v>0</v>
      </c>
      <c r="AX857">
        <v>311000</v>
      </c>
      <c r="AY857" t="s">
        <v>161</v>
      </c>
      <c r="AZ857">
        <v>69.5</v>
      </c>
      <c r="BA857">
        <v>69.5</v>
      </c>
      <c r="BB857">
        <v>0</v>
      </c>
      <c r="BC857" t="s">
        <v>176</v>
      </c>
      <c r="BD857">
        <v>1509</v>
      </c>
      <c r="BE857" t="s">
        <v>169</v>
      </c>
      <c r="BF857" t="s">
        <v>163</v>
      </c>
      <c r="BG857" t="s">
        <v>164</v>
      </c>
    </row>
    <row r="858" spans="1:59">
      <c r="A858">
        <v>1115</v>
      </c>
      <c r="B858">
        <v>1115</v>
      </c>
      <c r="C858">
        <v>10</v>
      </c>
      <c r="D858">
        <v>2</v>
      </c>
      <c r="E858" t="s">
        <v>152</v>
      </c>
      <c r="F858" t="s">
        <v>153</v>
      </c>
      <c r="G858" t="s">
        <v>154</v>
      </c>
      <c r="H858">
        <v>1526006563</v>
      </c>
      <c r="I858">
        <v>1000006839</v>
      </c>
      <c r="L858" t="s">
        <v>348</v>
      </c>
      <c r="M858">
        <v>5100001227</v>
      </c>
      <c r="N858" t="s">
        <v>155</v>
      </c>
      <c r="O858" t="s">
        <v>156</v>
      </c>
      <c r="P858">
        <v>4110011319</v>
      </c>
      <c r="Q858" t="s">
        <v>175</v>
      </c>
      <c r="R858">
        <v>5000</v>
      </c>
      <c r="S858" t="s">
        <v>166</v>
      </c>
      <c r="V858" t="s">
        <v>167</v>
      </c>
      <c r="W858">
        <v>1502020074</v>
      </c>
      <c r="X858" t="s">
        <v>28</v>
      </c>
      <c r="Y858" t="str">
        <f>VLOOKUP(W858,Sheet4!$A$5:$B$71,2,0)</f>
        <v>MAX UG NEW</v>
      </c>
      <c r="Z858">
        <v>87082900</v>
      </c>
      <c r="AA858">
        <v>10</v>
      </c>
      <c r="AB858" t="s">
        <v>159</v>
      </c>
      <c r="AC858" s="24">
        <v>9397.5</v>
      </c>
      <c r="AD858" t="s">
        <v>160</v>
      </c>
      <c r="AE858" s="24">
        <v>93975</v>
      </c>
      <c r="AF858">
        <v>0</v>
      </c>
      <c r="AG858" s="24">
        <v>93975</v>
      </c>
      <c r="AH858">
        <v>0</v>
      </c>
      <c r="AI858">
        <v>0</v>
      </c>
      <c r="AJ858">
        <v>0</v>
      </c>
      <c r="AK858">
        <v>0</v>
      </c>
      <c r="AL858" s="24">
        <v>93975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 s="24">
        <v>93975</v>
      </c>
      <c r="AV858">
        <v>0</v>
      </c>
      <c r="AW858">
        <v>0</v>
      </c>
      <c r="AX858">
        <v>311000</v>
      </c>
      <c r="AY858" t="s">
        <v>161</v>
      </c>
      <c r="AZ858">
        <v>69.5</v>
      </c>
      <c r="BA858">
        <v>69.5</v>
      </c>
      <c r="BB858">
        <v>0</v>
      </c>
      <c r="BC858" t="s">
        <v>176</v>
      </c>
      <c r="BD858">
        <v>1509</v>
      </c>
      <c r="BE858" t="s">
        <v>169</v>
      </c>
      <c r="BF858" t="s">
        <v>163</v>
      </c>
      <c r="BG858" t="s">
        <v>164</v>
      </c>
    </row>
    <row r="859" spans="1:59">
      <c r="A859">
        <v>1115</v>
      </c>
      <c r="B859">
        <v>1115</v>
      </c>
      <c r="C859">
        <v>10</v>
      </c>
      <c r="D859">
        <v>2</v>
      </c>
      <c r="E859" t="s">
        <v>152</v>
      </c>
      <c r="F859" t="s">
        <v>153</v>
      </c>
      <c r="G859" t="s">
        <v>154</v>
      </c>
      <c r="H859">
        <v>1526006562</v>
      </c>
      <c r="I859">
        <v>1000006838</v>
      </c>
      <c r="L859" t="s">
        <v>348</v>
      </c>
      <c r="M859">
        <v>5100001939</v>
      </c>
      <c r="N859" t="s">
        <v>155</v>
      </c>
      <c r="O859" t="s">
        <v>156</v>
      </c>
      <c r="P859">
        <v>4110059608</v>
      </c>
      <c r="Q859" t="s">
        <v>240</v>
      </c>
      <c r="R859">
        <v>5000</v>
      </c>
      <c r="S859" t="s">
        <v>166</v>
      </c>
      <c r="V859" t="s">
        <v>167</v>
      </c>
      <c r="W859">
        <v>1502020129</v>
      </c>
      <c r="X859" t="s">
        <v>241</v>
      </c>
      <c r="Y859" t="str">
        <f>VLOOKUP(W859,Sheet4!$A$5:$B$71,2,0)</f>
        <v>RE STYLING</v>
      </c>
      <c r="Z859">
        <v>87082900</v>
      </c>
      <c r="AA859">
        <v>6</v>
      </c>
      <c r="AB859" t="s">
        <v>159</v>
      </c>
      <c r="AC859" s="24">
        <v>6500.18</v>
      </c>
      <c r="AD859" t="s">
        <v>160</v>
      </c>
      <c r="AE859" s="24">
        <v>39001.08</v>
      </c>
      <c r="AF859">
        <v>0</v>
      </c>
      <c r="AG859" s="24">
        <v>39001.08</v>
      </c>
      <c r="AH859">
        <v>0</v>
      </c>
      <c r="AI859">
        <v>0</v>
      </c>
      <c r="AJ859">
        <v>0</v>
      </c>
      <c r="AK859">
        <v>0</v>
      </c>
      <c r="AL859" s="24">
        <v>39001.08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 s="24">
        <v>39001.08</v>
      </c>
      <c r="AV859">
        <v>0</v>
      </c>
      <c r="AW859">
        <v>0</v>
      </c>
      <c r="AX859">
        <v>311000</v>
      </c>
      <c r="AY859" t="s">
        <v>161</v>
      </c>
      <c r="AZ859">
        <v>0</v>
      </c>
      <c r="BA859">
        <v>0</v>
      </c>
      <c r="BB859">
        <v>0</v>
      </c>
      <c r="BC859" t="s">
        <v>242</v>
      </c>
      <c r="BD859">
        <v>1509</v>
      </c>
      <c r="BE859" t="s">
        <v>169</v>
      </c>
      <c r="BF859" t="s">
        <v>163</v>
      </c>
      <c r="BG859" t="s">
        <v>164</v>
      </c>
    </row>
    <row r="860" spans="1:59">
      <c r="A860">
        <v>1115</v>
      </c>
      <c r="B860">
        <v>1115</v>
      </c>
      <c r="C860">
        <v>10</v>
      </c>
      <c r="D860">
        <v>2</v>
      </c>
      <c r="E860" t="s">
        <v>152</v>
      </c>
      <c r="F860" t="s">
        <v>153</v>
      </c>
      <c r="G860" t="s">
        <v>154</v>
      </c>
      <c r="H860">
        <v>1526006561</v>
      </c>
      <c r="I860">
        <v>1000006837</v>
      </c>
      <c r="L860" t="s">
        <v>348</v>
      </c>
      <c r="M860">
        <v>5100001666</v>
      </c>
      <c r="N860" t="s">
        <v>155</v>
      </c>
      <c r="O860" t="s">
        <v>156</v>
      </c>
      <c r="P860">
        <v>4110027035</v>
      </c>
      <c r="Q860" t="s">
        <v>225</v>
      </c>
      <c r="R860">
        <v>5000</v>
      </c>
      <c r="S860" t="s">
        <v>166</v>
      </c>
      <c r="V860" t="s">
        <v>167</v>
      </c>
      <c r="W860">
        <v>1502020105</v>
      </c>
      <c r="X860" t="s">
        <v>226</v>
      </c>
      <c r="Y860" t="str">
        <f>VLOOKUP(W860,Sheet4!$A$5:$B$71,2,0)</f>
        <v>RE STYLING</v>
      </c>
      <c r="Z860">
        <v>87082900</v>
      </c>
      <c r="AA860">
        <v>9</v>
      </c>
      <c r="AB860" t="s">
        <v>159</v>
      </c>
      <c r="AC860" s="24">
        <v>6570.77</v>
      </c>
      <c r="AD860" t="s">
        <v>160</v>
      </c>
      <c r="AE860" s="24">
        <v>59136.93</v>
      </c>
      <c r="AF860">
        <v>0</v>
      </c>
      <c r="AG860" s="24">
        <v>59136.93</v>
      </c>
      <c r="AH860">
        <v>0</v>
      </c>
      <c r="AI860">
        <v>0</v>
      </c>
      <c r="AJ860">
        <v>0</v>
      </c>
      <c r="AK860">
        <v>0</v>
      </c>
      <c r="AL860" s="24">
        <v>59136.93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 s="24">
        <v>59136.93</v>
      </c>
      <c r="AV860">
        <v>0</v>
      </c>
      <c r="AW860">
        <v>0</v>
      </c>
      <c r="AX860">
        <v>311000</v>
      </c>
      <c r="AY860" t="s">
        <v>161</v>
      </c>
      <c r="AZ860">
        <v>49.75</v>
      </c>
      <c r="BA860">
        <v>49.75</v>
      </c>
      <c r="BB860">
        <v>0</v>
      </c>
      <c r="BC860" t="s">
        <v>227</v>
      </c>
      <c r="BD860">
        <v>1509</v>
      </c>
      <c r="BE860" t="s">
        <v>169</v>
      </c>
      <c r="BF860" t="s">
        <v>163</v>
      </c>
      <c r="BG860" t="s">
        <v>164</v>
      </c>
    </row>
    <row r="861" spans="1:59">
      <c r="A861">
        <v>1115</v>
      </c>
      <c r="B861">
        <v>1115</v>
      </c>
      <c r="C861">
        <v>10</v>
      </c>
      <c r="D861">
        <v>2</v>
      </c>
      <c r="E861" t="s">
        <v>152</v>
      </c>
      <c r="F861" t="s">
        <v>153</v>
      </c>
      <c r="G861" t="s">
        <v>154</v>
      </c>
      <c r="H861">
        <v>1526006560</v>
      </c>
      <c r="I861">
        <v>1000006836</v>
      </c>
      <c r="L861" t="s">
        <v>348</v>
      </c>
      <c r="M861">
        <v>5100001636</v>
      </c>
      <c r="N861" t="s">
        <v>155</v>
      </c>
      <c r="O861" t="s">
        <v>156</v>
      </c>
      <c r="P861">
        <v>4110026445</v>
      </c>
      <c r="Q861" t="s">
        <v>170</v>
      </c>
      <c r="R861">
        <v>5000</v>
      </c>
      <c r="S861" t="s">
        <v>166</v>
      </c>
      <c r="V861" t="s">
        <v>167</v>
      </c>
      <c r="W861">
        <v>1502020104</v>
      </c>
      <c r="X861" t="s">
        <v>26</v>
      </c>
      <c r="Y861" t="str">
        <f>VLOOKUP(W861,Sheet4!$A$5:$B$71,2,0)</f>
        <v>RE STYLING</v>
      </c>
      <c r="Z861">
        <v>87082900</v>
      </c>
      <c r="AA861">
        <v>15</v>
      </c>
      <c r="AB861" t="s">
        <v>159</v>
      </c>
      <c r="AC861" s="24">
        <v>6585.55</v>
      </c>
      <c r="AD861" t="s">
        <v>160</v>
      </c>
      <c r="AE861" s="24">
        <v>98783.25</v>
      </c>
      <c r="AF861">
        <v>0</v>
      </c>
      <c r="AG861" s="24">
        <v>98783.25</v>
      </c>
      <c r="AH861">
        <v>0</v>
      </c>
      <c r="AI861">
        <v>0</v>
      </c>
      <c r="AJ861">
        <v>0</v>
      </c>
      <c r="AK861">
        <v>0</v>
      </c>
      <c r="AL861" s="24">
        <v>98783.25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 s="24">
        <v>98783.25</v>
      </c>
      <c r="AV861">
        <v>0</v>
      </c>
      <c r="AW861">
        <v>0</v>
      </c>
      <c r="AX861">
        <v>311000</v>
      </c>
      <c r="AY861" t="s">
        <v>161</v>
      </c>
      <c r="AZ861">
        <v>49.75</v>
      </c>
      <c r="BA861">
        <v>49.75</v>
      </c>
      <c r="BB861">
        <v>0</v>
      </c>
      <c r="BC861" t="s">
        <v>171</v>
      </c>
      <c r="BD861">
        <v>1509</v>
      </c>
      <c r="BE861" t="s">
        <v>169</v>
      </c>
      <c r="BF861" t="s">
        <v>163</v>
      </c>
      <c r="BG861" t="s">
        <v>164</v>
      </c>
    </row>
    <row r="862" spans="1:59">
      <c r="A862">
        <v>1115</v>
      </c>
      <c r="B862">
        <v>1115</v>
      </c>
      <c r="C862">
        <v>10</v>
      </c>
      <c r="D862">
        <v>2</v>
      </c>
      <c r="E862" t="s">
        <v>152</v>
      </c>
      <c r="F862" t="s">
        <v>153</v>
      </c>
      <c r="G862" t="s">
        <v>154</v>
      </c>
      <c r="H862">
        <v>1526006559</v>
      </c>
      <c r="I862">
        <v>1000006835</v>
      </c>
      <c r="L862" t="s">
        <v>348</v>
      </c>
      <c r="M862">
        <v>5100001636</v>
      </c>
      <c r="N862" t="s">
        <v>155</v>
      </c>
      <c r="O862" t="s">
        <v>156</v>
      </c>
      <c r="P862">
        <v>4110026445</v>
      </c>
      <c r="Q862" t="s">
        <v>170</v>
      </c>
      <c r="R862">
        <v>5000</v>
      </c>
      <c r="S862" t="s">
        <v>166</v>
      </c>
      <c r="V862" t="s">
        <v>167</v>
      </c>
      <c r="W862">
        <v>1502020104</v>
      </c>
      <c r="X862" t="s">
        <v>26</v>
      </c>
      <c r="Y862" t="str">
        <f>VLOOKUP(W862,Sheet4!$A$5:$B$71,2,0)</f>
        <v>RE STYLING</v>
      </c>
      <c r="Z862">
        <v>87082900</v>
      </c>
      <c r="AA862">
        <v>15</v>
      </c>
      <c r="AB862" t="s">
        <v>159</v>
      </c>
      <c r="AC862" s="24">
        <v>6585.55</v>
      </c>
      <c r="AD862" t="s">
        <v>160</v>
      </c>
      <c r="AE862" s="24">
        <v>98783.25</v>
      </c>
      <c r="AF862">
        <v>0</v>
      </c>
      <c r="AG862" s="24">
        <v>98783.25</v>
      </c>
      <c r="AH862">
        <v>0</v>
      </c>
      <c r="AI862">
        <v>0</v>
      </c>
      <c r="AJ862">
        <v>0</v>
      </c>
      <c r="AK862">
        <v>0</v>
      </c>
      <c r="AL862" s="24">
        <v>98783.25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 s="24">
        <v>98783.25</v>
      </c>
      <c r="AV862">
        <v>0</v>
      </c>
      <c r="AW862">
        <v>0</v>
      </c>
      <c r="AX862">
        <v>311000</v>
      </c>
      <c r="AY862" t="s">
        <v>161</v>
      </c>
      <c r="AZ862">
        <v>49.75</v>
      </c>
      <c r="BA862">
        <v>49.75</v>
      </c>
      <c r="BB862">
        <v>0</v>
      </c>
      <c r="BC862" t="s">
        <v>171</v>
      </c>
      <c r="BD862">
        <v>1509</v>
      </c>
      <c r="BE862" t="s">
        <v>169</v>
      </c>
      <c r="BF862" t="s">
        <v>163</v>
      </c>
      <c r="BG862" t="s">
        <v>164</v>
      </c>
    </row>
    <row r="863" spans="1:59">
      <c r="A863">
        <v>1115</v>
      </c>
      <c r="B863">
        <v>1115</v>
      </c>
      <c r="C863">
        <v>10</v>
      </c>
      <c r="D863">
        <v>2</v>
      </c>
      <c r="E863" t="s">
        <v>152</v>
      </c>
      <c r="F863" t="s">
        <v>153</v>
      </c>
      <c r="G863" t="s">
        <v>154</v>
      </c>
      <c r="H863">
        <v>1526006558</v>
      </c>
      <c r="I863">
        <v>1000006834</v>
      </c>
      <c r="L863" t="s">
        <v>348</v>
      </c>
      <c r="M863">
        <v>5100001636</v>
      </c>
      <c r="N863" t="s">
        <v>155</v>
      </c>
      <c r="O863" t="s">
        <v>156</v>
      </c>
      <c r="P863">
        <v>4110026445</v>
      </c>
      <c r="Q863" t="s">
        <v>170</v>
      </c>
      <c r="R863">
        <v>5000</v>
      </c>
      <c r="S863" t="s">
        <v>166</v>
      </c>
      <c r="V863" t="s">
        <v>167</v>
      </c>
      <c r="W863">
        <v>1502020104</v>
      </c>
      <c r="X863" t="s">
        <v>26</v>
      </c>
      <c r="Y863" t="str">
        <f>VLOOKUP(W863,Sheet4!$A$5:$B$71,2,0)</f>
        <v>RE STYLING</v>
      </c>
      <c r="Z863">
        <v>87082900</v>
      </c>
      <c r="AA863">
        <v>15</v>
      </c>
      <c r="AB863" t="s">
        <v>159</v>
      </c>
      <c r="AC863" s="24">
        <v>6585.55</v>
      </c>
      <c r="AD863" t="s">
        <v>160</v>
      </c>
      <c r="AE863" s="24">
        <v>98783.25</v>
      </c>
      <c r="AF863">
        <v>0</v>
      </c>
      <c r="AG863" s="24">
        <v>98783.25</v>
      </c>
      <c r="AH863">
        <v>0</v>
      </c>
      <c r="AI863">
        <v>0</v>
      </c>
      <c r="AJ863">
        <v>0</v>
      </c>
      <c r="AK863">
        <v>0</v>
      </c>
      <c r="AL863" s="24">
        <v>98783.25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 s="24">
        <v>98783.25</v>
      </c>
      <c r="AV863">
        <v>0</v>
      </c>
      <c r="AW863">
        <v>0</v>
      </c>
      <c r="AX863">
        <v>311000</v>
      </c>
      <c r="AY863" t="s">
        <v>161</v>
      </c>
      <c r="AZ863">
        <v>49.75</v>
      </c>
      <c r="BA863">
        <v>49.75</v>
      </c>
      <c r="BB863">
        <v>0</v>
      </c>
      <c r="BC863" t="s">
        <v>171</v>
      </c>
      <c r="BD863">
        <v>1509</v>
      </c>
      <c r="BE863" t="s">
        <v>169</v>
      </c>
      <c r="BF863" t="s">
        <v>163</v>
      </c>
      <c r="BG863" t="s">
        <v>164</v>
      </c>
    </row>
    <row r="864" spans="1:59">
      <c r="A864">
        <v>1115</v>
      </c>
      <c r="B864">
        <v>1115</v>
      </c>
      <c r="C864">
        <v>10</v>
      </c>
      <c r="D864">
        <v>2</v>
      </c>
      <c r="E864" t="s">
        <v>152</v>
      </c>
      <c r="F864" t="s">
        <v>153</v>
      </c>
      <c r="G864" t="s">
        <v>154</v>
      </c>
      <c r="H864">
        <v>1526006556</v>
      </c>
      <c r="I864">
        <v>1000006832</v>
      </c>
      <c r="L864" t="s">
        <v>348</v>
      </c>
      <c r="M864">
        <v>5100001943</v>
      </c>
      <c r="N864" t="s">
        <v>155</v>
      </c>
      <c r="O864" t="s">
        <v>156</v>
      </c>
      <c r="P864">
        <v>4110061540</v>
      </c>
      <c r="Q864" t="s">
        <v>349</v>
      </c>
      <c r="R864">
        <v>5000</v>
      </c>
      <c r="S864" t="s">
        <v>166</v>
      </c>
      <c r="V864" t="s">
        <v>167</v>
      </c>
      <c r="W864">
        <v>1502020117</v>
      </c>
      <c r="X864" t="s">
        <v>210</v>
      </c>
      <c r="Y864" t="str">
        <f>VLOOKUP(W864,Sheet4!$A$5:$B$71,2,0)</f>
        <v>MAXIMA HD</v>
      </c>
      <c r="Z864">
        <v>87082900</v>
      </c>
      <c r="AA864">
        <v>6</v>
      </c>
      <c r="AB864" t="s">
        <v>159</v>
      </c>
      <c r="AC864" s="24">
        <v>8350.51</v>
      </c>
      <c r="AD864" t="s">
        <v>160</v>
      </c>
      <c r="AE864" s="24">
        <v>50103.06</v>
      </c>
      <c r="AF864">
        <v>0</v>
      </c>
      <c r="AG864" s="24">
        <v>50103.06</v>
      </c>
      <c r="AH864">
        <v>0</v>
      </c>
      <c r="AI864">
        <v>0</v>
      </c>
      <c r="AJ864">
        <v>0</v>
      </c>
      <c r="AK864">
        <v>0</v>
      </c>
      <c r="AL864" s="24">
        <v>50103.06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 s="24">
        <v>50103.06</v>
      </c>
      <c r="AV864">
        <v>0</v>
      </c>
      <c r="AW864">
        <v>0</v>
      </c>
      <c r="AX864">
        <v>311000</v>
      </c>
      <c r="AY864" t="s">
        <v>161</v>
      </c>
      <c r="AZ864">
        <v>63</v>
      </c>
      <c r="BA864">
        <v>63</v>
      </c>
      <c r="BB864">
        <v>0</v>
      </c>
      <c r="BC864" t="s">
        <v>350</v>
      </c>
      <c r="BD864">
        <v>1509</v>
      </c>
      <c r="BE864" t="s">
        <v>169</v>
      </c>
      <c r="BF864" t="s">
        <v>163</v>
      </c>
      <c r="BG864" t="s">
        <v>164</v>
      </c>
    </row>
    <row r="865" spans="1:59">
      <c r="A865">
        <v>1115</v>
      </c>
      <c r="B865">
        <v>1115</v>
      </c>
      <c r="C865">
        <v>10</v>
      </c>
      <c r="D865">
        <v>2</v>
      </c>
      <c r="E865" t="s">
        <v>152</v>
      </c>
      <c r="F865" t="s">
        <v>153</v>
      </c>
      <c r="G865" t="s">
        <v>154</v>
      </c>
      <c r="H865">
        <v>1526006555</v>
      </c>
      <c r="I865">
        <v>1000006831</v>
      </c>
      <c r="L865" t="s">
        <v>348</v>
      </c>
      <c r="M865">
        <v>5100001934</v>
      </c>
      <c r="N865" t="s">
        <v>155</v>
      </c>
      <c r="O865" t="s">
        <v>156</v>
      </c>
      <c r="P865">
        <v>4110058649</v>
      </c>
      <c r="Q865" t="s">
        <v>196</v>
      </c>
      <c r="R865">
        <v>5000</v>
      </c>
      <c r="S865" t="s">
        <v>166</v>
      </c>
      <c r="V865" t="s">
        <v>167</v>
      </c>
      <c r="W865">
        <v>1502040217</v>
      </c>
      <c r="X865" t="s">
        <v>197</v>
      </c>
      <c r="Y865" t="str">
        <f>VLOOKUP(W865,Sheet4!$A$5:$B$71,2,0)</f>
        <v>FRONT MUDGARD GOGO</v>
      </c>
      <c r="Z865">
        <v>87082900</v>
      </c>
      <c r="AA865">
        <v>150</v>
      </c>
      <c r="AB865" t="s">
        <v>159</v>
      </c>
      <c r="AC865">
        <v>380.93</v>
      </c>
      <c r="AD865" t="s">
        <v>160</v>
      </c>
      <c r="AE865" s="24">
        <v>57139.5</v>
      </c>
      <c r="AF865">
        <v>0</v>
      </c>
      <c r="AG865" s="24">
        <v>57139.5</v>
      </c>
      <c r="AH865">
        <v>0</v>
      </c>
      <c r="AI865">
        <v>0</v>
      </c>
      <c r="AJ865">
        <v>0</v>
      </c>
      <c r="AK865">
        <v>0</v>
      </c>
      <c r="AL865" s="24">
        <v>57139.5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 s="24">
        <v>57139.5</v>
      </c>
      <c r="AV865">
        <v>0</v>
      </c>
      <c r="AW865">
        <v>0</v>
      </c>
      <c r="AX865">
        <v>311000</v>
      </c>
      <c r="AY865" t="s">
        <v>161</v>
      </c>
      <c r="AZ865">
        <v>2.13</v>
      </c>
      <c r="BA865">
        <v>2.13</v>
      </c>
      <c r="BB865">
        <v>0</v>
      </c>
      <c r="BC865" t="s">
        <v>198</v>
      </c>
      <c r="BD865">
        <v>1511</v>
      </c>
      <c r="BE865" t="s">
        <v>174</v>
      </c>
      <c r="BF865" t="s">
        <v>163</v>
      </c>
      <c r="BG865" t="s">
        <v>164</v>
      </c>
    </row>
    <row r="866" spans="1:59">
      <c r="A866">
        <v>1115</v>
      </c>
      <c r="B866">
        <v>1115</v>
      </c>
      <c r="C866">
        <v>10</v>
      </c>
      <c r="D866">
        <v>2</v>
      </c>
      <c r="E866" t="s">
        <v>152</v>
      </c>
      <c r="F866" t="s">
        <v>153</v>
      </c>
      <c r="G866" t="s">
        <v>154</v>
      </c>
      <c r="H866">
        <v>1526006554</v>
      </c>
      <c r="I866">
        <v>1000006830</v>
      </c>
      <c r="L866" t="s">
        <v>348</v>
      </c>
      <c r="M866">
        <v>5100001636</v>
      </c>
      <c r="N866" t="s">
        <v>155</v>
      </c>
      <c r="O866" t="s">
        <v>156</v>
      </c>
      <c r="P866">
        <v>4110026445</v>
      </c>
      <c r="Q866" t="s">
        <v>170</v>
      </c>
      <c r="R866">
        <v>5000</v>
      </c>
      <c r="S866" t="s">
        <v>166</v>
      </c>
      <c r="V866" t="s">
        <v>167</v>
      </c>
      <c r="W866">
        <v>1502020104</v>
      </c>
      <c r="X866" t="s">
        <v>26</v>
      </c>
      <c r="Y866" t="str">
        <f>VLOOKUP(W866,Sheet4!$A$5:$B$71,2,0)</f>
        <v>RE STYLING</v>
      </c>
      <c r="Z866">
        <v>87082900</v>
      </c>
      <c r="AA866">
        <v>15</v>
      </c>
      <c r="AB866" t="s">
        <v>159</v>
      </c>
      <c r="AC866" s="24">
        <v>6585.55</v>
      </c>
      <c r="AD866" t="s">
        <v>160</v>
      </c>
      <c r="AE866" s="24">
        <v>98783.25</v>
      </c>
      <c r="AF866">
        <v>0</v>
      </c>
      <c r="AG866" s="24">
        <v>98783.25</v>
      </c>
      <c r="AH866">
        <v>0</v>
      </c>
      <c r="AI866">
        <v>0</v>
      </c>
      <c r="AJ866">
        <v>0</v>
      </c>
      <c r="AK866">
        <v>0</v>
      </c>
      <c r="AL866" s="24">
        <v>98783.25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 s="24">
        <v>98783.25</v>
      </c>
      <c r="AV866">
        <v>0</v>
      </c>
      <c r="AW866">
        <v>0</v>
      </c>
      <c r="AX866">
        <v>311000</v>
      </c>
      <c r="AY866" t="s">
        <v>161</v>
      </c>
      <c r="AZ866">
        <v>49.75</v>
      </c>
      <c r="BA866">
        <v>49.75</v>
      </c>
      <c r="BB866">
        <v>0</v>
      </c>
      <c r="BC866" t="s">
        <v>171</v>
      </c>
      <c r="BD866">
        <v>1509</v>
      </c>
      <c r="BE866" t="s">
        <v>169</v>
      </c>
      <c r="BF866" t="s">
        <v>163</v>
      </c>
      <c r="BG866" t="s">
        <v>164</v>
      </c>
    </row>
    <row r="867" spans="1:59">
      <c r="A867">
        <v>1115</v>
      </c>
      <c r="B867">
        <v>1115</v>
      </c>
      <c r="C867">
        <v>10</v>
      </c>
      <c r="D867">
        <v>2</v>
      </c>
      <c r="E867" t="s">
        <v>152</v>
      </c>
      <c r="F867" t="s">
        <v>153</v>
      </c>
      <c r="G867" t="s">
        <v>154</v>
      </c>
      <c r="H867">
        <v>1526006553</v>
      </c>
      <c r="I867">
        <v>1000006829</v>
      </c>
      <c r="L867" t="s">
        <v>348</v>
      </c>
      <c r="M867">
        <v>5100001943</v>
      </c>
      <c r="N867" t="s">
        <v>155</v>
      </c>
      <c r="O867" t="s">
        <v>156</v>
      </c>
      <c r="P867">
        <v>4110061540</v>
      </c>
      <c r="Q867" t="s">
        <v>349</v>
      </c>
      <c r="R867">
        <v>5000</v>
      </c>
      <c r="S867" t="s">
        <v>166</v>
      </c>
      <c r="V867" t="s">
        <v>167</v>
      </c>
      <c r="W867">
        <v>1502020117</v>
      </c>
      <c r="X867" t="s">
        <v>210</v>
      </c>
      <c r="Y867" t="str">
        <f>VLOOKUP(W867,Sheet4!$A$5:$B$71,2,0)</f>
        <v>MAXIMA HD</v>
      </c>
      <c r="Z867">
        <v>87082900</v>
      </c>
      <c r="AA867">
        <v>8</v>
      </c>
      <c r="AB867" t="s">
        <v>159</v>
      </c>
      <c r="AC867" s="24">
        <v>8350.51</v>
      </c>
      <c r="AD867" t="s">
        <v>160</v>
      </c>
      <c r="AE867" s="24">
        <v>66804.08</v>
      </c>
      <c r="AF867">
        <v>0</v>
      </c>
      <c r="AG867" s="24">
        <v>66804.08</v>
      </c>
      <c r="AH867">
        <v>0</v>
      </c>
      <c r="AI867">
        <v>0</v>
      </c>
      <c r="AJ867">
        <v>0</v>
      </c>
      <c r="AK867">
        <v>0</v>
      </c>
      <c r="AL867" s="24">
        <v>66804.08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 s="24">
        <v>66804.08</v>
      </c>
      <c r="AV867">
        <v>0</v>
      </c>
      <c r="AW867">
        <v>0</v>
      </c>
      <c r="AX867">
        <v>311000</v>
      </c>
      <c r="AY867" t="s">
        <v>161</v>
      </c>
      <c r="AZ867">
        <v>63</v>
      </c>
      <c r="BA867">
        <v>63</v>
      </c>
      <c r="BB867">
        <v>0</v>
      </c>
      <c r="BC867" t="s">
        <v>350</v>
      </c>
      <c r="BD867">
        <v>1509</v>
      </c>
      <c r="BE867" t="s">
        <v>169</v>
      </c>
      <c r="BF867" t="s">
        <v>163</v>
      </c>
      <c r="BG867" t="s">
        <v>164</v>
      </c>
    </row>
    <row r="868" spans="1:59">
      <c r="A868">
        <v>1115</v>
      </c>
      <c r="B868">
        <v>1115</v>
      </c>
      <c r="C868">
        <v>10</v>
      </c>
      <c r="D868">
        <v>2</v>
      </c>
      <c r="E868" t="s">
        <v>152</v>
      </c>
      <c r="F868" t="s">
        <v>153</v>
      </c>
      <c r="G868" t="s">
        <v>154</v>
      </c>
      <c r="H868">
        <v>1526006552</v>
      </c>
      <c r="I868">
        <v>1000006828</v>
      </c>
      <c r="L868" t="s">
        <v>348</v>
      </c>
      <c r="M868">
        <v>5100001636</v>
      </c>
      <c r="N868" t="s">
        <v>155</v>
      </c>
      <c r="O868" t="s">
        <v>156</v>
      </c>
      <c r="P868">
        <v>4110026445</v>
      </c>
      <c r="Q868" t="s">
        <v>170</v>
      </c>
      <c r="R868">
        <v>5000</v>
      </c>
      <c r="S868" t="s">
        <v>166</v>
      </c>
      <c r="V868" t="s">
        <v>167</v>
      </c>
      <c r="W868">
        <v>1502020104</v>
      </c>
      <c r="X868" t="s">
        <v>26</v>
      </c>
      <c r="Y868" t="str">
        <f>VLOOKUP(W868,Sheet4!$A$5:$B$71,2,0)</f>
        <v>RE STYLING</v>
      </c>
      <c r="Z868">
        <v>87082900</v>
      </c>
      <c r="AA868">
        <v>15</v>
      </c>
      <c r="AB868" t="s">
        <v>159</v>
      </c>
      <c r="AC868" s="24">
        <v>6585.55</v>
      </c>
      <c r="AD868" t="s">
        <v>160</v>
      </c>
      <c r="AE868" s="24">
        <v>98783.25</v>
      </c>
      <c r="AF868">
        <v>0</v>
      </c>
      <c r="AG868" s="24">
        <v>98783.25</v>
      </c>
      <c r="AH868">
        <v>0</v>
      </c>
      <c r="AI868">
        <v>0</v>
      </c>
      <c r="AJ868">
        <v>0</v>
      </c>
      <c r="AK868">
        <v>0</v>
      </c>
      <c r="AL868" s="24">
        <v>98783.25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 s="24">
        <v>98783.25</v>
      </c>
      <c r="AV868">
        <v>0</v>
      </c>
      <c r="AW868">
        <v>0</v>
      </c>
      <c r="AX868">
        <v>311000</v>
      </c>
      <c r="AY868" t="s">
        <v>161</v>
      </c>
      <c r="AZ868">
        <v>49.75</v>
      </c>
      <c r="BA868">
        <v>49.75</v>
      </c>
      <c r="BB868">
        <v>0</v>
      </c>
      <c r="BC868" t="s">
        <v>171</v>
      </c>
      <c r="BD868">
        <v>1509</v>
      </c>
      <c r="BE868" t="s">
        <v>169</v>
      </c>
      <c r="BF868" t="s">
        <v>163</v>
      </c>
      <c r="BG868" t="s">
        <v>164</v>
      </c>
    </row>
    <row r="869" spans="1:59">
      <c r="A869">
        <v>1115</v>
      </c>
      <c r="B869">
        <v>1115</v>
      </c>
      <c r="C869">
        <v>10</v>
      </c>
      <c r="D869">
        <v>2</v>
      </c>
      <c r="E869" t="s">
        <v>152</v>
      </c>
      <c r="F869" t="s">
        <v>153</v>
      </c>
      <c r="G869" t="s">
        <v>154</v>
      </c>
      <c r="H869">
        <v>1526006551</v>
      </c>
      <c r="I869">
        <v>1000006827</v>
      </c>
      <c r="L869" t="s">
        <v>348</v>
      </c>
      <c r="M869">
        <v>5100001407</v>
      </c>
      <c r="N869" t="s">
        <v>155</v>
      </c>
      <c r="O869" t="s">
        <v>156</v>
      </c>
      <c r="P869">
        <v>4110019623</v>
      </c>
      <c r="Q869" t="s">
        <v>188</v>
      </c>
      <c r="R869">
        <v>5000</v>
      </c>
      <c r="S869" t="s">
        <v>166</v>
      </c>
      <c r="V869" t="s">
        <v>167</v>
      </c>
      <c r="W869">
        <v>1502040216</v>
      </c>
      <c r="X869" t="s">
        <v>64</v>
      </c>
      <c r="Y869" t="str">
        <f>VLOOKUP(W869,Sheet4!$A$5:$B$71,2,0)</f>
        <v>FRONT MUDGAURD</v>
      </c>
      <c r="Z869">
        <v>87082900</v>
      </c>
      <c r="AA869" s="24">
        <v>1280</v>
      </c>
      <c r="AB869" t="s">
        <v>159</v>
      </c>
      <c r="AC869">
        <v>174.11</v>
      </c>
      <c r="AD869" t="s">
        <v>160</v>
      </c>
      <c r="AE869" s="24">
        <v>222860.79999999999</v>
      </c>
      <c r="AF869">
        <v>0</v>
      </c>
      <c r="AG869" s="24">
        <v>222860.79999999999</v>
      </c>
      <c r="AH869">
        <v>0</v>
      </c>
      <c r="AI869">
        <v>0</v>
      </c>
      <c r="AJ869">
        <v>0</v>
      </c>
      <c r="AK869">
        <v>0</v>
      </c>
      <c r="AL869" s="24">
        <v>222860.79999999999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s="24">
        <v>222860.79999999999</v>
      </c>
      <c r="AV869">
        <v>0</v>
      </c>
      <c r="AW869">
        <v>0</v>
      </c>
      <c r="AX869">
        <v>311000</v>
      </c>
      <c r="AY869" t="s">
        <v>161</v>
      </c>
      <c r="AZ869">
        <v>2.573</v>
      </c>
      <c r="BA869">
        <v>1.4910000000000001</v>
      </c>
      <c r="BB869">
        <v>1.0820000000000001</v>
      </c>
      <c r="BC869" t="s">
        <v>189</v>
      </c>
      <c r="BD869">
        <v>1511</v>
      </c>
      <c r="BE869" t="s">
        <v>174</v>
      </c>
      <c r="BF869" t="s">
        <v>163</v>
      </c>
      <c r="BG869" t="s">
        <v>164</v>
      </c>
    </row>
    <row r="870" spans="1:59">
      <c r="A870">
        <v>1115</v>
      </c>
      <c r="B870">
        <v>1115</v>
      </c>
      <c r="C870">
        <v>10</v>
      </c>
      <c r="D870">
        <v>2</v>
      </c>
      <c r="E870" t="s">
        <v>152</v>
      </c>
      <c r="F870" t="s">
        <v>153</v>
      </c>
      <c r="G870" t="s">
        <v>154</v>
      </c>
      <c r="H870">
        <v>1526006549</v>
      </c>
      <c r="I870">
        <v>1000006826</v>
      </c>
      <c r="L870" t="s">
        <v>348</v>
      </c>
      <c r="M870">
        <v>5100001899</v>
      </c>
      <c r="N870" t="s">
        <v>155</v>
      </c>
      <c r="O870" t="s">
        <v>156</v>
      </c>
      <c r="P870">
        <v>4110041854</v>
      </c>
      <c r="Q870" t="s">
        <v>172</v>
      </c>
      <c r="R870">
        <v>5000</v>
      </c>
      <c r="S870" t="s">
        <v>166</v>
      </c>
      <c r="V870" t="s">
        <v>167</v>
      </c>
      <c r="W870">
        <v>1502040267</v>
      </c>
      <c r="X870" t="s">
        <v>63</v>
      </c>
      <c r="Y870" t="str">
        <f>VLOOKUP(W870,Sheet4!$A$5:$B$71,2,0)</f>
        <v>DASH BOARD</v>
      </c>
      <c r="Z870">
        <v>87082900</v>
      </c>
      <c r="AA870">
        <v>96</v>
      </c>
      <c r="AB870" t="s">
        <v>159</v>
      </c>
      <c r="AC870">
        <v>290.89999999999998</v>
      </c>
      <c r="AD870" t="s">
        <v>160</v>
      </c>
      <c r="AE870" s="24">
        <v>27926.400000000001</v>
      </c>
      <c r="AF870">
        <v>0</v>
      </c>
      <c r="AG870" s="24">
        <v>27926.400000000001</v>
      </c>
      <c r="AH870">
        <v>0</v>
      </c>
      <c r="AI870">
        <v>0</v>
      </c>
      <c r="AJ870">
        <v>0</v>
      </c>
      <c r="AK870">
        <v>0</v>
      </c>
      <c r="AL870" s="24">
        <v>27926.400000000001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s="24">
        <v>27926.400000000001</v>
      </c>
      <c r="AV870">
        <v>0</v>
      </c>
      <c r="AW870">
        <v>0</v>
      </c>
      <c r="AX870">
        <v>311000</v>
      </c>
      <c r="AY870" t="s">
        <v>161</v>
      </c>
      <c r="AZ870">
        <v>4.5</v>
      </c>
      <c r="BA870">
        <v>4.5</v>
      </c>
      <c r="BB870">
        <v>0</v>
      </c>
      <c r="BC870" t="s">
        <v>173</v>
      </c>
      <c r="BD870">
        <v>1511</v>
      </c>
      <c r="BE870" t="s">
        <v>174</v>
      </c>
      <c r="BF870" t="s">
        <v>163</v>
      </c>
      <c r="BG870" t="s">
        <v>164</v>
      </c>
    </row>
    <row r="871" spans="1:59">
      <c r="A871">
        <v>1115</v>
      </c>
      <c r="B871">
        <v>1115</v>
      </c>
      <c r="C871">
        <v>10</v>
      </c>
      <c r="D871">
        <v>2</v>
      </c>
      <c r="E871" t="s">
        <v>152</v>
      </c>
      <c r="F871" t="s">
        <v>153</v>
      </c>
      <c r="G871" t="s">
        <v>154</v>
      </c>
      <c r="H871">
        <v>1526006548</v>
      </c>
      <c r="I871">
        <v>1000006825</v>
      </c>
      <c r="L871" t="s">
        <v>348</v>
      </c>
      <c r="M871">
        <v>5100001899</v>
      </c>
      <c r="N871" t="s">
        <v>155</v>
      </c>
      <c r="O871" t="s">
        <v>156</v>
      </c>
      <c r="P871">
        <v>4110041854</v>
      </c>
      <c r="Q871" t="s">
        <v>172</v>
      </c>
      <c r="R871">
        <v>5000</v>
      </c>
      <c r="S871" t="s">
        <v>166</v>
      </c>
      <c r="V871" t="s">
        <v>167</v>
      </c>
      <c r="W871">
        <v>1502040267</v>
      </c>
      <c r="X871" t="s">
        <v>63</v>
      </c>
      <c r="Y871" t="str">
        <f>VLOOKUP(W871,Sheet4!$A$5:$B$71,2,0)</f>
        <v>DASH BOARD</v>
      </c>
      <c r="Z871">
        <v>87082900</v>
      </c>
      <c r="AA871">
        <v>96</v>
      </c>
      <c r="AB871" t="s">
        <v>159</v>
      </c>
      <c r="AC871">
        <v>290.89999999999998</v>
      </c>
      <c r="AD871" t="s">
        <v>160</v>
      </c>
      <c r="AE871" s="24">
        <v>27926.400000000001</v>
      </c>
      <c r="AF871">
        <v>0</v>
      </c>
      <c r="AG871" s="24">
        <v>27926.400000000001</v>
      </c>
      <c r="AH871">
        <v>0</v>
      </c>
      <c r="AI871">
        <v>0</v>
      </c>
      <c r="AJ871">
        <v>0</v>
      </c>
      <c r="AK871">
        <v>0</v>
      </c>
      <c r="AL871" s="24">
        <v>27926.400000000001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s="24">
        <v>27926.400000000001</v>
      </c>
      <c r="AV871">
        <v>0</v>
      </c>
      <c r="AW871">
        <v>0</v>
      </c>
      <c r="AX871">
        <v>311000</v>
      </c>
      <c r="AY871" t="s">
        <v>161</v>
      </c>
      <c r="AZ871">
        <v>4.5</v>
      </c>
      <c r="BA871">
        <v>4.5</v>
      </c>
      <c r="BB871">
        <v>0</v>
      </c>
      <c r="BC871" t="s">
        <v>173</v>
      </c>
      <c r="BD871">
        <v>1511</v>
      </c>
      <c r="BE871" t="s">
        <v>174</v>
      </c>
      <c r="BF871" t="s">
        <v>163</v>
      </c>
      <c r="BG871" t="s">
        <v>164</v>
      </c>
    </row>
    <row r="872" spans="1:59">
      <c r="A872">
        <v>1115</v>
      </c>
      <c r="B872">
        <v>1115</v>
      </c>
      <c r="C872">
        <v>10</v>
      </c>
      <c r="D872">
        <v>2</v>
      </c>
      <c r="E872" t="s">
        <v>152</v>
      </c>
      <c r="F872" t="s">
        <v>153</v>
      </c>
      <c r="G872" t="s">
        <v>154</v>
      </c>
      <c r="H872">
        <v>1526006546</v>
      </c>
      <c r="I872">
        <v>1000006822</v>
      </c>
      <c r="L872" t="s">
        <v>348</v>
      </c>
      <c r="M872">
        <v>5100001636</v>
      </c>
      <c r="N872" t="s">
        <v>155</v>
      </c>
      <c r="O872" t="s">
        <v>156</v>
      </c>
      <c r="P872">
        <v>4110026445</v>
      </c>
      <c r="Q872" t="s">
        <v>170</v>
      </c>
      <c r="R872">
        <v>5000</v>
      </c>
      <c r="S872" t="s">
        <v>166</v>
      </c>
      <c r="V872" t="s">
        <v>167</v>
      </c>
      <c r="W872">
        <v>1502020104</v>
      </c>
      <c r="X872" t="s">
        <v>26</v>
      </c>
      <c r="Y872" t="str">
        <f>VLOOKUP(W872,Sheet4!$A$5:$B$71,2,0)</f>
        <v>RE STYLING</v>
      </c>
      <c r="Z872">
        <v>87082900</v>
      </c>
      <c r="AA872">
        <v>15</v>
      </c>
      <c r="AB872" t="s">
        <v>159</v>
      </c>
      <c r="AC872" s="24">
        <v>6585.55</v>
      </c>
      <c r="AD872" t="s">
        <v>160</v>
      </c>
      <c r="AE872" s="24">
        <v>98783.25</v>
      </c>
      <c r="AF872">
        <v>0</v>
      </c>
      <c r="AG872" s="24">
        <v>98783.25</v>
      </c>
      <c r="AH872">
        <v>0</v>
      </c>
      <c r="AI872">
        <v>0</v>
      </c>
      <c r="AJ872">
        <v>0</v>
      </c>
      <c r="AK872">
        <v>0</v>
      </c>
      <c r="AL872" s="24">
        <v>98783.25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s="24">
        <v>98783.25</v>
      </c>
      <c r="AV872">
        <v>0</v>
      </c>
      <c r="AW872">
        <v>0</v>
      </c>
      <c r="AX872">
        <v>311000</v>
      </c>
      <c r="AY872" t="s">
        <v>161</v>
      </c>
      <c r="AZ872">
        <v>49.75</v>
      </c>
      <c r="BA872">
        <v>49.75</v>
      </c>
      <c r="BB872">
        <v>0</v>
      </c>
      <c r="BC872" t="s">
        <v>171</v>
      </c>
      <c r="BD872">
        <v>1509</v>
      </c>
      <c r="BE872" t="s">
        <v>169</v>
      </c>
      <c r="BF872" t="s">
        <v>163</v>
      </c>
      <c r="BG872" t="s">
        <v>164</v>
      </c>
    </row>
    <row r="873" spans="1:59">
      <c r="A873">
        <v>1115</v>
      </c>
      <c r="B873">
        <v>1115</v>
      </c>
      <c r="C873">
        <v>10</v>
      </c>
      <c r="D873">
        <v>2</v>
      </c>
      <c r="E873" t="s">
        <v>152</v>
      </c>
      <c r="F873" t="s">
        <v>153</v>
      </c>
      <c r="G873" t="s">
        <v>154</v>
      </c>
      <c r="H873">
        <v>1526006545</v>
      </c>
      <c r="I873">
        <v>1000006821</v>
      </c>
      <c r="L873" t="s">
        <v>348</v>
      </c>
      <c r="M873">
        <v>5100001636</v>
      </c>
      <c r="N873" t="s">
        <v>155</v>
      </c>
      <c r="O873" t="s">
        <v>156</v>
      </c>
      <c r="P873">
        <v>4110026445</v>
      </c>
      <c r="Q873" t="s">
        <v>170</v>
      </c>
      <c r="R873">
        <v>5000</v>
      </c>
      <c r="S873" t="s">
        <v>166</v>
      </c>
      <c r="V873" t="s">
        <v>167</v>
      </c>
      <c r="W873">
        <v>1502020104</v>
      </c>
      <c r="X873" t="s">
        <v>26</v>
      </c>
      <c r="Y873" t="str">
        <f>VLOOKUP(W873,Sheet4!$A$5:$B$71,2,0)</f>
        <v>RE STYLING</v>
      </c>
      <c r="Z873">
        <v>87082900</v>
      </c>
      <c r="AA873">
        <v>15</v>
      </c>
      <c r="AB873" t="s">
        <v>159</v>
      </c>
      <c r="AC873" s="24">
        <v>6585.55</v>
      </c>
      <c r="AD873" t="s">
        <v>160</v>
      </c>
      <c r="AE873" s="24">
        <v>98783.25</v>
      </c>
      <c r="AF873">
        <v>0</v>
      </c>
      <c r="AG873" s="24">
        <v>98783.25</v>
      </c>
      <c r="AH873">
        <v>0</v>
      </c>
      <c r="AI873">
        <v>0</v>
      </c>
      <c r="AJ873">
        <v>0</v>
      </c>
      <c r="AK873">
        <v>0</v>
      </c>
      <c r="AL873" s="24">
        <v>98783.25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 s="24">
        <v>98783.25</v>
      </c>
      <c r="AV873">
        <v>0</v>
      </c>
      <c r="AW873">
        <v>0</v>
      </c>
      <c r="AX873">
        <v>311000</v>
      </c>
      <c r="AY873" t="s">
        <v>161</v>
      </c>
      <c r="AZ873">
        <v>49.75</v>
      </c>
      <c r="BA873">
        <v>49.75</v>
      </c>
      <c r="BB873">
        <v>0</v>
      </c>
      <c r="BC873" t="s">
        <v>171</v>
      </c>
      <c r="BD873">
        <v>1509</v>
      </c>
      <c r="BE873" t="s">
        <v>169</v>
      </c>
      <c r="BF873" t="s">
        <v>163</v>
      </c>
      <c r="BG873" t="s">
        <v>164</v>
      </c>
    </row>
    <row r="874" spans="1:59">
      <c r="A874">
        <v>1115</v>
      </c>
      <c r="B874">
        <v>1115</v>
      </c>
      <c r="C874">
        <v>10</v>
      </c>
      <c r="D874">
        <v>2</v>
      </c>
      <c r="E874" t="s">
        <v>152</v>
      </c>
      <c r="F874" t="s">
        <v>153</v>
      </c>
      <c r="G874" t="s">
        <v>154</v>
      </c>
      <c r="H874">
        <v>1526006544</v>
      </c>
      <c r="I874">
        <v>1000006820</v>
      </c>
      <c r="L874" t="s">
        <v>348</v>
      </c>
      <c r="M874">
        <v>5100001636</v>
      </c>
      <c r="N874" t="s">
        <v>155</v>
      </c>
      <c r="O874" t="s">
        <v>156</v>
      </c>
      <c r="P874">
        <v>4110026445</v>
      </c>
      <c r="Q874" t="s">
        <v>170</v>
      </c>
      <c r="R874">
        <v>5000</v>
      </c>
      <c r="S874" t="s">
        <v>166</v>
      </c>
      <c r="V874" t="s">
        <v>167</v>
      </c>
      <c r="W874">
        <v>1502020104</v>
      </c>
      <c r="X874" t="s">
        <v>26</v>
      </c>
      <c r="Y874" t="str">
        <f>VLOOKUP(W874,Sheet4!$A$5:$B$71,2,0)</f>
        <v>RE STYLING</v>
      </c>
      <c r="Z874">
        <v>87082900</v>
      </c>
      <c r="AA874">
        <v>15</v>
      </c>
      <c r="AB874" t="s">
        <v>159</v>
      </c>
      <c r="AC874" s="24">
        <v>6585.55</v>
      </c>
      <c r="AD874" t="s">
        <v>160</v>
      </c>
      <c r="AE874" s="24">
        <v>98783.25</v>
      </c>
      <c r="AF874">
        <v>0</v>
      </c>
      <c r="AG874" s="24">
        <v>98783.25</v>
      </c>
      <c r="AH874">
        <v>0</v>
      </c>
      <c r="AI874">
        <v>0</v>
      </c>
      <c r="AJ874">
        <v>0</v>
      </c>
      <c r="AK874">
        <v>0</v>
      </c>
      <c r="AL874" s="24">
        <v>98783.25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 s="24">
        <v>98783.25</v>
      </c>
      <c r="AV874">
        <v>0</v>
      </c>
      <c r="AW874">
        <v>0</v>
      </c>
      <c r="AX874">
        <v>311000</v>
      </c>
      <c r="AY874" t="s">
        <v>161</v>
      </c>
      <c r="AZ874">
        <v>49.75</v>
      </c>
      <c r="BA874">
        <v>49.75</v>
      </c>
      <c r="BB874">
        <v>0</v>
      </c>
      <c r="BC874" t="s">
        <v>171</v>
      </c>
      <c r="BD874">
        <v>1509</v>
      </c>
      <c r="BE874" t="s">
        <v>169</v>
      </c>
      <c r="BF874" t="s">
        <v>163</v>
      </c>
      <c r="BG874" t="s">
        <v>164</v>
      </c>
    </row>
    <row r="875" spans="1:59">
      <c r="A875">
        <v>1115</v>
      </c>
      <c r="B875">
        <v>1115</v>
      </c>
      <c r="C875">
        <v>10</v>
      </c>
      <c r="D875">
        <v>2</v>
      </c>
      <c r="E875" t="s">
        <v>152</v>
      </c>
      <c r="F875" t="s">
        <v>153</v>
      </c>
      <c r="G875" t="s">
        <v>154</v>
      </c>
      <c r="H875">
        <v>1526006543</v>
      </c>
      <c r="I875">
        <v>1000006819</v>
      </c>
      <c r="L875" t="s">
        <v>348</v>
      </c>
      <c r="M875">
        <v>5100001636</v>
      </c>
      <c r="N875" t="s">
        <v>155</v>
      </c>
      <c r="O875" t="s">
        <v>156</v>
      </c>
      <c r="P875">
        <v>4110026445</v>
      </c>
      <c r="Q875" t="s">
        <v>170</v>
      </c>
      <c r="R875">
        <v>5000</v>
      </c>
      <c r="S875" t="s">
        <v>166</v>
      </c>
      <c r="V875" t="s">
        <v>167</v>
      </c>
      <c r="W875">
        <v>1502020104</v>
      </c>
      <c r="X875" t="s">
        <v>26</v>
      </c>
      <c r="Y875" t="str">
        <f>VLOOKUP(W875,Sheet4!$A$5:$B$71,2,0)</f>
        <v>RE STYLING</v>
      </c>
      <c r="Z875">
        <v>87082900</v>
      </c>
      <c r="AA875">
        <v>15</v>
      </c>
      <c r="AB875" t="s">
        <v>159</v>
      </c>
      <c r="AC875" s="24">
        <v>6585.55</v>
      </c>
      <c r="AD875" t="s">
        <v>160</v>
      </c>
      <c r="AE875" s="24">
        <v>98783.25</v>
      </c>
      <c r="AF875">
        <v>0</v>
      </c>
      <c r="AG875" s="24">
        <v>98783.25</v>
      </c>
      <c r="AH875">
        <v>0</v>
      </c>
      <c r="AI875">
        <v>0</v>
      </c>
      <c r="AJ875">
        <v>0</v>
      </c>
      <c r="AK875">
        <v>0</v>
      </c>
      <c r="AL875" s="24">
        <v>98783.25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 s="24">
        <v>98783.25</v>
      </c>
      <c r="AV875">
        <v>0</v>
      </c>
      <c r="AW875">
        <v>0</v>
      </c>
      <c r="AX875">
        <v>311000</v>
      </c>
      <c r="AY875" t="s">
        <v>161</v>
      </c>
      <c r="AZ875">
        <v>49.75</v>
      </c>
      <c r="BA875">
        <v>49.75</v>
      </c>
      <c r="BB875">
        <v>0</v>
      </c>
      <c r="BC875" t="s">
        <v>171</v>
      </c>
      <c r="BD875">
        <v>1509</v>
      </c>
      <c r="BE875" t="s">
        <v>169</v>
      </c>
      <c r="BF875" t="s">
        <v>163</v>
      </c>
      <c r="BG875" t="s">
        <v>164</v>
      </c>
    </row>
    <row r="876" spans="1:59">
      <c r="A876">
        <v>1115</v>
      </c>
      <c r="B876">
        <v>1115</v>
      </c>
      <c r="C876">
        <v>10</v>
      </c>
      <c r="D876">
        <v>2</v>
      </c>
      <c r="E876" t="s">
        <v>152</v>
      </c>
      <c r="F876" t="s">
        <v>153</v>
      </c>
      <c r="G876" t="s">
        <v>154</v>
      </c>
      <c r="H876">
        <v>1526006542</v>
      </c>
      <c r="I876">
        <v>1000006818</v>
      </c>
      <c r="L876" t="s">
        <v>348</v>
      </c>
      <c r="M876">
        <v>5100001603</v>
      </c>
      <c r="N876" t="s">
        <v>155</v>
      </c>
      <c r="O876" t="s">
        <v>156</v>
      </c>
      <c r="P876">
        <v>4110025468</v>
      </c>
      <c r="Q876" t="s">
        <v>165</v>
      </c>
      <c r="R876">
        <v>5000</v>
      </c>
      <c r="S876" t="s">
        <v>166</v>
      </c>
      <c r="V876" t="s">
        <v>167</v>
      </c>
      <c r="W876">
        <v>1502020102</v>
      </c>
      <c r="X876" t="s">
        <v>58</v>
      </c>
      <c r="Y876" t="str">
        <f>VLOOKUP(W876,Sheet4!$A$5:$B$71,2,0)</f>
        <v>MAXIMA HD</v>
      </c>
      <c r="Z876">
        <v>87082900</v>
      </c>
      <c r="AA876">
        <v>8</v>
      </c>
      <c r="AB876" t="s">
        <v>159</v>
      </c>
      <c r="AC876" s="24">
        <v>8593.51</v>
      </c>
      <c r="AD876" t="s">
        <v>160</v>
      </c>
      <c r="AE876" s="24">
        <v>68748.08</v>
      </c>
      <c r="AF876">
        <v>0</v>
      </c>
      <c r="AG876" s="24">
        <v>68748.08</v>
      </c>
      <c r="AH876">
        <v>0</v>
      </c>
      <c r="AI876">
        <v>0</v>
      </c>
      <c r="AJ876">
        <v>0</v>
      </c>
      <c r="AK876">
        <v>0</v>
      </c>
      <c r="AL876" s="24">
        <v>68748.08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 s="24">
        <v>68748.08</v>
      </c>
      <c r="AV876">
        <v>0</v>
      </c>
      <c r="AW876">
        <v>0</v>
      </c>
      <c r="AX876">
        <v>311000</v>
      </c>
      <c r="AY876" t="s">
        <v>161</v>
      </c>
      <c r="AZ876">
        <v>93.34</v>
      </c>
      <c r="BA876">
        <v>75.430000000000007</v>
      </c>
      <c r="BB876">
        <v>17.91</v>
      </c>
      <c r="BC876" t="s">
        <v>168</v>
      </c>
      <c r="BD876">
        <v>1509</v>
      </c>
      <c r="BE876" t="s">
        <v>169</v>
      </c>
      <c r="BF876" t="s">
        <v>163</v>
      </c>
      <c r="BG876" t="s">
        <v>164</v>
      </c>
    </row>
    <row r="877" spans="1:59">
      <c r="A877">
        <v>1115</v>
      </c>
      <c r="B877">
        <v>1115</v>
      </c>
      <c r="C877">
        <v>10</v>
      </c>
      <c r="D877">
        <v>2</v>
      </c>
      <c r="E877" t="s">
        <v>152</v>
      </c>
      <c r="F877" t="s">
        <v>153</v>
      </c>
      <c r="G877" t="s">
        <v>154</v>
      </c>
      <c r="H877">
        <v>1526006537</v>
      </c>
      <c r="I877">
        <v>1000006814</v>
      </c>
      <c r="L877" t="s">
        <v>348</v>
      </c>
      <c r="M877">
        <v>5100001636</v>
      </c>
      <c r="N877" t="s">
        <v>155</v>
      </c>
      <c r="O877" t="s">
        <v>156</v>
      </c>
      <c r="P877">
        <v>4110026445</v>
      </c>
      <c r="Q877" t="s">
        <v>170</v>
      </c>
      <c r="R877">
        <v>5000</v>
      </c>
      <c r="S877" t="s">
        <v>166</v>
      </c>
      <c r="V877" t="s">
        <v>167</v>
      </c>
      <c r="W877">
        <v>1502020104</v>
      </c>
      <c r="X877" t="s">
        <v>26</v>
      </c>
      <c r="Y877" t="str">
        <f>VLOOKUP(W877,Sheet4!$A$5:$B$71,2,0)</f>
        <v>RE STYLING</v>
      </c>
      <c r="Z877">
        <v>87082900</v>
      </c>
      <c r="AA877">
        <v>15</v>
      </c>
      <c r="AB877" t="s">
        <v>159</v>
      </c>
      <c r="AC877" s="24">
        <v>6585.55</v>
      </c>
      <c r="AD877" t="s">
        <v>160</v>
      </c>
      <c r="AE877" s="24">
        <v>98783.25</v>
      </c>
      <c r="AF877">
        <v>0</v>
      </c>
      <c r="AG877" s="24">
        <v>98783.25</v>
      </c>
      <c r="AH877">
        <v>0</v>
      </c>
      <c r="AI877">
        <v>0</v>
      </c>
      <c r="AJ877">
        <v>0</v>
      </c>
      <c r="AK877">
        <v>0</v>
      </c>
      <c r="AL877" s="24">
        <v>98783.25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 s="24">
        <v>98783.25</v>
      </c>
      <c r="AV877">
        <v>0</v>
      </c>
      <c r="AW877">
        <v>0</v>
      </c>
      <c r="AX877">
        <v>311000</v>
      </c>
      <c r="AY877" t="s">
        <v>161</v>
      </c>
      <c r="AZ877">
        <v>49.75</v>
      </c>
      <c r="BA877">
        <v>49.75</v>
      </c>
      <c r="BB877">
        <v>0</v>
      </c>
      <c r="BC877" t="s">
        <v>171</v>
      </c>
      <c r="BD877">
        <v>1509</v>
      </c>
      <c r="BE877" t="s">
        <v>169</v>
      </c>
      <c r="BF877" t="s">
        <v>163</v>
      </c>
      <c r="BG877" t="s">
        <v>164</v>
      </c>
    </row>
    <row r="878" spans="1:59">
      <c r="A878">
        <v>1115</v>
      </c>
      <c r="B878">
        <v>1115</v>
      </c>
      <c r="C878">
        <v>10</v>
      </c>
      <c r="D878">
        <v>2</v>
      </c>
      <c r="E878" t="s">
        <v>152</v>
      </c>
      <c r="F878" t="s">
        <v>153</v>
      </c>
      <c r="G878" t="s">
        <v>154</v>
      </c>
      <c r="H878">
        <v>1526006536</v>
      </c>
      <c r="I878">
        <v>1000006813</v>
      </c>
      <c r="L878" t="s">
        <v>348</v>
      </c>
      <c r="M878">
        <v>5100001636</v>
      </c>
      <c r="N878" t="s">
        <v>155</v>
      </c>
      <c r="O878" t="s">
        <v>156</v>
      </c>
      <c r="P878">
        <v>4110026445</v>
      </c>
      <c r="Q878" t="s">
        <v>170</v>
      </c>
      <c r="R878">
        <v>5000</v>
      </c>
      <c r="S878" t="s">
        <v>166</v>
      </c>
      <c r="V878" t="s">
        <v>167</v>
      </c>
      <c r="W878">
        <v>1502020104</v>
      </c>
      <c r="X878" t="s">
        <v>26</v>
      </c>
      <c r="Y878" t="str">
        <f>VLOOKUP(W878,Sheet4!$A$5:$B$71,2,0)</f>
        <v>RE STYLING</v>
      </c>
      <c r="Z878">
        <v>87082900</v>
      </c>
      <c r="AA878">
        <v>15</v>
      </c>
      <c r="AB878" t="s">
        <v>159</v>
      </c>
      <c r="AC878" s="24">
        <v>6585.55</v>
      </c>
      <c r="AD878" t="s">
        <v>160</v>
      </c>
      <c r="AE878" s="24">
        <v>98783.25</v>
      </c>
      <c r="AF878">
        <v>0</v>
      </c>
      <c r="AG878" s="24">
        <v>98783.25</v>
      </c>
      <c r="AH878">
        <v>0</v>
      </c>
      <c r="AI878">
        <v>0</v>
      </c>
      <c r="AJ878">
        <v>0</v>
      </c>
      <c r="AK878">
        <v>0</v>
      </c>
      <c r="AL878" s="24">
        <v>98783.25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 s="24">
        <v>98783.25</v>
      </c>
      <c r="AV878">
        <v>0</v>
      </c>
      <c r="AW878">
        <v>0</v>
      </c>
      <c r="AX878">
        <v>311000</v>
      </c>
      <c r="AY878" t="s">
        <v>161</v>
      </c>
      <c r="AZ878">
        <v>49.75</v>
      </c>
      <c r="BA878">
        <v>49.75</v>
      </c>
      <c r="BB878">
        <v>0</v>
      </c>
      <c r="BC878" t="s">
        <v>171</v>
      </c>
      <c r="BD878">
        <v>1509</v>
      </c>
      <c r="BE878" t="s">
        <v>169</v>
      </c>
      <c r="BF878" t="s">
        <v>163</v>
      </c>
      <c r="BG878" t="s">
        <v>164</v>
      </c>
    </row>
    <row r="879" spans="1:59">
      <c r="A879">
        <v>1115</v>
      </c>
      <c r="B879">
        <v>1115</v>
      </c>
      <c r="C879">
        <v>10</v>
      </c>
      <c r="D879">
        <v>2</v>
      </c>
      <c r="E879" t="s">
        <v>152</v>
      </c>
      <c r="F879" t="s">
        <v>153</v>
      </c>
      <c r="G879" t="s">
        <v>154</v>
      </c>
      <c r="H879">
        <v>1526006532</v>
      </c>
      <c r="I879">
        <v>1000006811</v>
      </c>
      <c r="L879" t="s">
        <v>348</v>
      </c>
      <c r="M879">
        <v>5100001934</v>
      </c>
      <c r="N879" t="s">
        <v>155</v>
      </c>
      <c r="O879" t="s">
        <v>156</v>
      </c>
      <c r="P879">
        <v>4110058649</v>
      </c>
      <c r="Q879" t="s">
        <v>196</v>
      </c>
      <c r="R879">
        <v>5000</v>
      </c>
      <c r="S879" t="s">
        <v>166</v>
      </c>
      <c r="V879" t="s">
        <v>167</v>
      </c>
      <c r="W879">
        <v>1502040217</v>
      </c>
      <c r="X879" t="s">
        <v>197</v>
      </c>
      <c r="Y879" t="str">
        <f>VLOOKUP(W879,Sheet4!$A$5:$B$71,2,0)</f>
        <v>FRONT MUDGARD GOGO</v>
      </c>
      <c r="Z879">
        <v>87082900</v>
      </c>
      <c r="AA879">
        <v>120</v>
      </c>
      <c r="AB879" t="s">
        <v>159</v>
      </c>
      <c r="AC879">
        <v>380.93</v>
      </c>
      <c r="AD879" t="s">
        <v>160</v>
      </c>
      <c r="AE879" s="24">
        <v>45711.6</v>
      </c>
      <c r="AF879">
        <v>0</v>
      </c>
      <c r="AG879" s="24">
        <v>45711.6</v>
      </c>
      <c r="AH879">
        <v>0</v>
      </c>
      <c r="AI879">
        <v>0</v>
      </c>
      <c r="AJ879">
        <v>0</v>
      </c>
      <c r="AK879">
        <v>0</v>
      </c>
      <c r="AL879" s="24">
        <v>45711.6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 s="24">
        <v>45711.6</v>
      </c>
      <c r="AV879">
        <v>0</v>
      </c>
      <c r="AW879">
        <v>0</v>
      </c>
      <c r="AX879">
        <v>311000</v>
      </c>
      <c r="AY879" t="s">
        <v>161</v>
      </c>
      <c r="AZ879">
        <v>2.13</v>
      </c>
      <c r="BA879">
        <v>2.13</v>
      </c>
      <c r="BB879">
        <v>0</v>
      </c>
      <c r="BC879" t="s">
        <v>198</v>
      </c>
      <c r="BD879">
        <v>1511</v>
      </c>
      <c r="BE879" t="s">
        <v>174</v>
      </c>
      <c r="BF879" t="s">
        <v>163</v>
      </c>
      <c r="BG879" t="s">
        <v>164</v>
      </c>
    </row>
    <row r="880" spans="1:59">
      <c r="A880">
        <v>1115</v>
      </c>
      <c r="B880">
        <v>1115</v>
      </c>
      <c r="C880">
        <v>10</v>
      </c>
      <c r="D880">
        <v>2</v>
      </c>
      <c r="E880" t="s">
        <v>152</v>
      </c>
      <c r="F880" t="s">
        <v>153</v>
      </c>
      <c r="G880" t="s">
        <v>154</v>
      </c>
      <c r="H880">
        <v>1526006531</v>
      </c>
      <c r="I880">
        <v>1000006810</v>
      </c>
      <c r="L880" t="s">
        <v>348</v>
      </c>
      <c r="M880">
        <v>5100001603</v>
      </c>
      <c r="N880" t="s">
        <v>155</v>
      </c>
      <c r="O880" t="s">
        <v>156</v>
      </c>
      <c r="P880">
        <v>4110025468</v>
      </c>
      <c r="Q880" t="s">
        <v>165</v>
      </c>
      <c r="R880">
        <v>5000</v>
      </c>
      <c r="S880" t="s">
        <v>166</v>
      </c>
      <c r="V880" t="s">
        <v>167</v>
      </c>
      <c r="W880">
        <v>1502020102</v>
      </c>
      <c r="X880" t="s">
        <v>58</v>
      </c>
      <c r="Y880" t="str">
        <f>VLOOKUP(W880,Sheet4!$A$5:$B$71,2,0)</f>
        <v>MAXIMA HD</v>
      </c>
      <c r="Z880">
        <v>87082900</v>
      </c>
      <c r="AA880">
        <v>8</v>
      </c>
      <c r="AB880" t="s">
        <v>159</v>
      </c>
      <c r="AC880" s="24">
        <v>8593.51</v>
      </c>
      <c r="AD880" t="s">
        <v>160</v>
      </c>
      <c r="AE880" s="24">
        <v>68748.08</v>
      </c>
      <c r="AF880">
        <v>0</v>
      </c>
      <c r="AG880" s="24">
        <v>68748.08</v>
      </c>
      <c r="AH880">
        <v>0</v>
      </c>
      <c r="AI880">
        <v>0</v>
      </c>
      <c r="AJ880">
        <v>0</v>
      </c>
      <c r="AK880">
        <v>0</v>
      </c>
      <c r="AL880" s="24">
        <v>68748.08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 s="24">
        <v>68748.08</v>
      </c>
      <c r="AV880">
        <v>0</v>
      </c>
      <c r="AW880">
        <v>0</v>
      </c>
      <c r="AX880">
        <v>311000</v>
      </c>
      <c r="AY880" t="s">
        <v>161</v>
      </c>
      <c r="AZ880">
        <v>93.34</v>
      </c>
      <c r="BA880">
        <v>75.430000000000007</v>
      </c>
      <c r="BB880">
        <v>17.91</v>
      </c>
      <c r="BC880" t="s">
        <v>168</v>
      </c>
      <c r="BD880">
        <v>1509</v>
      </c>
      <c r="BE880" t="s">
        <v>169</v>
      </c>
      <c r="BF880" t="s">
        <v>163</v>
      </c>
      <c r="BG880" t="s">
        <v>164</v>
      </c>
    </row>
    <row r="881" spans="1:59">
      <c r="A881">
        <v>1115</v>
      </c>
      <c r="B881">
        <v>1115</v>
      </c>
      <c r="C881">
        <v>10</v>
      </c>
      <c r="D881">
        <v>2</v>
      </c>
      <c r="E881" t="s">
        <v>152</v>
      </c>
      <c r="F881" t="s">
        <v>153</v>
      </c>
      <c r="G881" t="s">
        <v>154</v>
      </c>
      <c r="H881">
        <v>1526006530</v>
      </c>
      <c r="I881">
        <v>1000006809</v>
      </c>
      <c r="L881" t="s">
        <v>348</v>
      </c>
      <c r="M881">
        <v>5100001603</v>
      </c>
      <c r="N881" t="s">
        <v>155</v>
      </c>
      <c r="O881" t="s">
        <v>156</v>
      </c>
      <c r="P881">
        <v>4110025468</v>
      </c>
      <c r="Q881" t="s">
        <v>165</v>
      </c>
      <c r="R881">
        <v>5000</v>
      </c>
      <c r="S881" t="s">
        <v>166</v>
      </c>
      <c r="V881" t="s">
        <v>167</v>
      </c>
      <c r="W881">
        <v>1502020102</v>
      </c>
      <c r="X881" t="s">
        <v>58</v>
      </c>
      <c r="Y881" t="str">
        <f>VLOOKUP(W881,Sheet4!$A$5:$B$71,2,0)</f>
        <v>MAXIMA HD</v>
      </c>
      <c r="Z881">
        <v>87082900</v>
      </c>
      <c r="AA881">
        <v>8</v>
      </c>
      <c r="AB881" t="s">
        <v>159</v>
      </c>
      <c r="AC881" s="24">
        <v>8593.51</v>
      </c>
      <c r="AD881" t="s">
        <v>160</v>
      </c>
      <c r="AE881" s="24">
        <v>68748.08</v>
      </c>
      <c r="AF881">
        <v>0</v>
      </c>
      <c r="AG881" s="24">
        <v>68748.08</v>
      </c>
      <c r="AH881">
        <v>0</v>
      </c>
      <c r="AI881">
        <v>0</v>
      </c>
      <c r="AJ881">
        <v>0</v>
      </c>
      <c r="AK881">
        <v>0</v>
      </c>
      <c r="AL881" s="24">
        <v>68748.08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 s="24">
        <v>68748.08</v>
      </c>
      <c r="AV881">
        <v>0</v>
      </c>
      <c r="AW881">
        <v>0</v>
      </c>
      <c r="AX881">
        <v>311000</v>
      </c>
      <c r="AY881" t="s">
        <v>161</v>
      </c>
      <c r="AZ881">
        <v>93.34</v>
      </c>
      <c r="BA881">
        <v>75.430000000000007</v>
      </c>
      <c r="BB881">
        <v>17.91</v>
      </c>
      <c r="BC881" t="s">
        <v>168</v>
      </c>
      <c r="BD881">
        <v>1509</v>
      </c>
      <c r="BE881" t="s">
        <v>169</v>
      </c>
      <c r="BF881" t="s">
        <v>163</v>
      </c>
      <c r="BG881" t="s">
        <v>164</v>
      </c>
    </row>
    <row r="882" spans="1:59">
      <c r="A882">
        <v>1115</v>
      </c>
      <c r="B882">
        <v>1115</v>
      </c>
      <c r="C882">
        <v>10</v>
      </c>
      <c r="D882">
        <v>2</v>
      </c>
      <c r="E882" t="s">
        <v>152</v>
      </c>
      <c r="F882" t="s">
        <v>153</v>
      </c>
      <c r="G882" t="s">
        <v>154</v>
      </c>
      <c r="H882">
        <v>1526006529</v>
      </c>
      <c r="I882">
        <v>1000006808</v>
      </c>
      <c r="L882" t="s">
        <v>348</v>
      </c>
      <c r="M882">
        <v>5100001603</v>
      </c>
      <c r="N882" t="s">
        <v>155</v>
      </c>
      <c r="O882" t="s">
        <v>156</v>
      </c>
      <c r="P882">
        <v>4110025468</v>
      </c>
      <c r="Q882" t="s">
        <v>165</v>
      </c>
      <c r="R882">
        <v>5000</v>
      </c>
      <c r="S882" t="s">
        <v>166</v>
      </c>
      <c r="V882" t="s">
        <v>167</v>
      </c>
      <c r="W882">
        <v>1502020102</v>
      </c>
      <c r="X882" t="s">
        <v>58</v>
      </c>
      <c r="Y882" t="str">
        <f>VLOOKUP(W882,Sheet4!$A$5:$B$71,2,0)</f>
        <v>MAXIMA HD</v>
      </c>
      <c r="Z882">
        <v>87082900</v>
      </c>
      <c r="AA882">
        <v>8</v>
      </c>
      <c r="AB882" t="s">
        <v>159</v>
      </c>
      <c r="AC882" s="24">
        <v>8593.51</v>
      </c>
      <c r="AD882" t="s">
        <v>160</v>
      </c>
      <c r="AE882" s="24">
        <v>68748.08</v>
      </c>
      <c r="AF882">
        <v>0</v>
      </c>
      <c r="AG882" s="24">
        <v>68748.08</v>
      </c>
      <c r="AH882">
        <v>0</v>
      </c>
      <c r="AI882">
        <v>0</v>
      </c>
      <c r="AJ882">
        <v>0</v>
      </c>
      <c r="AK882">
        <v>0</v>
      </c>
      <c r="AL882" s="24">
        <v>68748.08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 s="24">
        <v>68748.08</v>
      </c>
      <c r="AV882">
        <v>0</v>
      </c>
      <c r="AW882">
        <v>0</v>
      </c>
      <c r="AX882">
        <v>311000</v>
      </c>
      <c r="AY882" t="s">
        <v>161</v>
      </c>
      <c r="AZ882">
        <v>93.34</v>
      </c>
      <c r="BA882">
        <v>75.430000000000007</v>
      </c>
      <c r="BB882">
        <v>17.91</v>
      </c>
      <c r="BC882" t="s">
        <v>168</v>
      </c>
      <c r="BD882">
        <v>1509</v>
      </c>
      <c r="BE882" t="s">
        <v>169</v>
      </c>
      <c r="BF882" t="s">
        <v>163</v>
      </c>
      <c r="BG882" t="s">
        <v>164</v>
      </c>
    </row>
    <row r="883" spans="1:59">
      <c r="A883">
        <v>1115</v>
      </c>
      <c r="B883">
        <v>1115</v>
      </c>
      <c r="C883">
        <v>10</v>
      </c>
      <c r="D883">
        <v>2</v>
      </c>
      <c r="E883" t="s">
        <v>152</v>
      </c>
      <c r="F883" t="s">
        <v>153</v>
      </c>
      <c r="G883" t="s">
        <v>154</v>
      </c>
      <c r="H883">
        <v>1526006528</v>
      </c>
      <c r="I883">
        <v>1000006807</v>
      </c>
      <c r="L883" t="s">
        <v>348</v>
      </c>
      <c r="M883">
        <v>5100001101</v>
      </c>
      <c r="N883" t="s">
        <v>155</v>
      </c>
      <c r="O883" t="s">
        <v>156</v>
      </c>
      <c r="P883">
        <v>4110004653</v>
      </c>
      <c r="Q883" t="s">
        <v>177</v>
      </c>
      <c r="R883">
        <v>5000</v>
      </c>
      <c r="S883" t="s">
        <v>166</v>
      </c>
      <c r="V883" t="s">
        <v>167</v>
      </c>
      <c r="W883">
        <v>1502040194</v>
      </c>
      <c r="X883" t="s">
        <v>44</v>
      </c>
      <c r="Y883" t="str">
        <f>VLOOKUP(W883,Sheet4!$A$5:$B$71,2,0)</f>
        <v>CRADEL</v>
      </c>
      <c r="Z883">
        <v>87082900</v>
      </c>
      <c r="AA883">
        <v>48</v>
      </c>
      <c r="AB883" t="s">
        <v>159</v>
      </c>
      <c r="AC883">
        <v>956.92</v>
      </c>
      <c r="AD883" t="s">
        <v>160</v>
      </c>
      <c r="AE883" s="24">
        <v>45932.160000000003</v>
      </c>
      <c r="AF883">
        <v>0</v>
      </c>
      <c r="AG883" s="24">
        <v>45932.160000000003</v>
      </c>
      <c r="AH883">
        <v>0</v>
      </c>
      <c r="AI883">
        <v>0</v>
      </c>
      <c r="AJ883">
        <v>0</v>
      </c>
      <c r="AK883">
        <v>0</v>
      </c>
      <c r="AL883" s="24">
        <v>45932.160000000003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 s="24">
        <v>45932.160000000003</v>
      </c>
      <c r="AV883">
        <v>0</v>
      </c>
      <c r="AW883">
        <v>0</v>
      </c>
      <c r="AX883">
        <v>311000</v>
      </c>
      <c r="AY883" t="s">
        <v>161</v>
      </c>
      <c r="AZ883">
        <v>6.3769999999999998</v>
      </c>
      <c r="BA883">
        <v>6.3769999999999998</v>
      </c>
      <c r="BB883">
        <v>0</v>
      </c>
      <c r="BC883" t="s">
        <v>184</v>
      </c>
      <c r="BD883">
        <v>1511</v>
      </c>
      <c r="BE883" t="s">
        <v>174</v>
      </c>
      <c r="BF883" t="s">
        <v>163</v>
      </c>
      <c r="BG883" t="s">
        <v>164</v>
      </c>
    </row>
    <row r="884" spans="1:59">
      <c r="A884">
        <v>1115</v>
      </c>
      <c r="B884">
        <v>1115</v>
      </c>
      <c r="C884">
        <v>10</v>
      </c>
      <c r="D884">
        <v>2</v>
      </c>
      <c r="E884" t="s">
        <v>152</v>
      </c>
      <c r="F884" t="s">
        <v>153</v>
      </c>
      <c r="G884" t="s">
        <v>154</v>
      </c>
      <c r="H884">
        <v>1526006420</v>
      </c>
      <c r="I884">
        <v>1000006692</v>
      </c>
      <c r="L884" t="s">
        <v>348</v>
      </c>
      <c r="M884">
        <v>5100001603</v>
      </c>
      <c r="N884" t="s">
        <v>155</v>
      </c>
      <c r="O884" t="s">
        <v>156</v>
      </c>
      <c r="P884">
        <v>4110025468</v>
      </c>
      <c r="Q884" t="s">
        <v>165</v>
      </c>
      <c r="R884">
        <v>5000</v>
      </c>
      <c r="S884" t="s">
        <v>166</v>
      </c>
      <c r="V884" t="s">
        <v>167</v>
      </c>
      <c r="W884">
        <v>1502020102</v>
      </c>
      <c r="X884" t="s">
        <v>58</v>
      </c>
      <c r="Y884" t="str">
        <f>VLOOKUP(W884,Sheet4!$A$5:$B$71,2,0)</f>
        <v>MAXIMA HD</v>
      </c>
      <c r="Z884">
        <v>87082900</v>
      </c>
      <c r="AA884">
        <v>8</v>
      </c>
      <c r="AB884" t="s">
        <v>159</v>
      </c>
      <c r="AC884" s="24">
        <v>8593.51</v>
      </c>
      <c r="AD884" t="s">
        <v>160</v>
      </c>
      <c r="AE884" s="24">
        <v>68748.08</v>
      </c>
      <c r="AF884">
        <v>0</v>
      </c>
      <c r="AG884" s="24">
        <v>68748.08</v>
      </c>
      <c r="AH884">
        <v>0</v>
      </c>
      <c r="AI884">
        <v>0</v>
      </c>
      <c r="AJ884">
        <v>0</v>
      </c>
      <c r="AK884">
        <v>0</v>
      </c>
      <c r="AL884" s="24">
        <v>68748.08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 s="24">
        <v>68748.08</v>
      </c>
      <c r="AV884">
        <v>0</v>
      </c>
      <c r="AW884">
        <v>0</v>
      </c>
      <c r="AX884">
        <v>311000</v>
      </c>
      <c r="AY884" t="s">
        <v>161</v>
      </c>
      <c r="AZ884">
        <v>93.34</v>
      </c>
      <c r="BA884">
        <v>75.430000000000007</v>
      </c>
      <c r="BB884">
        <v>17.91</v>
      </c>
      <c r="BC884" t="s">
        <v>168</v>
      </c>
      <c r="BD884">
        <v>1509</v>
      </c>
      <c r="BE884" t="s">
        <v>169</v>
      </c>
      <c r="BF884" t="s">
        <v>163</v>
      </c>
      <c r="BG884" t="s">
        <v>164</v>
      </c>
    </row>
    <row r="885" spans="1:59">
      <c r="A885">
        <v>1115</v>
      </c>
      <c r="B885">
        <v>1115</v>
      </c>
      <c r="C885">
        <v>10</v>
      </c>
      <c r="D885">
        <v>2</v>
      </c>
      <c r="E885" t="s">
        <v>152</v>
      </c>
      <c r="F885" t="s">
        <v>153</v>
      </c>
      <c r="G885" t="s">
        <v>154</v>
      </c>
      <c r="H885">
        <v>1526006419</v>
      </c>
      <c r="I885">
        <v>1000006691</v>
      </c>
      <c r="L885" t="s">
        <v>348</v>
      </c>
      <c r="M885">
        <v>5100001603</v>
      </c>
      <c r="N885" t="s">
        <v>155</v>
      </c>
      <c r="O885" t="s">
        <v>156</v>
      </c>
      <c r="P885">
        <v>4110025468</v>
      </c>
      <c r="Q885" t="s">
        <v>165</v>
      </c>
      <c r="R885">
        <v>5000</v>
      </c>
      <c r="S885" t="s">
        <v>166</v>
      </c>
      <c r="V885" t="s">
        <v>167</v>
      </c>
      <c r="W885">
        <v>1502020102</v>
      </c>
      <c r="X885" t="s">
        <v>58</v>
      </c>
      <c r="Y885" t="str">
        <f>VLOOKUP(W885,Sheet4!$A$5:$B$71,2,0)</f>
        <v>MAXIMA HD</v>
      </c>
      <c r="Z885">
        <v>87082900</v>
      </c>
      <c r="AA885">
        <v>8</v>
      </c>
      <c r="AB885" t="s">
        <v>159</v>
      </c>
      <c r="AC885" s="24">
        <v>8593.51</v>
      </c>
      <c r="AD885" t="s">
        <v>160</v>
      </c>
      <c r="AE885" s="24">
        <v>68748.08</v>
      </c>
      <c r="AF885">
        <v>0</v>
      </c>
      <c r="AG885" s="24">
        <v>68748.08</v>
      </c>
      <c r="AH885">
        <v>0</v>
      </c>
      <c r="AI885">
        <v>0</v>
      </c>
      <c r="AJ885">
        <v>0</v>
      </c>
      <c r="AK885">
        <v>0</v>
      </c>
      <c r="AL885" s="24">
        <v>68748.08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 s="24">
        <v>68748.08</v>
      </c>
      <c r="AV885">
        <v>0</v>
      </c>
      <c r="AW885">
        <v>0</v>
      </c>
      <c r="AX885">
        <v>311000</v>
      </c>
      <c r="AY885" t="s">
        <v>161</v>
      </c>
      <c r="AZ885">
        <v>93.34</v>
      </c>
      <c r="BA885">
        <v>75.430000000000007</v>
      </c>
      <c r="BB885">
        <v>17.91</v>
      </c>
      <c r="BC885" t="s">
        <v>168</v>
      </c>
      <c r="BD885">
        <v>1509</v>
      </c>
      <c r="BE885" t="s">
        <v>169</v>
      </c>
      <c r="BF885" t="s">
        <v>163</v>
      </c>
      <c r="BG885" t="s">
        <v>164</v>
      </c>
    </row>
    <row r="886" spans="1:59">
      <c r="A886">
        <v>1115</v>
      </c>
      <c r="B886">
        <v>1115</v>
      </c>
      <c r="C886">
        <v>10</v>
      </c>
      <c r="D886">
        <v>2</v>
      </c>
      <c r="E886" t="s">
        <v>152</v>
      </c>
      <c r="F886" t="s">
        <v>153</v>
      </c>
      <c r="G886" t="s">
        <v>154</v>
      </c>
      <c r="H886">
        <v>1526006418</v>
      </c>
      <c r="I886">
        <v>1000006690</v>
      </c>
      <c r="L886" t="s">
        <v>348</v>
      </c>
      <c r="M886">
        <v>5100001795</v>
      </c>
      <c r="N886" t="s">
        <v>155</v>
      </c>
      <c r="O886" t="s">
        <v>156</v>
      </c>
      <c r="P886">
        <v>4110032503</v>
      </c>
      <c r="Q886" t="s">
        <v>190</v>
      </c>
      <c r="R886">
        <v>5000</v>
      </c>
      <c r="S886" t="s">
        <v>166</v>
      </c>
      <c r="V886" t="s">
        <v>167</v>
      </c>
      <c r="W886">
        <v>1502010016</v>
      </c>
      <c r="X886" t="s">
        <v>69</v>
      </c>
      <c r="Y886" t="str">
        <f>VLOOKUP(W886,Sheet4!$A$5:$B$71,2,0)</f>
        <v>LOGISTICS</v>
      </c>
      <c r="Z886">
        <v>87082900</v>
      </c>
      <c r="AA886" s="24">
        <v>2000</v>
      </c>
      <c r="AB886" t="s">
        <v>159</v>
      </c>
      <c r="AC886">
        <v>8.4600000000000009</v>
      </c>
      <c r="AD886" t="s">
        <v>160</v>
      </c>
      <c r="AE886" s="24">
        <v>16920</v>
      </c>
      <c r="AF886">
        <v>0</v>
      </c>
      <c r="AG886" s="24">
        <v>16920</v>
      </c>
      <c r="AH886">
        <v>0</v>
      </c>
      <c r="AI886">
        <v>0</v>
      </c>
      <c r="AJ886">
        <v>0</v>
      </c>
      <c r="AK886">
        <v>0</v>
      </c>
      <c r="AL886" s="24">
        <v>16920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s="24">
        <v>16920</v>
      </c>
      <c r="AV886">
        <v>0</v>
      </c>
      <c r="AW886">
        <v>0</v>
      </c>
      <c r="AX886">
        <v>311000</v>
      </c>
      <c r="AY886" t="s">
        <v>161</v>
      </c>
      <c r="AZ886">
        <v>0.08</v>
      </c>
      <c r="BA886">
        <v>6.3E-2</v>
      </c>
      <c r="BB886">
        <v>1.7000000000000001E-2</v>
      </c>
      <c r="BC886" t="s">
        <v>191</v>
      </c>
      <c r="BD886">
        <v>1508</v>
      </c>
      <c r="BE886" t="s">
        <v>162</v>
      </c>
      <c r="BF886" t="s">
        <v>163</v>
      </c>
      <c r="BG886" t="s">
        <v>164</v>
      </c>
    </row>
    <row r="887" spans="1:59">
      <c r="A887">
        <v>1115</v>
      </c>
      <c r="B887">
        <v>1115</v>
      </c>
      <c r="C887">
        <v>10</v>
      </c>
      <c r="D887">
        <v>2</v>
      </c>
      <c r="E887" t="s">
        <v>152</v>
      </c>
      <c r="F887" t="s">
        <v>153</v>
      </c>
      <c r="G887" t="s">
        <v>154</v>
      </c>
      <c r="H887">
        <v>1526006417</v>
      </c>
      <c r="I887">
        <v>1000006689</v>
      </c>
      <c r="L887" t="s">
        <v>348</v>
      </c>
      <c r="M887">
        <v>5100001101</v>
      </c>
      <c r="N887" t="s">
        <v>155</v>
      </c>
      <c r="O887" t="s">
        <v>156</v>
      </c>
      <c r="P887">
        <v>4110004653</v>
      </c>
      <c r="Q887" t="s">
        <v>177</v>
      </c>
      <c r="R887">
        <v>5000</v>
      </c>
      <c r="S887" t="s">
        <v>166</v>
      </c>
      <c r="V887" t="s">
        <v>167</v>
      </c>
      <c r="W887">
        <v>1502040194</v>
      </c>
      <c r="X887" t="s">
        <v>44</v>
      </c>
      <c r="Y887" t="str">
        <f>VLOOKUP(W887,Sheet4!$A$5:$B$71,2,0)</f>
        <v>CRADEL</v>
      </c>
      <c r="Z887">
        <v>87082900</v>
      </c>
      <c r="AA887">
        <v>48</v>
      </c>
      <c r="AB887" t="s">
        <v>159</v>
      </c>
      <c r="AC887">
        <v>956.92</v>
      </c>
      <c r="AD887" t="s">
        <v>160</v>
      </c>
      <c r="AE887" s="24">
        <v>45932.160000000003</v>
      </c>
      <c r="AF887">
        <v>0</v>
      </c>
      <c r="AG887" s="24">
        <v>45932.160000000003</v>
      </c>
      <c r="AH887">
        <v>0</v>
      </c>
      <c r="AI887">
        <v>0</v>
      </c>
      <c r="AJ887">
        <v>0</v>
      </c>
      <c r="AK887">
        <v>0</v>
      </c>
      <c r="AL887" s="24">
        <v>45932.160000000003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 s="24">
        <v>45932.160000000003</v>
      </c>
      <c r="AV887">
        <v>0</v>
      </c>
      <c r="AW887">
        <v>0</v>
      </c>
      <c r="AX887">
        <v>311000</v>
      </c>
      <c r="AY887" t="s">
        <v>161</v>
      </c>
      <c r="AZ887">
        <v>6.3769999999999998</v>
      </c>
      <c r="BA887">
        <v>6.3769999999999998</v>
      </c>
      <c r="BB887">
        <v>0</v>
      </c>
      <c r="BC887" t="s">
        <v>184</v>
      </c>
      <c r="BD887">
        <v>1511</v>
      </c>
      <c r="BE887" t="s">
        <v>174</v>
      </c>
      <c r="BF887" t="s">
        <v>163</v>
      </c>
      <c r="BG887" t="s">
        <v>164</v>
      </c>
    </row>
    <row r="888" spans="1:59">
      <c r="A888">
        <v>1115</v>
      </c>
      <c r="B888">
        <v>1115</v>
      </c>
      <c r="C888">
        <v>10</v>
      </c>
      <c r="D888">
        <v>2</v>
      </c>
      <c r="E888" t="s">
        <v>152</v>
      </c>
      <c r="F888" t="s">
        <v>153</v>
      </c>
      <c r="G888" t="s">
        <v>154</v>
      </c>
      <c r="H888">
        <v>1526006416</v>
      </c>
      <c r="I888">
        <v>1000006688</v>
      </c>
      <c r="L888" t="s">
        <v>348</v>
      </c>
      <c r="M888">
        <v>5100001101</v>
      </c>
      <c r="N888" t="s">
        <v>155</v>
      </c>
      <c r="O888" t="s">
        <v>156</v>
      </c>
      <c r="P888">
        <v>4110004653</v>
      </c>
      <c r="Q888" t="s">
        <v>177</v>
      </c>
      <c r="R888">
        <v>5000</v>
      </c>
      <c r="S888" t="s">
        <v>166</v>
      </c>
      <c r="V888" t="s">
        <v>167</v>
      </c>
      <c r="W888">
        <v>1502040194</v>
      </c>
      <c r="X888" t="s">
        <v>44</v>
      </c>
      <c r="Y888" t="str">
        <f>VLOOKUP(W888,Sheet4!$A$5:$B$71,2,0)</f>
        <v>CRADEL</v>
      </c>
      <c r="Z888">
        <v>87082900</v>
      </c>
      <c r="AA888">
        <v>48</v>
      </c>
      <c r="AB888" t="s">
        <v>159</v>
      </c>
      <c r="AC888">
        <v>956.92</v>
      </c>
      <c r="AD888" t="s">
        <v>160</v>
      </c>
      <c r="AE888" s="24">
        <v>45932.160000000003</v>
      </c>
      <c r="AF888">
        <v>0</v>
      </c>
      <c r="AG888" s="24">
        <v>45932.160000000003</v>
      </c>
      <c r="AH888">
        <v>0</v>
      </c>
      <c r="AI888">
        <v>0</v>
      </c>
      <c r="AJ888">
        <v>0</v>
      </c>
      <c r="AK888">
        <v>0</v>
      </c>
      <c r="AL888" s="24">
        <v>45932.160000000003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 s="24">
        <v>45932.160000000003</v>
      </c>
      <c r="AV888">
        <v>0</v>
      </c>
      <c r="AW888">
        <v>0</v>
      </c>
      <c r="AX888">
        <v>311000</v>
      </c>
      <c r="AY888" t="s">
        <v>161</v>
      </c>
      <c r="AZ888">
        <v>6.3769999999999998</v>
      </c>
      <c r="BA888">
        <v>6.3769999999999998</v>
      </c>
      <c r="BB888">
        <v>0</v>
      </c>
      <c r="BC888" t="s">
        <v>184</v>
      </c>
      <c r="BD888">
        <v>1511</v>
      </c>
      <c r="BE888" t="s">
        <v>174</v>
      </c>
      <c r="BF888" t="s">
        <v>163</v>
      </c>
      <c r="BG888" t="s">
        <v>164</v>
      </c>
    </row>
    <row r="889" spans="1:59">
      <c r="A889">
        <v>1115</v>
      </c>
      <c r="B889">
        <v>1115</v>
      </c>
      <c r="C889">
        <v>10</v>
      </c>
      <c r="D889">
        <v>2</v>
      </c>
      <c r="E889" t="s">
        <v>152</v>
      </c>
      <c r="F889" t="s">
        <v>153</v>
      </c>
      <c r="G889" t="s">
        <v>154</v>
      </c>
      <c r="H889">
        <v>1526006415</v>
      </c>
      <c r="I889">
        <v>1000006687</v>
      </c>
      <c r="L889" t="s">
        <v>348</v>
      </c>
      <c r="M889">
        <v>5100001101</v>
      </c>
      <c r="N889" t="s">
        <v>155</v>
      </c>
      <c r="O889" t="s">
        <v>156</v>
      </c>
      <c r="P889">
        <v>4110004653</v>
      </c>
      <c r="Q889" t="s">
        <v>177</v>
      </c>
      <c r="R889">
        <v>5000</v>
      </c>
      <c r="S889" t="s">
        <v>166</v>
      </c>
      <c r="V889" t="s">
        <v>167</v>
      </c>
      <c r="W889">
        <v>1502040194</v>
      </c>
      <c r="X889" t="s">
        <v>44</v>
      </c>
      <c r="Y889" t="str">
        <f>VLOOKUP(W889,Sheet4!$A$5:$B$71,2,0)</f>
        <v>CRADEL</v>
      </c>
      <c r="Z889">
        <v>87082900</v>
      </c>
      <c r="AA889">
        <v>48</v>
      </c>
      <c r="AB889" t="s">
        <v>159</v>
      </c>
      <c r="AC889">
        <v>956.92</v>
      </c>
      <c r="AD889" t="s">
        <v>160</v>
      </c>
      <c r="AE889" s="24">
        <v>45932.160000000003</v>
      </c>
      <c r="AF889">
        <v>0</v>
      </c>
      <c r="AG889" s="24">
        <v>45932.160000000003</v>
      </c>
      <c r="AH889">
        <v>0</v>
      </c>
      <c r="AI889">
        <v>0</v>
      </c>
      <c r="AJ889">
        <v>0</v>
      </c>
      <c r="AK889">
        <v>0</v>
      </c>
      <c r="AL889" s="24">
        <v>45932.160000000003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 s="24">
        <v>45932.160000000003</v>
      </c>
      <c r="AV889">
        <v>0</v>
      </c>
      <c r="AW889">
        <v>0</v>
      </c>
      <c r="AX889">
        <v>311000</v>
      </c>
      <c r="AY889" t="s">
        <v>161</v>
      </c>
      <c r="AZ889">
        <v>6.3769999999999998</v>
      </c>
      <c r="BA889">
        <v>6.3769999999999998</v>
      </c>
      <c r="BB889">
        <v>0</v>
      </c>
      <c r="BC889" t="s">
        <v>184</v>
      </c>
      <c r="BD889">
        <v>1511</v>
      </c>
      <c r="BE889" t="s">
        <v>174</v>
      </c>
      <c r="BF889" t="s">
        <v>163</v>
      </c>
      <c r="BG889" t="s">
        <v>164</v>
      </c>
    </row>
    <row r="890" spans="1:59">
      <c r="A890">
        <v>1115</v>
      </c>
      <c r="B890">
        <v>1115</v>
      </c>
      <c r="C890">
        <v>10</v>
      </c>
      <c r="D890">
        <v>2</v>
      </c>
      <c r="E890" t="s">
        <v>152</v>
      </c>
      <c r="F890" t="s">
        <v>153</v>
      </c>
      <c r="G890" t="s">
        <v>154</v>
      </c>
      <c r="H890">
        <v>1526006414</v>
      </c>
      <c r="I890">
        <v>1000006686</v>
      </c>
      <c r="L890" t="s">
        <v>348</v>
      </c>
      <c r="M890">
        <v>5100001099</v>
      </c>
      <c r="N890" t="s">
        <v>155</v>
      </c>
      <c r="O890" t="s">
        <v>156</v>
      </c>
      <c r="P890">
        <v>4110004650</v>
      </c>
      <c r="Q890" t="s">
        <v>177</v>
      </c>
      <c r="R890">
        <v>5000</v>
      </c>
      <c r="S890" t="s">
        <v>166</v>
      </c>
      <c r="V890" t="s">
        <v>167</v>
      </c>
      <c r="W890">
        <v>1502040133</v>
      </c>
      <c r="X890" t="s">
        <v>228</v>
      </c>
      <c r="Y890" t="str">
        <f>VLOOKUP(W890,Sheet4!$A$5:$B$71,2,0)</f>
        <v>REAR COVER</v>
      </c>
      <c r="Z890">
        <v>87082900</v>
      </c>
      <c r="AA890">
        <v>55</v>
      </c>
      <c r="AB890" t="s">
        <v>159</v>
      </c>
      <c r="AC890">
        <v>164.49</v>
      </c>
      <c r="AD890" t="s">
        <v>160</v>
      </c>
      <c r="AE890" s="24">
        <v>9046.9500000000007</v>
      </c>
      <c r="AF890">
        <v>0</v>
      </c>
      <c r="AG890" s="24">
        <v>9046.9500000000007</v>
      </c>
      <c r="AH890">
        <v>0</v>
      </c>
      <c r="AI890">
        <v>0</v>
      </c>
      <c r="AJ890">
        <v>0</v>
      </c>
      <c r="AK890">
        <v>0</v>
      </c>
      <c r="AL890" s="24">
        <v>9046.9500000000007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 s="24">
        <v>9046.9500000000007</v>
      </c>
      <c r="AV890">
        <v>0</v>
      </c>
      <c r="AW890">
        <v>0</v>
      </c>
      <c r="AX890">
        <v>311000</v>
      </c>
      <c r="AY890" t="s">
        <v>161</v>
      </c>
      <c r="AZ890">
        <v>1.248</v>
      </c>
      <c r="BA890">
        <v>1.248</v>
      </c>
      <c r="BB890">
        <v>0</v>
      </c>
      <c r="BC890" t="s">
        <v>229</v>
      </c>
      <c r="BD890">
        <v>1511</v>
      </c>
      <c r="BE890" t="s">
        <v>174</v>
      </c>
      <c r="BF890" t="s">
        <v>163</v>
      </c>
      <c r="BG890" t="s">
        <v>164</v>
      </c>
    </row>
    <row r="891" spans="1:59">
      <c r="A891">
        <v>1115</v>
      </c>
      <c r="B891">
        <v>1115</v>
      </c>
      <c r="C891">
        <v>10</v>
      </c>
      <c r="D891">
        <v>2</v>
      </c>
      <c r="E891" t="s">
        <v>152</v>
      </c>
      <c r="F891" t="s">
        <v>153</v>
      </c>
      <c r="G891" t="s">
        <v>154</v>
      </c>
      <c r="H891">
        <v>1526006413</v>
      </c>
      <c r="I891">
        <v>1000006685</v>
      </c>
      <c r="L891" t="s">
        <v>348</v>
      </c>
      <c r="M891">
        <v>5100001099</v>
      </c>
      <c r="N891" t="s">
        <v>155</v>
      </c>
      <c r="O891" t="s">
        <v>156</v>
      </c>
      <c r="P891">
        <v>4110004650</v>
      </c>
      <c r="Q891" t="s">
        <v>177</v>
      </c>
      <c r="R891">
        <v>5000</v>
      </c>
      <c r="S891" t="s">
        <v>166</v>
      </c>
      <c r="V891" t="s">
        <v>167</v>
      </c>
      <c r="W891">
        <v>1502040132</v>
      </c>
      <c r="X891" t="s">
        <v>230</v>
      </c>
      <c r="Y891" t="str">
        <f>VLOOKUP(W891,Sheet4!$A$5:$B$71,2,0)</f>
        <v>REAR COVER</v>
      </c>
      <c r="Z891">
        <v>87082900</v>
      </c>
      <c r="AA891">
        <v>55</v>
      </c>
      <c r="AB891" t="s">
        <v>159</v>
      </c>
      <c r="AC891">
        <v>159.41</v>
      </c>
      <c r="AD891" t="s">
        <v>160</v>
      </c>
      <c r="AE891" s="24">
        <v>8767.5499999999993</v>
      </c>
      <c r="AF891">
        <v>0</v>
      </c>
      <c r="AG891" s="24">
        <v>8767.5499999999993</v>
      </c>
      <c r="AH891">
        <v>0</v>
      </c>
      <c r="AI891">
        <v>0</v>
      </c>
      <c r="AJ891">
        <v>0</v>
      </c>
      <c r="AK891">
        <v>0</v>
      </c>
      <c r="AL891" s="24">
        <v>8767.5499999999993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s="24">
        <v>8767.5499999999993</v>
      </c>
      <c r="AV891">
        <v>0</v>
      </c>
      <c r="AW891">
        <v>0</v>
      </c>
      <c r="AX891">
        <v>311000</v>
      </c>
      <c r="AY891" t="s">
        <v>161</v>
      </c>
      <c r="AZ891">
        <v>1.1659999999999999</v>
      </c>
      <c r="BA891">
        <v>1.1659999999999999</v>
      </c>
      <c r="BB891">
        <v>0</v>
      </c>
      <c r="BC891" t="s">
        <v>231</v>
      </c>
      <c r="BD891">
        <v>1511</v>
      </c>
      <c r="BE891" t="s">
        <v>174</v>
      </c>
      <c r="BF891" t="s">
        <v>163</v>
      </c>
      <c r="BG891" t="s">
        <v>164</v>
      </c>
    </row>
    <row r="892" spans="1:59">
      <c r="A892">
        <v>1115</v>
      </c>
      <c r="B892">
        <v>1115</v>
      </c>
      <c r="C892">
        <v>10</v>
      </c>
      <c r="D892">
        <v>2</v>
      </c>
      <c r="E892" t="s">
        <v>152</v>
      </c>
      <c r="F892" t="s">
        <v>153</v>
      </c>
      <c r="G892" t="s">
        <v>154</v>
      </c>
      <c r="H892">
        <v>1526006412</v>
      </c>
      <c r="I892">
        <v>1000006684</v>
      </c>
      <c r="L892" t="s">
        <v>348</v>
      </c>
      <c r="M892">
        <v>5100001588</v>
      </c>
      <c r="N892" t="s">
        <v>155</v>
      </c>
      <c r="O892" t="s">
        <v>156</v>
      </c>
      <c r="P892">
        <v>4110025058</v>
      </c>
      <c r="Q892" t="s">
        <v>180</v>
      </c>
      <c r="R892">
        <v>5000</v>
      </c>
      <c r="S892" t="s">
        <v>166</v>
      </c>
      <c r="V892" t="s">
        <v>167</v>
      </c>
      <c r="W892">
        <v>1502040235</v>
      </c>
      <c r="X892" t="s">
        <v>47</v>
      </c>
      <c r="Y892" t="str">
        <f>VLOOKUP(W892,Sheet4!$A$5:$B$71,2,0)</f>
        <v>STARTING HANDLE</v>
      </c>
      <c r="Z892">
        <v>87082900</v>
      </c>
      <c r="AA892">
        <v>270</v>
      </c>
      <c r="AB892" t="s">
        <v>159</v>
      </c>
      <c r="AC892">
        <v>217.33</v>
      </c>
      <c r="AD892" t="s">
        <v>160</v>
      </c>
      <c r="AE892" s="24">
        <v>58679.1</v>
      </c>
      <c r="AF892">
        <v>0</v>
      </c>
      <c r="AG892" s="24">
        <v>58679.1</v>
      </c>
      <c r="AH892">
        <v>0</v>
      </c>
      <c r="AI892">
        <v>0</v>
      </c>
      <c r="AJ892">
        <v>0</v>
      </c>
      <c r="AK892">
        <v>0</v>
      </c>
      <c r="AL892" s="24">
        <v>58679.1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 s="24">
        <v>58679.1</v>
      </c>
      <c r="AV892">
        <v>0</v>
      </c>
      <c r="AW892">
        <v>0</v>
      </c>
      <c r="AX892">
        <v>311000</v>
      </c>
      <c r="AY892" t="s">
        <v>161</v>
      </c>
      <c r="AZ892">
        <v>1.19</v>
      </c>
      <c r="BA892">
        <v>1.19</v>
      </c>
      <c r="BB892">
        <v>0</v>
      </c>
      <c r="BC892" t="s">
        <v>181</v>
      </c>
      <c r="BD892">
        <v>1511</v>
      </c>
      <c r="BE892" t="s">
        <v>174</v>
      </c>
      <c r="BF892" t="s">
        <v>163</v>
      </c>
      <c r="BG892" t="s">
        <v>164</v>
      </c>
    </row>
    <row r="893" spans="1:59">
      <c r="A893">
        <v>1115</v>
      </c>
      <c r="B893">
        <v>1115</v>
      </c>
      <c r="C893">
        <v>10</v>
      </c>
      <c r="D893">
        <v>2</v>
      </c>
      <c r="E893" t="s">
        <v>152</v>
      </c>
      <c r="F893" t="s">
        <v>153</v>
      </c>
      <c r="G893" t="s">
        <v>154</v>
      </c>
      <c r="H893">
        <v>1526006411</v>
      </c>
      <c r="I893">
        <v>1000006683</v>
      </c>
      <c r="L893" t="s">
        <v>348</v>
      </c>
      <c r="M893">
        <v>5100001100</v>
      </c>
      <c r="N893" t="s">
        <v>155</v>
      </c>
      <c r="O893" t="s">
        <v>156</v>
      </c>
      <c r="P893">
        <v>4110004652</v>
      </c>
      <c r="Q893" t="s">
        <v>177</v>
      </c>
      <c r="R893">
        <v>5000</v>
      </c>
      <c r="S893" t="s">
        <v>166</v>
      </c>
      <c r="V893" t="s">
        <v>167</v>
      </c>
      <c r="W893">
        <v>1502040126</v>
      </c>
      <c r="X893" t="s">
        <v>53</v>
      </c>
      <c r="Y893" t="str">
        <f>VLOOKUP(W893,Sheet4!$A$5:$B$71,2,0)</f>
        <v>REAR COVER</v>
      </c>
      <c r="Z893">
        <v>87082900</v>
      </c>
      <c r="AA893">
        <v>55</v>
      </c>
      <c r="AB893" t="s">
        <v>159</v>
      </c>
      <c r="AC893">
        <v>155.58000000000001</v>
      </c>
      <c r="AD893" t="s">
        <v>160</v>
      </c>
      <c r="AE893" s="24">
        <v>8556.9</v>
      </c>
      <c r="AF893">
        <v>0</v>
      </c>
      <c r="AG893" s="24">
        <v>8556.9</v>
      </c>
      <c r="AH893">
        <v>0</v>
      </c>
      <c r="AI893">
        <v>0</v>
      </c>
      <c r="AJ893">
        <v>0</v>
      </c>
      <c r="AK893">
        <v>0</v>
      </c>
      <c r="AL893" s="24">
        <v>8556.9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 s="24">
        <v>8556.9</v>
      </c>
      <c r="AV893">
        <v>0</v>
      </c>
      <c r="AW893">
        <v>0</v>
      </c>
      <c r="AX893">
        <v>311000</v>
      </c>
      <c r="AY893" t="s">
        <v>161</v>
      </c>
      <c r="AZ893">
        <v>1.1850000000000001</v>
      </c>
      <c r="BA893">
        <v>1.1850000000000001</v>
      </c>
      <c r="BB893">
        <v>0</v>
      </c>
      <c r="BC893" t="s">
        <v>232</v>
      </c>
      <c r="BD893">
        <v>1511</v>
      </c>
      <c r="BE893" t="s">
        <v>174</v>
      </c>
      <c r="BF893" t="s">
        <v>163</v>
      </c>
      <c r="BG893" t="s">
        <v>164</v>
      </c>
    </row>
    <row r="894" spans="1:59">
      <c r="A894">
        <v>1115</v>
      </c>
      <c r="B894">
        <v>1115</v>
      </c>
      <c r="C894">
        <v>10</v>
      </c>
      <c r="D894">
        <v>2</v>
      </c>
      <c r="E894" t="s">
        <v>152</v>
      </c>
      <c r="F894" t="s">
        <v>153</v>
      </c>
      <c r="G894" t="s">
        <v>154</v>
      </c>
      <c r="H894">
        <v>1526006410</v>
      </c>
      <c r="I894">
        <v>1000006682</v>
      </c>
      <c r="L894" t="s">
        <v>348</v>
      </c>
      <c r="M894">
        <v>5100001096</v>
      </c>
      <c r="N894" t="s">
        <v>155</v>
      </c>
      <c r="O894" t="s">
        <v>156</v>
      </c>
      <c r="P894">
        <v>4110004645</v>
      </c>
      <c r="Q894" t="s">
        <v>177</v>
      </c>
      <c r="R894">
        <v>5000</v>
      </c>
      <c r="S894" t="s">
        <v>166</v>
      </c>
      <c r="V894" t="s">
        <v>167</v>
      </c>
      <c r="W894">
        <v>1502040061</v>
      </c>
      <c r="X894" t="s">
        <v>40</v>
      </c>
      <c r="Y894" t="str">
        <f>VLOOKUP(W894,Sheet4!$A$5:$B$71,2,0)</f>
        <v>LOGISTICS</v>
      </c>
      <c r="Z894">
        <v>87082900</v>
      </c>
      <c r="AA894">
        <v>84</v>
      </c>
      <c r="AB894" t="s">
        <v>159</v>
      </c>
      <c r="AC894">
        <v>228.28</v>
      </c>
      <c r="AD894" t="s">
        <v>160</v>
      </c>
      <c r="AE894" s="24">
        <v>19175.52</v>
      </c>
      <c r="AF894">
        <v>0</v>
      </c>
      <c r="AG894" s="24">
        <v>19175.52</v>
      </c>
      <c r="AH894">
        <v>0</v>
      </c>
      <c r="AI894">
        <v>0</v>
      </c>
      <c r="AJ894">
        <v>0</v>
      </c>
      <c r="AK894">
        <v>0</v>
      </c>
      <c r="AL894" s="24">
        <v>19175.52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 s="24">
        <v>19175.52</v>
      </c>
      <c r="AV894">
        <v>0</v>
      </c>
      <c r="AW894">
        <v>0</v>
      </c>
      <c r="AX894">
        <v>311000</v>
      </c>
      <c r="AY894" t="s">
        <v>161</v>
      </c>
      <c r="AZ894">
        <v>1.68</v>
      </c>
      <c r="BA894">
        <v>1.68</v>
      </c>
      <c r="BB894">
        <v>0</v>
      </c>
      <c r="BC894" t="s">
        <v>194</v>
      </c>
      <c r="BD894">
        <v>1511</v>
      </c>
      <c r="BE894" t="s">
        <v>174</v>
      </c>
      <c r="BF894" t="s">
        <v>163</v>
      </c>
      <c r="BG894" t="s">
        <v>164</v>
      </c>
    </row>
    <row r="895" spans="1:59">
      <c r="A895">
        <v>1115</v>
      </c>
      <c r="B895">
        <v>1115</v>
      </c>
      <c r="C895">
        <v>10</v>
      </c>
      <c r="D895">
        <v>2</v>
      </c>
      <c r="E895" t="s">
        <v>152</v>
      </c>
      <c r="F895" t="s">
        <v>153</v>
      </c>
      <c r="G895" t="s">
        <v>154</v>
      </c>
      <c r="H895">
        <v>1526006409</v>
      </c>
      <c r="I895">
        <v>1000006681</v>
      </c>
      <c r="L895" t="s">
        <v>348</v>
      </c>
      <c r="M895">
        <v>5100001100</v>
      </c>
      <c r="N895" t="s">
        <v>155</v>
      </c>
      <c r="O895" t="s">
        <v>156</v>
      </c>
      <c r="P895">
        <v>4110004652</v>
      </c>
      <c r="Q895" t="s">
        <v>177</v>
      </c>
      <c r="R895">
        <v>5000</v>
      </c>
      <c r="S895" t="s">
        <v>166</v>
      </c>
      <c r="V895" t="s">
        <v>167</v>
      </c>
      <c r="W895">
        <v>1502040125</v>
      </c>
      <c r="X895" t="s">
        <v>52</v>
      </c>
      <c r="Y895" t="str">
        <f>VLOOKUP(W895,Sheet4!$A$5:$B$71,2,0)</f>
        <v>REAR COVER</v>
      </c>
      <c r="Z895">
        <v>87082900</v>
      </c>
      <c r="AA895">
        <v>55</v>
      </c>
      <c r="AB895" t="s">
        <v>159</v>
      </c>
      <c r="AC895">
        <v>160.44999999999999</v>
      </c>
      <c r="AD895" t="s">
        <v>160</v>
      </c>
      <c r="AE895" s="24">
        <v>8824.75</v>
      </c>
      <c r="AF895">
        <v>0</v>
      </c>
      <c r="AG895" s="24">
        <v>8824.75</v>
      </c>
      <c r="AH895">
        <v>0</v>
      </c>
      <c r="AI895">
        <v>0</v>
      </c>
      <c r="AJ895">
        <v>0</v>
      </c>
      <c r="AK895">
        <v>0</v>
      </c>
      <c r="AL895" s="24">
        <v>8824.75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 s="24">
        <v>8824.75</v>
      </c>
      <c r="AV895">
        <v>0</v>
      </c>
      <c r="AW895">
        <v>0</v>
      </c>
      <c r="AX895">
        <v>311000</v>
      </c>
      <c r="AY895" t="s">
        <v>161</v>
      </c>
      <c r="AZ895">
        <v>1.1850000000000001</v>
      </c>
      <c r="BA895">
        <v>1.1850000000000001</v>
      </c>
      <c r="BB895">
        <v>0</v>
      </c>
      <c r="BC895" t="s">
        <v>233</v>
      </c>
      <c r="BD895">
        <v>1511</v>
      </c>
      <c r="BE895" t="s">
        <v>174</v>
      </c>
      <c r="BF895" t="s">
        <v>163</v>
      </c>
      <c r="BG895" t="s">
        <v>164</v>
      </c>
    </row>
    <row r="896" spans="1:59">
      <c r="A896">
        <v>1115</v>
      </c>
      <c r="B896">
        <v>1115</v>
      </c>
      <c r="C896">
        <v>10</v>
      </c>
      <c r="D896">
        <v>2</v>
      </c>
      <c r="E896" t="s">
        <v>152</v>
      </c>
      <c r="F896" t="s">
        <v>153</v>
      </c>
      <c r="G896" t="s">
        <v>154</v>
      </c>
      <c r="H896">
        <v>1526006408</v>
      </c>
      <c r="I896">
        <v>1000006680</v>
      </c>
      <c r="L896" t="s">
        <v>348</v>
      </c>
      <c r="M896">
        <v>5100001096</v>
      </c>
      <c r="N896" t="s">
        <v>155</v>
      </c>
      <c r="O896" t="s">
        <v>156</v>
      </c>
      <c r="P896">
        <v>4110004645</v>
      </c>
      <c r="Q896" t="s">
        <v>177</v>
      </c>
      <c r="R896">
        <v>5000</v>
      </c>
      <c r="S896" t="s">
        <v>166</v>
      </c>
      <c r="V896" t="s">
        <v>167</v>
      </c>
      <c r="W896">
        <v>1502040068</v>
      </c>
      <c r="X896" t="s">
        <v>41</v>
      </c>
      <c r="Y896" t="str">
        <f>VLOOKUP(W896,Sheet4!$A$5:$B$71,2,0)</f>
        <v>ENG BKT</v>
      </c>
      <c r="Z896">
        <v>87082900</v>
      </c>
      <c r="AA896">
        <v>84</v>
      </c>
      <c r="AB896" t="s">
        <v>159</v>
      </c>
      <c r="AC896">
        <v>237.64</v>
      </c>
      <c r="AD896" t="s">
        <v>160</v>
      </c>
      <c r="AE896" s="24">
        <v>19961.759999999998</v>
      </c>
      <c r="AF896">
        <v>0</v>
      </c>
      <c r="AG896" s="24">
        <v>19961.759999999998</v>
      </c>
      <c r="AH896">
        <v>0</v>
      </c>
      <c r="AI896">
        <v>0</v>
      </c>
      <c r="AJ896">
        <v>0</v>
      </c>
      <c r="AK896">
        <v>0</v>
      </c>
      <c r="AL896" s="24">
        <v>19961.759999999998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 s="24">
        <v>19961.759999999998</v>
      </c>
      <c r="AV896">
        <v>0</v>
      </c>
      <c r="AW896">
        <v>0</v>
      </c>
      <c r="AX896">
        <v>311000</v>
      </c>
      <c r="AY896" t="s">
        <v>161</v>
      </c>
      <c r="AZ896">
        <v>1.68</v>
      </c>
      <c r="BA896">
        <v>1.68</v>
      </c>
      <c r="BB896">
        <v>0</v>
      </c>
      <c r="BC896" t="s">
        <v>195</v>
      </c>
      <c r="BD896">
        <v>1511</v>
      </c>
      <c r="BE896" t="s">
        <v>174</v>
      </c>
      <c r="BF896" t="s">
        <v>163</v>
      </c>
      <c r="BG896" t="s">
        <v>164</v>
      </c>
    </row>
    <row r="897" spans="1:59">
      <c r="A897">
        <v>1115</v>
      </c>
      <c r="B897">
        <v>1115</v>
      </c>
      <c r="C897">
        <v>10</v>
      </c>
      <c r="D897">
        <v>2</v>
      </c>
      <c r="E897" t="s">
        <v>152</v>
      </c>
      <c r="F897" t="s">
        <v>153</v>
      </c>
      <c r="G897" t="s">
        <v>154</v>
      </c>
      <c r="H897">
        <v>1526006407</v>
      </c>
      <c r="I897">
        <v>1000006679</v>
      </c>
      <c r="L897" t="s">
        <v>348</v>
      </c>
      <c r="M897">
        <v>5100001925</v>
      </c>
      <c r="N897" t="s">
        <v>155</v>
      </c>
      <c r="O897" t="s">
        <v>156</v>
      </c>
      <c r="P897">
        <v>4110055667</v>
      </c>
      <c r="Q897" t="s">
        <v>185</v>
      </c>
      <c r="R897">
        <v>5000</v>
      </c>
      <c r="S897" t="s">
        <v>166</v>
      </c>
      <c r="V897" t="s">
        <v>167</v>
      </c>
      <c r="W897">
        <v>1502040318</v>
      </c>
      <c r="X897" t="s">
        <v>72</v>
      </c>
      <c r="Y897" t="str">
        <f>VLOOKUP(W897,Sheet4!$A$5:$B$71,2,0)</f>
        <v>Re Side Door</v>
      </c>
      <c r="Z897">
        <v>87082900</v>
      </c>
      <c r="AA897">
        <v>120</v>
      </c>
      <c r="AB897" t="s">
        <v>159</v>
      </c>
      <c r="AC897">
        <v>506.59</v>
      </c>
      <c r="AD897" t="s">
        <v>160</v>
      </c>
      <c r="AE897" s="24">
        <v>60790.8</v>
      </c>
      <c r="AF897">
        <v>0</v>
      </c>
      <c r="AG897" s="24">
        <v>60790.8</v>
      </c>
      <c r="AH897">
        <v>0</v>
      </c>
      <c r="AI897">
        <v>0</v>
      </c>
      <c r="AJ897">
        <v>0</v>
      </c>
      <c r="AK897">
        <v>0</v>
      </c>
      <c r="AL897" s="24">
        <v>60790.8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 s="24">
        <v>60790.8</v>
      </c>
      <c r="AV897">
        <v>0</v>
      </c>
      <c r="AW897">
        <v>0</v>
      </c>
      <c r="AX897">
        <v>311000</v>
      </c>
      <c r="AY897" t="s">
        <v>161</v>
      </c>
      <c r="AZ897">
        <v>2.27</v>
      </c>
      <c r="BA897">
        <v>2.27</v>
      </c>
      <c r="BB897">
        <v>0</v>
      </c>
      <c r="BC897" t="s">
        <v>187</v>
      </c>
      <c r="BD897">
        <v>1511</v>
      </c>
      <c r="BE897" t="s">
        <v>174</v>
      </c>
      <c r="BF897" t="s">
        <v>163</v>
      </c>
      <c r="BG897" t="s">
        <v>164</v>
      </c>
    </row>
    <row r="898" spans="1:59">
      <c r="A898">
        <v>1115</v>
      </c>
      <c r="B898">
        <v>1115</v>
      </c>
      <c r="C898">
        <v>10</v>
      </c>
      <c r="D898">
        <v>2</v>
      </c>
      <c r="E898" t="s">
        <v>152</v>
      </c>
      <c r="F898" t="s">
        <v>153</v>
      </c>
      <c r="G898" t="s">
        <v>154</v>
      </c>
      <c r="H898">
        <v>1526006406</v>
      </c>
      <c r="I898">
        <v>1000006678</v>
      </c>
      <c r="L898" t="s">
        <v>348</v>
      </c>
      <c r="M898">
        <v>5100001925</v>
      </c>
      <c r="N898" t="s">
        <v>155</v>
      </c>
      <c r="O898" t="s">
        <v>156</v>
      </c>
      <c r="P898">
        <v>4110055667</v>
      </c>
      <c r="Q898" t="s">
        <v>185</v>
      </c>
      <c r="R898">
        <v>5000</v>
      </c>
      <c r="S898" t="s">
        <v>166</v>
      </c>
      <c r="V898" t="s">
        <v>167</v>
      </c>
      <c r="W898">
        <v>1502040317</v>
      </c>
      <c r="X898" t="s">
        <v>73</v>
      </c>
      <c r="Y898" t="str">
        <f>VLOOKUP(W898,Sheet4!$A$5:$B$71,2,0)</f>
        <v>Re Side Door</v>
      </c>
      <c r="Z898">
        <v>87082900</v>
      </c>
      <c r="AA898">
        <v>120</v>
      </c>
      <c r="AB898" t="s">
        <v>159</v>
      </c>
      <c r="AC898">
        <v>506.59</v>
      </c>
      <c r="AD898" t="s">
        <v>160</v>
      </c>
      <c r="AE898" s="24">
        <v>60790.8</v>
      </c>
      <c r="AF898">
        <v>0</v>
      </c>
      <c r="AG898" s="24">
        <v>60790.8</v>
      </c>
      <c r="AH898">
        <v>0</v>
      </c>
      <c r="AI898">
        <v>0</v>
      </c>
      <c r="AJ898">
        <v>0</v>
      </c>
      <c r="AK898">
        <v>0</v>
      </c>
      <c r="AL898" s="24">
        <v>60790.8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 s="24">
        <v>60790.8</v>
      </c>
      <c r="AV898">
        <v>0</v>
      </c>
      <c r="AW898">
        <v>0</v>
      </c>
      <c r="AX898">
        <v>311000</v>
      </c>
      <c r="AY898" t="s">
        <v>161</v>
      </c>
      <c r="AZ898">
        <v>2.27</v>
      </c>
      <c r="BA898">
        <v>2.27</v>
      </c>
      <c r="BB898">
        <v>0</v>
      </c>
      <c r="BC898" t="s">
        <v>186</v>
      </c>
      <c r="BD898">
        <v>1511</v>
      </c>
      <c r="BE898" t="s">
        <v>174</v>
      </c>
      <c r="BF898" t="s">
        <v>163</v>
      </c>
      <c r="BG898" t="s">
        <v>164</v>
      </c>
    </row>
    <row r="899" spans="1:59">
      <c r="A899">
        <v>1115</v>
      </c>
      <c r="B899">
        <v>1115</v>
      </c>
      <c r="C899">
        <v>10</v>
      </c>
      <c r="D899">
        <v>2</v>
      </c>
      <c r="E899" t="s">
        <v>152</v>
      </c>
      <c r="F899" t="s">
        <v>153</v>
      </c>
      <c r="G899" t="s">
        <v>154</v>
      </c>
      <c r="H899">
        <v>1526006405</v>
      </c>
      <c r="I899">
        <v>1000006677</v>
      </c>
      <c r="L899" t="s">
        <v>348</v>
      </c>
      <c r="M899">
        <v>5100001636</v>
      </c>
      <c r="N899" t="s">
        <v>155</v>
      </c>
      <c r="O899" t="s">
        <v>156</v>
      </c>
      <c r="P899">
        <v>4110026445</v>
      </c>
      <c r="Q899" t="s">
        <v>170</v>
      </c>
      <c r="R899">
        <v>5000</v>
      </c>
      <c r="S899" t="s">
        <v>166</v>
      </c>
      <c r="V899" t="s">
        <v>167</v>
      </c>
      <c r="W899">
        <v>1502020104</v>
      </c>
      <c r="X899" t="s">
        <v>26</v>
      </c>
      <c r="Y899" t="str">
        <f>VLOOKUP(W899,Sheet4!$A$5:$B$71,2,0)</f>
        <v>RE STYLING</v>
      </c>
      <c r="Z899">
        <v>87082900</v>
      </c>
      <c r="AA899">
        <v>12</v>
      </c>
      <c r="AB899" t="s">
        <v>159</v>
      </c>
      <c r="AC899" s="24">
        <v>6585.55</v>
      </c>
      <c r="AD899" t="s">
        <v>160</v>
      </c>
      <c r="AE899" s="24">
        <v>79026.600000000006</v>
      </c>
      <c r="AF899">
        <v>0</v>
      </c>
      <c r="AG899" s="24">
        <v>79026.600000000006</v>
      </c>
      <c r="AH899">
        <v>0</v>
      </c>
      <c r="AI899">
        <v>0</v>
      </c>
      <c r="AJ899">
        <v>0</v>
      </c>
      <c r="AK899">
        <v>0</v>
      </c>
      <c r="AL899" s="24">
        <v>79026.600000000006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s="24">
        <v>79026.600000000006</v>
      </c>
      <c r="AV899">
        <v>0</v>
      </c>
      <c r="AW899">
        <v>0</v>
      </c>
      <c r="AX899">
        <v>311000</v>
      </c>
      <c r="AY899" t="s">
        <v>161</v>
      </c>
      <c r="AZ899">
        <v>49.75</v>
      </c>
      <c r="BA899">
        <v>49.75</v>
      </c>
      <c r="BB899">
        <v>0</v>
      </c>
      <c r="BC899" t="s">
        <v>171</v>
      </c>
      <c r="BD899">
        <v>1509</v>
      </c>
      <c r="BE899" t="s">
        <v>169</v>
      </c>
      <c r="BF899" t="s">
        <v>163</v>
      </c>
      <c r="BG899" t="s">
        <v>164</v>
      </c>
    </row>
    <row r="900" spans="1:59">
      <c r="A900">
        <v>1115</v>
      </c>
      <c r="B900">
        <v>1115</v>
      </c>
      <c r="C900">
        <v>10</v>
      </c>
      <c r="D900">
        <v>2</v>
      </c>
      <c r="E900" t="s">
        <v>152</v>
      </c>
      <c r="F900" t="s">
        <v>153</v>
      </c>
      <c r="G900" t="s">
        <v>154</v>
      </c>
      <c r="H900">
        <v>1526006404</v>
      </c>
      <c r="I900">
        <v>1000006676</v>
      </c>
      <c r="L900" t="s">
        <v>348</v>
      </c>
      <c r="M900">
        <v>5100001636</v>
      </c>
      <c r="N900" t="s">
        <v>155</v>
      </c>
      <c r="O900" t="s">
        <v>156</v>
      </c>
      <c r="P900">
        <v>4110026445</v>
      </c>
      <c r="Q900" t="s">
        <v>170</v>
      </c>
      <c r="R900">
        <v>5000</v>
      </c>
      <c r="S900" t="s">
        <v>166</v>
      </c>
      <c r="V900" t="s">
        <v>167</v>
      </c>
      <c r="W900">
        <v>1502020101</v>
      </c>
      <c r="X900" t="s">
        <v>25</v>
      </c>
      <c r="Y900" t="str">
        <f>VLOOKUP(W900,Sheet4!$A$5:$B$71,2,0)</f>
        <v>RE STYLING</v>
      </c>
      <c r="Z900">
        <v>87082900</v>
      </c>
      <c r="AA900">
        <v>6</v>
      </c>
      <c r="AB900" t="s">
        <v>159</v>
      </c>
      <c r="AC900" s="24">
        <v>6240.88</v>
      </c>
      <c r="AD900" t="s">
        <v>160</v>
      </c>
      <c r="AE900" s="24">
        <v>37445.279999999999</v>
      </c>
      <c r="AF900">
        <v>0</v>
      </c>
      <c r="AG900" s="24">
        <v>37445.279999999999</v>
      </c>
      <c r="AH900">
        <v>0</v>
      </c>
      <c r="AI900">
        <v>0</v>
      </c>
      <c r="AJ900">
        <v>0</v>
      </c>
      <c r="AK900">
        <v>0</v>
      </c>
      <c r="AL900" s="24">
        <v>37445.279999999999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 s="24">
        <v>37445.279999999999</v>
      </c>
      <c r="AV900">
        <v>0</v>
      </c>
      <c r="AW900">
        <v>0</v>
      </c>
      <c r="AX900">
        <v>311000</v>
      </c>
      <c r="AY900" t="s">
        <v>161</v>
      </c>
      <c r="AZ900">
        <v>58</v>
      </c>
      <c r="BA900">
        <v>58</v>
      </c>
      <c r="BB900">
        <v>0</v>
      </c>
      <c r="BC900" t="s">
        <v>208</v>
      </c>
      <c r="BD900">
        <v>1509</v>
      </c>
      <c r="BE900" t="s">
        <v>169</v>
      </c>
      <c r="BF900" t="s">
        <v>163</v>
      </c>
      <c r="BG900" t="s">
        <v>164</v>
      </c>
    </row>
    <row r="901" spans="1:59">
      <c r="A901">
        <v>1115</v>
      </c>
      <c r="B901">
        <v>1115</v>
      </c>
      <c r="C901">
        <v>10</v>
      </c>
      <c r="D901">
        <v>2</v>
      </c>
      <c r="E901" t="s">
        <v>152</v>
      </c>
      <c r="F901" t="s">
        <v>153</v>
      </c>
      <c r="G901" t="s">
        <v>154</v>
      </c>
      <c r="H901">
        <v>1526006403</v>
      </c>
      <c r="I901">
        <v>1000006675</v>
      </c>
      <c r="L901" t="s">
        <v>348</v>
      </c>
      <c r="M901">
        <v>5100001666</v>
      </c>
      <c r="N901" t="s">
        <v>155</v>
      </c>
      <c r="O901" t="s">
        <v>156</v>
      </c>
      <c r="P901">
        <v>4110027035</v>
      </c>
      <c r="Q901" t="s">
        <v>225</v>
      </c>
      <c r="R901">
        <v>5000</v>
      </c>
      <c r="S901" t="s">
        <v>166</v>
      </c>
      <c r="V901" t="s">
        <v>167</v>
      </c>
      <c r="W901">
        <v>1502020105</v>
      </c>
      <c r="X901" t="s">
        <v>226</v>
      </c>
      <c r="Y901" t="str">
        <f>VLOOKUP(W901,Sheet4!$A$5:$B$71,2,0)</f>
        <v>RE STYLING</v>
      </c>
      <c r="Z901">
        <v>87082900</v>
      </c>
      <c r="AA901">
        <v>9</v>
      </c>
      <c r="AB901" t="s">
        <v>159</v>
      </c>
      <c r="AC901" s="24">
        <v>6570.77</v>
      </c>
      <c r="AD901" t="s">
        <v>160</v>
      </c>
      <c r="AE901" s="24">
        <v>59136.93</v>
      </c>
      <c r="AF901">
        <v>0</v>
      </c>
      <c r="AG901" s="24">
        <v>59136.93</v>
      </c>
      <c r="AH901">
        <v>0</v>
      </c>
      <c r="AI901">
        <v>0</v>
      </c>
      <c r="AJ901">
        <v>0</v>
      </c>
      <c r="AK901">
        <v>0</v>
      </c>
      <c r="AL901" s="24">
        <v>59136.93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 s="24">
        <v>59136.93</v>
      </c>
      <c r="AV901">
        <v>0</v>
      </c>
      <c r="AW901">
        <v>0</v>
      </c>
      <c r="AX901">
        <v>311000</v>
      </c>
      <c r="AY901" t="s">
        <v>161</v>
      </c>
      <c r="AZ901">
        <v>49.75</v>
      </c>
      <c r="BA901">
        <v>49.75</v>
      </c>
      <c r="BB901">
        <v>0</v>
      </c>
      <c r="BC901" t="s">
        <v>227</v>
      </c>
      <c r="BD901">
        <v>1509</v>
      </c>
      <c r="BE901" t="s">
        <v>169</v>
      </c>
      <c r="BF901" t="s">
        <v>163</v>
      </c>
      <c r="BG901" t="s">
        <v>164</v>
      </c>
    </row>
    <row r="902" spans="1:59">
      <c r="A902">
        <v>1115</v>
      </c>
      <c r="B902">
        <v>1115</v>
      </c>
      <c r="C902">
        <v>10</v>
      </c>
      <c r="D902">
        <v>2</v>
      </c>
      <c r="E902" t="s">
        <v>152</v>
      </c>
      <c r="F902" t="s">
        <v>153</v>
      </c>
      <c r="G902" t="s">
        <v>154</v>
      </c>
      <c r="H902">
        <v>1526006402</v>
      </c>
      <c r="I902">
        <v>1000006674</v>
      </c>
      <c r="L902" t="s">
        <v>348</v>
      </c>
      <c r="M902">
        <v>5100001636</v>
      </c>
      <c r="N902" t="s">
        <v>155</v>
      </c>
      <c r="O902" t="s">
        <v>156</v>
      </c>
      <c r="P902">
        <v>4110026445</v>
      </c>
      <c r="Q902" t="s">
        <v>170</v>
      </c>
      <c r="R902">
        <v>5000</v>
      </c>
      <c r="S902" t="s">
        <v>166</v>
      </c>
      <c r="V902" t="s">
        <v>167</v>
      </c>
      <c r="W902">
        <v>1502020104</v>
      </c>
      <c r="X902" t="s">
        <v>26</v>
      </c>
      <c r="Y902" t="str">
        <f>VLOOKUP(W902,Sheet4!$A$5:$B$71,2,0)</f>
        <v>RE STYLING</v>
      </c>
      <c r="Z902">
        <v>87082900</v>
      </c>
      <c r="AA902">
        <v>15</v>
      </c>
      <c r="AB902" t="s">
        <v>159</v>
      </c>
      <c r="AC902" s="24">
        <v>6585.55</v>
      </c>
      <c r="AD902" t="s">
        <v>160</v>
      </c>
      <c r="AE902" s="24">
        <v>98783.25</v>
      </c>
      <c r="AF902">
        <v>0</v>
      </c>
      <c r="AG902" s="24">
        <v>98783.25</v>
      </c>
      <c r="AH902">
        <v>0</v>
      </c>
      <c r="AI902">
        <v>0</v>
      </c>
      <c r="AJ902">
        <v>0</v>
      </c>
      <c r="AK902">
        <v>0</v>
      </c>
      <c r="AL902" s="24">
        <v>98783.25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s="24">
        <v>98783.25</v>
      </c>
      <c r="AV902">
        <v>0</v>
      </c>
      <c r="AW902">
        <v>0</v>
      </c>
      <c r="AX902">
        <v>311000</v>
      </c>
      <c r="AY902" t="s">
        <v>161</v>
      </c>
      <c r="AZ902">
        <v>49.75</v>
      </c>
      <c r="BA902">
        <v>49.75</v>
      </c>
      <c r="BB902">
        <v>0</v>
      </c>
      <c r="BC902" t="s">
        <v>171</v>
      </c>
      <c r="BD902">
        <v>1509</v>
      </c>
      <c r="BE902" t="s">
        <v>169</v>
      </c>
      <c r="BF902" t="s">
        <v>163</v>
      </c>
      <c r="BG902" t="s">
        <v>164</v>
      </c>
    </row>
    <row r="903" spans="1:59">
      <c r="A903">
        <v>1115</v>
      </c>
      <c r="B903">
        <v>1115</v>
      </c>
      <c r="C903">
        <v>10</v>
      </c>
      <c r="D903">
        <v>2</v>
      </c>
      <c r="E903" t="s">
        <v>152</v>
      </c>
      <c r="F903" t="s">
        <v>153</v>
      </c>
      <c r="G903" t="s">
        <v>154</v>
      </c>
      <c r="H903">
        <v>1526006401</v>
      </c>
      <c r="I903">
        <v>1000006673</v>
      </c>
      <c r="L903" t="s">
        <v>348</v>
      </c>
      <c r="M903">
        <v>5100001636</v>
      </c>
      <c r="N903" t="s">
        <v>155</v>
      </c>
      <c r="O903" t="s">
        <v>156</v>
      </c>
      <c r="P903">
        <v>4110026445</v>
      </c>
      <c r="Q903" t="s">
        <v>170</v>
      </c>
      <c r="R903">
        <v>5000</v>
      </c>
      <c r="S903" t="s">
        <v>166</v>
      </c>
      <c r="V903" t="s">
        <v>167</v>
      </c>
      <c r="W903">
        <v>1502020104</v>
      </c>
      <c r="X903" t="s">
        <v>26</v>
      </c>
      <c r="Y903" t="str">
        <f>VLOOKUP(W903,Sheet4!$A$5:$B$71,2,0)</f>
        <v>RE STYLING</v>
      </c>
      <c r="Z903">
        <v>87082900</v>
      </c>
      <c r="AA903">
        <v>15</v>
      </c>
      <c r="AB903" t="s">
        <v>159</v>
      </c>
      <c r="AC903" s="24">
        <v>6585.55</v>
      </c>
      <c r="AD903" t="s">
        <v>160</v>
      </c>
      <c r="AE903" s="24">
        <v>98783.25</v>
      </c>
      <c r="AF903">
        <v>0</v>
      </c>
      <c r="AG903" s="24">
        <v>98783.25</v>
      </c>
      <c r="AH903">
        <v>0</v>
      </c>
      <c r="AI903">
        <v>0</v>
      </c>
      <c r="AJ903">
        <v>0</v>
      </c>
      <c r="AK903">
        <v>0</v>
      </c>
      <c r="AL903" s="24">
        <v>98783.25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 s="24">
        <v>98783.25</v>
      </c>
      <c r="AV903">
        <v>0</v>
      </c>
      <c r="AW903">
        <v>0</v>
      </c>
      <c r="AX903">
        <v>311000</v>
      </c>
      <c r="AY903" t="s">
        <v>161</v>
      </c>
      <c r="AZ903">
        <v>49.75</v>
      </c>
      <c r="BA903">
        <v>49.75</v>
      </c>
      <c r="BB903">
        <v>0</v>
      </c>
      <c r="BC903" t="s">
        <v>171</v>
      </c>
      <c r="BD903">
        <v>1509</v>
      </c>
      <c r="BE903" t="s">
        <v>169</v>
      </c>
      <c r="BF903" t="s">
        <v>163</v>
      </c>
      <c r="BG903" t="s">
        <v>164</v>
      </c>
    </row>
    <row r="904" spans="1:59">
      <c r="A904">
        <v>1115</v>
      </c>
      <c r="B904">
        <v>1115</v>
      </c>
      <c r="C904">
        <v>10</v>
      </c>
      <c r="D904">
        <v>2</v>
      </c>
      <c r="E904" t="s">
        <v>152</v>
      </c>
      <c r="F904" t="s">
        <v>153</v>
      </c>
      <c r="G904" t="s">
        <v>154</v>
      </c>
      <c r="H904">
        <v>1526006400</v>
      </c>
      <c r="I904">
        <v>1000006672</v>
      </c>
      <c r="L904" t="s">
        <v>348</v>
      </c>
      <c r="M904">
        <v>5100001636</v>
      </c>
      <c r="N904" t="s">
        <v>155</v>
      </c>
      <c r="O904" t="s">
        <v>156</v>
      </c>
      <c r="P904">
        <v>4110026445</v>
      </c>
      <c r="Q904" t="s">
        <v>170</v>
      </c>
      <c r="R904">
        <v>5000</v>
      </c>
      <c r="S904" t="s">
        <v>166</v>
      </c>
      <c r="V904" t="s">
        <v>167</v>
      </c>
      <c r="W904">
        <v>1502020104</v>
      </c>
      <c r="X904" t="s">
        <v>26</v>
      </c>
      <c r="Y904" t="str">
        <f>VLOOKUP(W904,Sheet4!$A$5:$B$71,2,0)</f>
        <v>RE STYLING</v>
      </c>
      <c r="Z904">
        <v>87082900</v>
      </c>
      <c r="AA904">
        <v>15</v>
      </c>
      <c r="AB904" t="s">
        <v>159</v>
      </c>
      <c r="AC904" s="24">
        <v>6585.55</v>
      </c>
      <c r="AD904" t="s">
        <v>160</v>
      </c>
      <c r="AE904" s="24">
        <v>98783.25</v>
      </c>
      <c r="AF904">
        <v>0</v>
      </c>
      <c r="AG904" s="24">
        <v>98783.25</v>
      </c>
      <c r="AH904">
        <v>0</v>
      </c>
      <c r="AI904">
        <v>0</v>
      </c>
      <c r="AJ904">
        <v>0</v>
      </c>
      <c r="AK904">
        <v>0</v>
      </c>
      <c r="AL904" s="24">
        <v>98783.25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 s="24">
        <v>98783.25</v>
      </c>
      <c r="AV904">
        <v>0</v>
      </c>
      <c r="AW904">
        <v>0</v>
      </c>
      <c r="AX904">
        <v>311000</v>
      </c>
      <c r="AY904" t="s">
        <v>161</v>
      </c>
      <c r="AZ904">
        <v>49.75</v>
      </c>
      <c r="BA904">
        <v>49.75</v>
      </c>
      <c r="BB904">
        <v>0</v>
      </c>
      <c r="BC904" t="s">
        <v>171</v>
      </c>
      <c r="BD904">
        <v>1509</v>
      </c>
      <c r="BE904" t="s">
        <v>169</v>
      </c>
      <c r="BF904" t="s">
        <v>163</v>
      </c>
      <c r="BG904" t="s">
        <v>164</v>
      </c>
    </row>
    <row r="905" spans="1:59">
      <c r="A905">
        <v>1115</v>
      </c>
      <c r="B905">
        <v>1115</v>
      </c>
      <c r="C905">
        <v>10</v>
      </c>
      <c r="D905">
        <v>2</v>
      </c>
      <c r="E905" t="s">
        <v>152</v>
      </c>
      <c r="F905" t="s">
        <v>153</v>
      </c>
      <c r="G905" t="s">
        <v>154</v>
      </c>
      <c r="H905">
        <v>1526006399</v>
      </c>
      <c r="I905">
        <v>1000006671</v>
      </c>
      <c r="L905" t="s">
        <v>348</v>
      </c>
      <c r="M905">
        <v>5100001636</v>
      </c>
      <c r="N905" t="s">
        <v>155</v>
      </c>
      <c r="O905" t="s">
        <v>156</v>
      </c>
      <c r="P905">
        <v>4110026445</v>
      </c>
      <c r="Q905" t="s">
        <v>170</v>
      </c>
      <c r="R905">
        <v>5000</v>
      </c>
      <c r="S905" t="s">
        <v>166</v>
      </c>
      <c r="V905" t="s">
        <v>167</v>
      </c>
      <c r="W905">
        <v>1502020104</v>
      </c>
      <c r="X905" t="s">
        <v>26</v>
      </c>
      <c r="Y905" t="str">
        <f>VLOOKUP(W905,Sheet4!$A$5:$B$71,2,0)</f>
        <v>RE STYLING</v>
      </c>
      <c r="Z905">
        <v>87082900</v>
      </c>
      <c r="AA905">
        <v>15</v>
      </c>
      <c r="AB905" t="s">
        <v>159</v>
      </c>
      <c r="AC905" s="24">
        <v>6585.55</v>
      </c>
      <c r="AD905" t="s">
        <v>160</v>
      </c>
      <c r="AE905" s="24">
        <v>98783.25</v>
      </c>
      <c r="AF905">
        <v>0</v>
      </c>
      <c r="AG905" s="24">
        <v>98783.25</v>
      </c>
      <c r="AH905">
        <v>0</v>
      </c>
      <c r="AI905">
        <v>0</v>
      </c>
      <c r="AJ905">
        <v>0</v>
      </c>
      <c r="AK905">
        <v>0</v>
      </c>
      <c r="AL905" s="24">
        <v>98783.25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s="24">
        <v>98783.25</v>
      </c>
      <c r="AV905">
        <v>0</v>
      </c>
      <c r="AW905">
        <v>0</v>
      </c>
      <c r="AX905">
        <v>311000</v>
      </c>
      <c r="AY905" t="s">
        <v>161</v>
      </c>
      <c r="AZ905">
        <v>49.75</v>
      </c>
      <c r="BA905">
        <v>49.75</v>
      </c>
      <c r="BB905">
        <v>0</v>
      </c>
      <c r="BC905" t="s">
        <v>171</v>
      </c>
      <c r="BD905">
        <v>1509</v>
      </c>
      <c r="BE905" t="s">
        <v>169</v>
      </c>
      <c r="BF905" t="s">
        <v>163</v>
      </c>
      <c r="BG905" t="s">
        <v>164</v>
      </c>
    </row>
    <row r="906" spans="1:59">
      <c r="A906">
        <v>1115</v>
      </c>
      <c r="B906">
        <v>1115</v>
      </c>
      <c r="C906">
        <v>10</v>
      </c>
      <c r="D906">
        <v>2</v>
      </c>
      <c r="E906" t="s">
        <v>152</v>
      </c>
      <c r="F906" t="s">
        <v>153</v>
      </c>
      <c r="G906" t="s">
        <v>154</v>
      </c>
      <c r="H906">
        <v>1526006398</v>
      </c>
      <c r="I906">
        <v>1000006670</v>
      </c>
      <c r="L906" t="s">
        <v>348</v>
      </c>
      <c r="M906">
        <v>5100001227</v>
      </c>
      <c r="N906" t="s">
        <v>155</v>
      </c>
      <c r="O906" t="s">
        <v>156</v>
      </c>
      <c r="P906">
        <v>4110011319</v>
      </c>
      <c r="Q906" t="s">
        <v>175</v>
      </c>
      <c r="R906">
        <v>5000</v>
      </c>
      <c r="S906" t="s">
        <v>166</v>
      </c>
      <c r="V906" t="s">
        <v>167</v>
      </c>
      <c r="W906">
        <v>1502020074</v>
      </c>
      <c r="X906" t="s">
        <v>28</v>
      </c>
      <c r="Y906" t="str">
        <f>VLOOKUP(W906,Sheet4!$A$5:$B$71,2,0)</f>
        <v>MAX UG NEW</v>
      </c>
      <c r="Z906">
        <v>87082900</v>
      </c>
      <c r="AA906">
        <v>10</v>
      </c>
      <c r="AB906" t="s">
        <v>159</v>
      </c>
      <c r="AC906" s="24">
        <v>9397.5</v>
      </c>
      <c r="AD906" t="s">
        <v>160</v>
      </c>
      <c r="AE906" s="24">
        <v>93975</v>
      </c>
      <c r="AF906">
        <v>0</v>
      </c>
      <c r="AG906" s="24">
        <v>93975</v>
      </c>
      <c r="AH906">
        <v>0</v>
      </c>
      <c r="AI906">
        <v>0</v>
      </c>
      <c r="AJ906">
        <v>0</v>
      </c>
      <c r="AK906">
        <v>0</v>
      </c>
      <c r="AL906" s="24">
        <v>93975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 s="24">
        <v>93975</v>
      </c>
      <c r="AV906">
        <v>0</v>
      </c>
      <c r="AW906">
        <v>0</v>
      </c>
      <c r="AX906">
        <v>311000</v>
      </c>
      <c r="AY906" t="s">
        <v>161</v>
      </c>
      <c r="AZ906">
        <v>69.5</v>
      </c>
      <c r="BA906">
        <v>69.5</v>
      </c>
      <c r="BB906">
        <v>0</v>
      </c>
      <c r="BC906" t="s">
        <v>176</v>
      </c>
      <c r="BD906">
        <v>1509</v>
      </c>
      <c r="BE906" t="s">
        <v>169</v>
      </c>
      <c r="BF906" t="s">
        <v>163</v>
      </c>
      <c r="BG906" t="s">
        <v>164</v>
      </c>
    </row>
    <row r="907" spans="1:59">
      <c r="A907">
        <v>1115</v>
      </c>
      <c r="B907">
        <v>1115</v>
      </c>
      <c r="C907">
        <v>10</v>
      </c>
      <c r="D907">
        <v>2</v>
      </c>
      <c r="E907" t="s">
        <v>152</v>
      </c>
      <c r="F907" t="s">
        <v>153</v>
      </c>
      <c r="G907" t="s">
        <v>154</v>
      </c>
      <c r="H907">
        <v>1526006397</v>
      </c>
      <c r="I907">
        <v>1000006669</v>
      </c>
      <c r="L907" t="s">
        <v>348</v>
      </c>
      <c r="M907">
        <v>5100001227</v>
      </c>
      <c r="N907" t="s">
        <v>155</v>
      </c>
      <c r="O907" t="s">
        <v>156</v>
      </c>
      <c r="P907">
        <v>4110011319</v>
      </c>
      <c r="Q907" t="s">
        <v>175</v>
      </c>
      <c r="R907">
        <v>5000</v>
      </c>
      <c r="S907" t="s">
        <v>166</v>
      </c>
      <c r="V907" t="s">
        <v>167</v>
      </c>
      <c r="W907">
        <v>1502020074</v>
      </c>
      <c r="X907" t="s">
        <v>28</v>
      </c>
      <c r="Y907" t="str">
        <f>VLOOKUP(W907,Sheet4!$A$5:$B$71,2,0)</f>
        <v>MAX UG NEW</v>
      </c>
      <c r="Z907">
        <v>87082900</v>
      </c>
      <c r="AA907">
        <v>10</v>
      </c>
      <c r="AB907" t="s">
        <v>159</v>
      </c>
      <c r="AC907" s="24">
        <v>9397.5</v>
      </c>
      <c r="AD907" t="s">
        <v>160</v>
      </c>
      <c r="AE907" s="24">
        <v>93975</v>
      </c>
      <c r="AF907">
        <v>0</v>
      </c>
      <c r="AG907" s="24">
        <v>93975</v>
      </c>
      <c r="AH907">
        <v>0</v>
      </c>
      <c r="AI907">
        <v>0</v>
      </c>
      <c r="AJ907">
        <v>0</v>
      </c>
      <c r="AK907">
        <v>0</v>
      </c>
      <c r="AL907" s="24">
        <v>93975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 s="24">
        <v>93975</v>
      </c>
      <c r="AV907">
        <v>0</v>
      </c>
      <c r="AW907">
        <v>0</v>
      </c>
      <c r="AX907">
        <v>311000</v>
      </c>
      <c r="AY907" t="s">
        <v>161</v>
      </c>
      <c r="AZ907">
        <v>69.5</v>
      </c>
      <c r="BA907">
        <v>69.5</v>
      </c>
      <c r="BB907">
        <v>0</v>
      </c>
      <c r="BC907" t="s">
        <v>176</v>
      </c>
      <c r="BD907">
        <v>1509</v>
      </c>
      <c r="BE907" t="s">
        <v>169</v>
      </c>
      <c r="BF907" t="s">
        <v>163</v>
      </c>
      <c r="BG907" t="s">
        <v>164</v>
      </c>
    </row>
    <row r="908" spans="1:59">
      <c r="A908">
        <v>1115</v>
      </c>
      <c r="B908">
        <v>1115</v>
      </c>
      <c r="C908">
        <v>10</v>
      </c>
      <c r="D908">
        <v>2</v>
      </c>
      <c r="E908" t="s">
        <v>152</v>
      </c>
      <c r="F908" t="s">
        <v>153</v>
      </c>
      <c r="G908" t="s">
        <v>154</v>
      </c>
      <c r="H908">
        <v>1526006396</v>
      </c>
      <c r="I908">
        <v>1000006668</v>
      </c>
      <c r="L908" t="s">
        <v>348</v>
      </c>
      <c r="M908">
        <v>5100001227</v>
      </c>
      <c r="N908" t="s">
        <v>155</v>
      </c>
      <c r="O908" t="s">
        <v>156</v>
      </c>
      <c r="P908">
        <v>4110011319</v>
      </c>
      <c r="Q908" t="s">
        <v>175</v>
      </c>
      <c r="R908">
        <v>5000</v>
      </c>
      <c r="S908" t="s">
        <v>166</v>
      </c>
      <c r="V908" t="s">
        <v>167</v>
      </c>
      <c r="W908">
        <v>1502020074</v>
      </c>
      <c r="X908" t="s">
        <v>28</v>
      </c>
      <c r="Y908" t="str">
        <f>VLOOKUP(W908,Sheet4!$A$5:$B$71,2,0)</f>
        <v>MAX UG NEW</v>
      </c>
      <c r="Z908">
        <v>87082900</v>
      </c>
      <c r="AA908">
        <v>10</v>
      </c>
      <c r="AB908" t="s">
        <v>159</v>
      </c>
      <c r="AC908" s="24">
        <v>9397.5</v>
      </c>
      <c r="AD908" t="s">
        <v>160</v>
      </c>
      <c r="AE908" s="24">
        <v>93975</v>
      </c>
      <c r="AF908">
        <v>0</v>
      </c>
      <c r="AG908" s="24">
        <v>93975</v>
      </c>
      <c r="AH908">
        <v>0</v>
      </c>
      <c r="AI908">
        <v>0</v>
      </c>
      <c r="AJ908">
        <v>0</v>
      </c>
      <c r="AK908">
        <v>0</v>
      </c>
      <c r="AL908" s="24">
        <v>93975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 s="24">
        <v>93975</v>
      </c>
      <c r="AV908">
        <v>0</v>
      </c>
      <c r="AW908">
        <v>0</v>
      </c>
      <c r="AX908">
        <v>311000</v>
      </c>
      <c r="AY908" t="s">
        <v>161</v>
      </c>
      <c r="AZ908">
        <v>69.5</v>
      </c>
      <c r="BA908">
        <v>69.5</v>
      </c>
      <c r="BB908">
        <v>0</v>
      </c>
      <c r="BC908" t="s">
        <v>176</v>
      </c>
      <c r="BD908">
        <v>1509</v>
      </c>
      <c r="BE908" t="s">
        <v>169</v>
      </c>
      <c r="BF908" t="s">
        <v>163</v>
      </c>
      <c r="BG908" t="s">
        <v>164</v>
      </c>
    </row>
    <row r="909" spans="1:59">
      <c r="A909">
        <v>1115</v>
      </c>
      <c r="B909">
        <v>1115</v>
      </c>
      <c r="C909">
        <v>10</v>
      </c>
      <c r="D909">
        <v>2</v>
      </c>
      <c r="E909" t="s">
        <v>152</v>
      </c>
      <c r="F909" t="s">
        <v>153</v>
      </c>
      <c r="G909" t="s">
        <v>154</v>
      </c>
      <c r="H909">
        <v>1526006395</v>
      </c>
      <c r="I909">
        <v>1000006667</v>
      </c>
      <c r="L909" t="s">
        <v>348</v>
      </c>
      <c r="M909">
        <v>5100001227</v>
      </c>
      <c r="N909" t="s">
        <v>155</v>
      </c>
      <c r="O909" t="s">
        <v>156</v>
      </c>
      <c r="P909">
        <v>4110011319</v>
      </c>
      <c r="Q909" t="s">
        <v>175</v>
      </c>
      <c r="R909">
        <v>5000</v>
      </c>
      <c r="S909" t="s">
        <v>166</v>
      </c>
      <c r="V909" t="s">
        <v>167</v>
      </c>
      <c r="W909">
        <v>1502020074</v>
      </c>
      <c r="X909" t="s">
        <v>28</v>
      </c>
      <c r="Y909" t="str">
        <f>VLOOKUP(W909,Sheet4!$A$5:$B$71,2,0)</f>
        <v>MAX UG NEW</v>
      </c>
      <c r="Z909">
        <v>87082900</v>
      </c>
      <c r="AA909">
        <v>10</v>
      </c>
      <c r="AB909" t="s">
        <v>159</v>
      </c>
      <c r="AC909" s="24">
        <v>9397.5</v>
      </c>
      <c r="AD909" t="s">
        <v>160</v>
      </c>
      <c r="AE909" s="24">
        <v>93975</v>
      </c>
      <c r="AF909">
        <v>0</v>
      </c>
      <c r="AG909" s="24">
        <v>93975</v>
      </c>
      <c r="AH909">
        <v>0</v>
      </c>
      <c r="AI909">
        <v>0</v>
      </c>
      <c r="AJ909">
        <v>0</v>
      </c>
      <c r="AK909">
        <v>0</v>
      </c>
      <c r="AL909" s="24">
        <v>93975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 s="24">
        <v>93975</v>
      </c>
      <c r="AV909">
        <v>0</v>
      </c>
      <c r="AW909">
        <v>0</v>
      </c>
      <c r="AX909">
        <v>311000</v>
      </c>
      <c r="AY909" t="s">
        <v>161</v>
      </c>
      <c r="AZ909">
        <v>69.5</v>
      </c>
      <c r="BA909">
        <v>69.5</v>
      </c>
      <c r="BB909">
        <v>0</v>
      </c>
      <c r="BC909" t="s">
        <v>176</v>
      </c>
      <c r="BD909">
        <v>1509</v>
      </c>
      <c r="BE909" t="s">
        <v>169</v>
      </c>
      <c r="BF909" t="s">
        <v>163</v>
      </c>
      <c r="BG909" t="s">
        <v>164</v>
      </c>
    </row>
    <row r="910" spans="1:59">
      <c r="A910">
        <v>1115</v>
      </c>
      <c r="B910">
        <v>1115</v>
      </c>
      <c r="C910">
        <v>10</v>
      </c>
      <c r="D910">
        <v>2</v>
      </c>
      <c r="E910" t="s">
        <v>152</v>
      </c>
      <c r="F910" t="s">
        <v>153</v>
      </c>
      <c r="G910" t="s">
        <v>154</v>
      </c>
      <c r="H910">
        <v>1526006394</v>
      </c>
      <c r="I910">
        <v>1000006666</v>
      </c>
      <c r="L910" t="s">
        <v>348</v>
      </c>
      <c r="M910">
        <v>5100001227</v>
      </c>
      <c r="N910" t="s">
        <v>155</v>
      </c>
      <c r="O910" t="s">
        <v>156</v>
      </c>
      <c r="P910">
        <v>4110011319</v>
      </c>
      <c r="Q910" t="s">
        <v>175</v>
      </c>
      <c r="R910">
        <v>5000</v>
      </c>
      <c r="S910" t="s">
        <v>166</v>
      </c>
      <c r="V910" t="s">
        <v>167</v>
      </c>
      <c r="W910">
        <v>1502020074</v>
      </c>
      <c r="X910" t="s">
        <v>28</v>
      </c>
      <c r="Y910" t="str">
        <f>VLOOKUP(W910,Sheet4!$A$5:$B$71,2,0)</f>
        <v>MAX UG NEW</v>
      </c>
      <c r="Z910">
        <v>87082900</v>
      </c>
      <c r="AA910">
        <v>10</v>
      </c>
      <c r="AB910" t="s">
        <v>159</v>
      </c>
      <c r="AC910" s="24">
        <v>9397.5</v>
      </c>
      <c r="AD910" t="s">
        <v>160</v>
      </c>
      <c r="AE910" s="24">
        <v>93975</v>
      </c>
      <c r="AF910">
        <v>0</v>
      </c>
      <c r="AG910" s="24">
        <v>93975</v>
      </c>
      <c r="AH910">
        <v>0</v>
      </c>
      <c r="AI910">
        <v>0</v>
      </c>
      <c r="AJ910">
        <v>0</v>
      </c>
      <c r="AK910">
        <v>0</v>
      </c>
      <c r="AL910" s="24">
        <v>93975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 s="24">
        <v>93975</v>
      </c>
      <c r="AV910">
        <v>0</v>
      </c>
      <c r="AW910">
        <v>0</v>
      </c>
      <c r="AX910">
        <v>311000</v>
      </c>
      <c r="AY910" t="s">
        <v>161</v>
      </c>
      <c r="AZ910">
        <v>69.5</v>
      </c>
      <c r="BA910">
        <v>69.5</v>
      </c>
      <c r="BB910">
        <v>0</v>
      </c>
      <c r="BC910" t="s">
        <v>176</v>
      </c>
      <c r="BD910">
        <v>1509</v>
      </c>
      <c r="BE910" t="s">
        <v>169</v>
      </c>
      <c r="BF910" t="s">
        <v>163</v>
      </c>
      <c r="BG910" t="s">
        <v>164</v>
      </c>
    </row>
    <row r="911" spans="1:59">
      <c r="A911">
        <v>1115</v>
      </c>
      <c r="B911">
        <v>1115</v>
      </c>
      <c r="C911">
        <v>10</v>
      </c>
      <c r="D911">
        <v>2</v>
      </c>
      <c r="E911" t="s">
        <v>152</v>
      </c>
      <c r="F911" t="s">
        <v>153</v>
      </c>
      <c r="G911" t="s">
        <v>154</v>
      </c>
      <c r="H911">
        <v>1526006393</v>
      </c>
      <c r="I911">
        <v>1000006665</v>
      </c>
      <c r="L911" t="s">
        <v>348</v>
      </c>
      <c r="M911">
        <v>5100001227</v>
      </c>
      <c r="N911" t="s">
        <v>155</v>
      </c>
      <c r="O911" t="s">
        <v>156</v>
      </c>
      <c r="P911">
        <v>4110011319</v>
      </c>
      <c r="Q911" t="s">
        <v>175</v>
      </c>
      <c r="R911">
        <v>5000</v>
      </c>
      <c r="S911" t="s">
        <v>166</v>
      </c>
      <c r="V911" t="s">
        <v>167</v>
      </c>
      <c r="W911">
        <v>1502020074</v>
      </c>
      <c r="X911" t="s">
        <v>28</v>
      </c>
      <c r="Y911" t="str">
        <f>VLOOKUP(W911,Sheet4!$A$5:$B$71,2,0)</f>
        <v>MAX UG NEW</v>
      </c>
      <c r="Z911">
        <v>87082900</v>
      </c>
      <c r="AA911">
        <v>10</v>
      </c>
      <c r="AB911" t="s">
        <v>159</v>
      </c>
      <c r="AC911" s="24">
        <v>9397.5</v>
      </c>
      <c r="AD911" t="s">
        <v>160</v>
      </c>
      <c r="AE911" s="24">
        <v>93975</v>
      </c>
      <c r="AF911">
        <v>0</v>
      </c>
      <c r="AG911" s="24">
        <v>93975</v>
      </c>
      <c r="AH911">
        <v>0</v>
      </c>
      <c r="AI911">
        <v>0</v>
      </c>
      <c r="AJ911">
        <v>0</v>
      </c>
      <c r="AK911">
        <v>0</v>
      </c>
      <c r="AL911" s="24">
        <v>93975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s="24">
        <v>93975</v>
      </c>
      <c r="AV911">
        <v>0</v>
      </c>
      <c r="AW911">
        <v>0</v>
      </c>
      <c r="AX911">
        <v>311000</v>
      </c>
      <c r="AY911" t="s">
        <v>161</v>
      </c>
      <c r="AZ911">
        <v>69.5</v>
      </c>
      <c r="BA911">
        <v>69.5</v>
      </c>
      <c r="BB911">
        <v>0</v>
      </c>
      <c r="BC911" t="s">
        <v>176</v>
      </c>
      <c r="BD911">
        <v>1509</v>
      </c>
      <c r="BE911" t="s">
        <v>169</v>
      </c>
      <c r="BF911" t="s">
        <v>163</v>
      </c>
      <c r="BG911" t="s">
        <v>164</v>
      </c>
    </row>
    <row r="912" spans="1:59">
      <c r="A912">
        <v>1115</v>
      </c>
      <c r="B912">
        <v>1115</v>
      </c>
      <c r="C912">
        <v>10</v>
      </c>
      <c r="D912">
        <v>2</v>
      </c>
      <c r="E912" t="s">
        <v>152</v>
      </c>
      <c r="F912" t="s">
        <v>153</v>
      </c>
      <c r="G912" t="s">
        <v>154</v>
      </c>
      <c r="H912">
        <v>1526006392</v>
      </c>
      <c r="I912">
        <v>1000006664</v>
      </c>
      <c r="L912" t="s">
        <v>348</v>
      </c>
      <c r="M912">
        <v>5100001227</v>
      </c>
      <c r="N912" t="s">
        <v>155</v>
      </c>
      <c r="O912" t="s">
        <v>156</v>
      </c>
      <c r="P912">
        <v>4110011319</v>
      </c>
      <c r="Q912" t="s">
        <v>175</v>
      </c>
      <c r="R912">
        <v>5000</v>
      </c>
      <c r="S912" t="s">
        <v>166</v>
      </c>
      <c r="V912" t="s">
        <v>167</v>
      </c>
      <c r="W912">
        <v>1502020074</v>
      </c>
      <c r="X912" t="s">
        <v>28</v>
      </c>
      <c r="Y912" t="str">
        <f>VLOOKUP(W912,Sheet4!$A$5:$B$71,2,0)</f>
        <v>MAX UG NEW</v>
      </c>
      <c r="Z912">
        <v>87082900</v>
      </c>
      <c r="AA912">
        <v>10</v>
      </c>
      <c r="AB912" t="s">
        <v>159</v>
      </c>
      <c r="AC912" s="24">
        <v>9397.5</v>
      </c>
      <c r="AD912" t="s">
        <v>160</v>
      </c>
      <c r="AE912" s="24">
        <v>93975</v>
      </c>
      <c r="AF912">
        <v>0</v>
      </c>
      <c r="AG912" s="24">
        <v>93975</v>
      </c>
      <c r="AH912">
        <v>0</v>
      </c>
      <c r="AI912">
        <v>0</v>
      </c>
      <c r="AJ912">
        <v>0</v>
      </c>
      <c r="AK912">
        <v>0</v>
      </c>
      <c r="AL912" s="24">
        <v>93975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 s="24">
        <v>93975</v>
      </c>
      <c r="AV912">
        <v>0</v>
      </c>
      <c r="AW912">
        <v>0</v>
      </c>
      <c r="AX912">
        <v>311000</v>
      </c>
      <c r="AY912" t="s">
        <v>161</v>
      </c>
      <c r="AZ912">
        <v>69.5</v>
      </c>
      <c r="BA912">
        <v>69.5</v>
      </c>
      <c r="BB912">
        <v>0</v>
      </c>
      <c r="BC912" t="s">
        <v>176</v>
      </c>
      <c r="BD912">
        <v>1509</v>
      </c>
      <c r="BE912" t="s">
        <v>169</v>
      </c>
      <c r="BF912" t="s">
        <v>163</v>
      </c>
      <c r="BG912" t="s">
        <v>164</v>
      </c>
    </row>
    <row r="913" spans="1:59">
      <c r="A913">
        <v>1115</v>
      </c>
      <c r="B913">
        <v>1115</v>
      </c>
      <c r="C913">
        <v>10</v>
      </c>
      <c r="D913">
        <v>2</v>
      </c>
      <c r="E913" t="s">
        <v>152</v>
      </c>
      <c r="F913" t="s">
        <v>153</v>
      </c>
      <c r="G913" t="s">
        <v>154</v>
      </c>
      <c r="H913">
        <v>1526006391</v>
      </c>
      <c r="I913">
        <v>1000006663</v>
      </c>
      <c r="L913" t="s">
        <v>348</v>
      </c>
      <c r="M913">
        <v>5100001636</v>
      </c>
      <c r="N913" t="s">
        <v>155</v>
      </c>
      <c r="O913" t="s">
        <v>156</v>
      </c>
      <c r="P913">
        <v>4110026445</v>
      </c>
      <c r="Q913" t="s">
        <v>170</v>
      </c>
      <c r="R913">
        <v>5000</v>
      </c>
      <c r="S913" t="s">
        <v>166</v>
      </c>
      <c r="V913" t="s">
        <v>167</v>
      </c>
      <c r="W913">
        <v>1502020104</v>
      </c>
      <c r="X913" t="s">
        <v>26</v>
      </c>
      <c r="Y913" t="str">
        <f>VLOOKUP(W913,Sheet4!$A$5:$B$71,2,0)</f>
        <v>RE STYLING</v>
      </c>
      <c r="Z913">
        <v>87082900</v>
      </c>
      <c r="AA913">
        <v>15</v>
      </c>
      <c r="AB913" t="s">
        <v>159</v>
      </c>
      <c r="AC913" s="24">
        <v>6585.55</v>
      </c>
      <c r="AD913" t="s">
        <v>160</v>
      </c>
      <c r="AE913" s="24">
        <v>98783.25</v>
      </c>
      <c r="AF913">
        <v>0</v>
      </c>
      <c r="AG913" s="24">
        <v>98783.25</v>
      </c>
      <c r="AH913">
        <v>0</v>
      </c>
      <c r="AI913">
        <v>0</v>
      </c>
      <c r="AJ913">
        <v>0</v>
      </c>
      <c r="AK913">
        <v>0</v>
      </c>
      <c r="AL913" s="24">
        <v>98783.25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 s="24">
        <v>98783.25</v>
      </c>
      <c r="AV913">
        <v>0</v>
      </c>
      <c r="AW913">
        <v>0</v>
      </c>
      <c r="AX913">
        <v>311000</v>
      </c>
      <c r="AY913" t="s">
        <v>161</v>
      </c>
      <c r="AZ913">
        <v>49.75</v>
      </c>
      <c r="BA913">
        <v>49.75</v>
      </c>
      <c r="BB913">
        <v>0</v>
      </c>
      <c r="BC913" t="s">
        <v>171</v>
      </c>
      <c r="BD913">
        <v>1509</v>
      </c>
      <c r="BE913" t="s">
        <v>169</v>
      </c>
      <c r="BF913" t="s">
        <v>163</v>
      </c>
      <c r="BG913" t="s">
        <v>164</v>
      </c>
    </row>
    <row r="914" spans="1:59">
      <c r="A914">
        <v>1115</v>
      </c>
      <c r="B914">
        <v>1115</v>
      </c>
      <c r="C914">
        <v>10</v>
      </c>
      <c r="D914">
        <v>2</v>
      </c>
      <c r="E914" t="s">
        <v>152</v>
      </c>
      <c r="F914" t="s">
        <v>153</v>
      </c>
      <c r="G914" t="s">
        <v>154</v>
      </c>
      <c r="H914">
        <v>1526006390</v>
      </c>
      <c r="I914">
        <v>1000006662</v>
      </c>
      <c r="L914" t="s">
        <v>348</v>
      </c>
      <c r="M914">
        <v>5100001636</v>
      </c>
      <c r="N914" t="s">
        <v>155</v>
      </c>
      <c r="O914" t="s">
        <v>156</v>
      </c>
      <c r="P914">
        <v>4110026445</v>
      </c>
      <c r="Q914" t="s">
        <v>170</v>
      </c>
      <c r="R914">
        <v>5000</v>
      </c>
      <c r="S914" t="s">
        <v>166</v>
      </c>
      <c r="V914" t="s">
        <v>167</v>
      </c>
      <c r="W914">
        <v>1502020104</v>
      </c>
      <c r="X914" t="s">
        <v>26</v>
      </c>
      <c r="Y914" t="str">
        <f>VLOOKUP(W914,Sheet4!$A$5:$B$71,2,0)</f>
        <v>RE STYLING</v>
      </c>
      <c r="Z914">
        <v>87082900</v>
      </c>
      <c r="AA914">
        <v>15</v>
      </c>
      <c r="AB914" t="s">
        <v>159</v>
      </c>
      <c r="AC914" s="24">
        <v>6585.55</v>
      </c>
      <c r="AD914" t="s">
        <v>160</v>
      </c>
      <c r="AE914" s="24">
        <v>98783.25</v>
      </c>
      <c r="AF914">
        <v>0</v>
      </c>
      <c r="AG914" s="24">
        <v>98783.25</v>
      </c>
      <c r="AH914">
        <v>0</v>
      </c>
      <c r="AI914">
        <v>0</v>
      </c>
      <c r="AJ914">
        <v>0</v>
      </c>
      <c r="AK914">
        <v>0</v>
      </c>
      <c r="AL914" s="24">
        <v>98783.25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 s="24">
        <v>98783.25</v>
      </c>
      <c r="AV914">
        <v>0</v>
      </c>
      <c r="AW914">
        <v>0</v>
      </c>
      <c r="AX914">
        <v>311000</v>
      </c>
      <c r="AY914" t="s">
        <v>161</v>
      </c>
      <c r="AZ914">
        <v>49.75</v>
      </c>
      <c r="BA914">
        <v>49.75</v>
      </c>
      <c r="BB914">
        <v>0</v>
      </c>
      <c r="BC914" t="s">
        <v>171</v>
      </c>
      <c r="BD914">
        <v>1509</v>
      </c>
      <c r="BE914" t="s">
        <v>169</v>
      </c>
      <c r="BF914" t="s">
        <v>163</v>
      </c>
      <c r="BG914" t="s">
        <v>164</v>
      </c>
    </row>
    <row r="915" spans="1:59">
      <c r="A915">
        <v>1115</v>
      </c>
      <c r="B915">
        <v>1115</v>
      </c>
      <c r="C915">
        <v>10</v>
      </c>
      <c r="D915">
        <v>2</v>
      </c>
      <c r="E915" t="s">
        <v>152</v>
      </c>
      <c r="F915" t="s">
        <v>153</v>
      </c>
      <c r="G915" t="s">
        <v>154</v>
      </c>
      <c r="H915">
        <v>1526006389</v>
      </c>
      <c r="I915">
        <v>1000006661</v>
      </c>
      <c r="L915" t="s">
        <v>348</v>
      </c>
      <c r="M915">
        <v>5100001636</v>
      </c>
      <c r="N915" t="s">
        <v>155</v>
      </c>
      <c r="O915" t="s">
        <v>156</v>
      </c>
      <c r="P915">
        <v>4110026445</v>
      </c>
      <c r="Q915" t="s">
        <v>170</v>
      </c>
      <c r="R915">
        <v>5000</v>
      </c>
      <c r="S915" t="s">
        <v>166</v>
      </c>
      <c r="V915" t="s">
        <v>167</v>
      </c>
      <c r="W915">
        <v>1502020104</v>
      </c>
      <c r="X915" t="s">
        <v>26</v>
      </c>
      <c r="Y915" t="str">
        <f>VLOOKUP(W915,Sheet4!$A$5:$B$71,2,0)</f>
        <v>RE STYLING</v>
      </c>
      <c r="Z915">
        <v>87082900</v>
      </c>
      <c r="AA915">
        <v>15</v>
      </c>
      <c r="AB915" t="s">
        <v>159</v>
      </c>
      <c r="AC915" s="24">
        <v>6585.55</v>
      </c>
      <c r="AD915" t="s">
        <v>160</v>
      </c>
      <c r="AE915" s="24">
        <v>98783.25</v>
      </c>
      <c r="AF915">
        <v>0</v>
      </c>
      <c r="AG915" s="24">
        <v>98783.25</v>
      </c>
      <c r="AH915">
        <v>0</v>
      </c>
      <c r="AI915">
        <v>0</v>
      </c>
      <c r="AJ915">
        <v>0</v>
      </c>
      <c r="AK915">
        <v>0</v>
      </c>
      <c r="AL915" s="24">
        <v>98783.25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 s="24">
        <v>98783.25</v>
      </c>
      <c r="AV915">
        <v>0</v>
      </c>
      <c r="AW915">
        <v>0</v>
      </c>
      <c r="AX915">
        <v>311000</v>
      </c>
      <c r="AY915" t="s">
        <v>161</v>
      </c>
      <c r="AZ915">
        <v>49.75</v>
      </c>
      <c r="BA915">
        <v>49.75</v>
      </c>
      <c r="BB915">
        <v>0</v>
      </c>
      <c r="BC915" t="s">
        <v>171</v>
      </c>
      <c r="BD915">
        <v>1509</v>
      </c>
      <c r="BE915" t="s">
        <v>169</v>
      </c>
      <c r="BF915" t="s">
        <v>163</v>
      </c>
      <c r="BG915" t="s">
        <v>164</v>
      </c>
    </row>
    <row r="916" spans="1:59">
      <c r="A916">
        <v>1115</v>
      </c>
      <c r="B916">
        <v>1115</v>
      </c>
      <c r="C916">
        <v>10</v>
      </c>
      <c r="D916">
        <v>2</v>
      </c>
      <c r="E916" t="s">
        <v>152</v>
      </c>
      <c r="F916" t="s">
        <v>153</v>
      </c>
      <c r="G916" t="s">
        <v>154</v>
      </c>
      <c r="H916">
        <v>1526006388</v>
      </c>
      <c r="I916">
        <v>1000006660</v>
      </c>
      <c r="L916" t="s">
        <v>348</v>
      </c>
      <c r="M916">
        <v>5100001636</v>
      </c>
      <c r="N916" t="s">
        <v>155</v>
      </c>
      <c r="O916" t="s">
        <v>156</v>
      </c>
      <c r="P916">
        <v>4110026445</v>
      </c>
      <c r="Q916" t="s">
        <v>170</v>
      </c>
      <c r="R916">
        <v>5000</v>
      </c>
      <c r="S916" t="s">
        <v>166</v>
      </c>
      <c r="V916" t="s">
        <v>167</v>
      </c>
      <c r="W916">
        <v>1502020104</v>
      </c>
      <c r="X916" t="s">
        <v>26</v>
      </c>
      <c r="Y916" t="str">
        <f>VLOOKUP(W916,Sheet4!$A$5:$B$71,2,0)</f>
        <v>RE STYLING</v>
      </c>
      <c r="Z916">
        <v>87082900</v>
      </c>
      <c r="AA916">
        <v>15</v>
      </c>
      <c r="AB916" t="s">
        <v>159</v>
      </c>
      <c r="AC916" s="24">
        <v>6585.55</v>
      </c>
      <c r="AD916" t="s">
        <v>160</v>
      </c>
      <c r="AE916" s="24">
        <v>98783.25</v>
      </c>
      <c r="AF916">
        <v>0</v>
      </c>
      <c r="AG916" s="24">
        <v>98783.25</v>
      </c>
      <c r="AH916">
        <v>0</v>
      </c>
      <c r="AI916">
        <v>0</v>
      </c>
      <c r="AJ916">
        <v>0</v>
      </c>
      <c r="AK916">
        <v>0</v>
      </c>
      <c r="AL916" s="24">
        <v>98783.25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 s="24">
        <v>98783.25</v>
      </c>
      <c r="AV916">
        <v>0</v>
      </c>
      <c r="AW916">
        <v>0</v>
      </c>
      <c r="AX916">
        <v>311000</v>
      </c>
      <c r="AY916" t="s">
        <v>161</v>
      </c>
      <c r="AZ916">
        <v>49.75</v>
      </c>
      <c r="BA916">
        <v>49.75</v>
      </c>
      <c r="BB916">
        <v>0</v>
      </c>
      <c r="BC916" t="s">
        <v>171</v>
      </c>
      <c r="BD916">
        <v>1509</v>
      </c>
      <c r="BE916" t="s">
        <v>169</v>
      </c>
      <c r="BF916" t="s">
        <v>163</v>
      </c>
      <c r="BG916" t="s">
        <v>164</v>
      </c>
    </row>
    <row r="917" spans="1:59">
      <c r="A917">
        <v>1115</v>
      </c>
      <c r="B917">
        <v>1115</v>
      </c>
      <c r="C917">
        <v>10</v>
      </c>
      <c r="D917">
        <v>2</v>
      </c>
      <c r="E917" t="s">
        <v>152</v>
      </c>
      <c r="F917" t="s">
        <v>153</v>
      </c>
      <c r="G917" t="s">
        <v>154</v>
      </c>
      <c r="H917">
        <v>1526006387</v>
      </c>
      <c r="I917">
        <v>1000006659</v>
      </c>
      <c r="L917" t="s">
        <v>348</v>
      </c>
      <c r="M917">
        <v>5100001636</v>
      </c>
      <c r="N917" t="s">
        <v>155</v>
      </c>
      <c r="O917" t="s">
        <v>156</v>
      </c>
      <c r="P917">
        <v>4110026445</v>
      </c>
      <c r="Q917" t="s">
        <v>170</v>
      </c>
      <c r="R917">
        <v>5000</v>
      </c>
      <c r="S917" t="s">
        <v>166</v>
      </c>
      <c r="V917" t="s">
        <v>167</v>
      </c>
      <c r="W917">
        <v>1502020104</v>
      </c>
      <c r="X917" t="s">
        <v>26</v>
      </c>
      <c r="Y917" t="str">
        <f>VLOOKUP(W917,Sheet4!$A$5:$B$71,2,0)</f>
        <v>RE STYLING</v>
      </c>
      <c r="Z917">
        <v>87082900</v>
      </c>
      <c r="AA917">
        <v>15</v>
      </c>
      <c r="AB917" t="s">
        <v>159</v>
      </c>
      <c r="AC917" s="24">
        <v>6585.55</v>
      </c>
      <c r="AD917" t="s">
        <v>160</v>
      </c>
      <c r="AE917" s="24">
        <v>98783.25</v>
      </c>
      <c r="AF917">
        <v>0</v>
      </c>
      <c r="AG917" s="24">
        <v>98783.25</v>
      </c>
      <c r="AH917">
        <v>0</v>
      </c>
      <c r="AI917">
        <v>0</v>
      </c>
      <c r="AJ917">
        <v>0</v>
      </c>
      <c r="AK917">
        <v>0</v>
      </c>
      <c r="AL917" s="24">
        <v>98783.25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 s="24">
        <v>98783.25</v>
      </c>
      <c r="AV917">
        <v>0</v>
      </c>
      <c r="AW917">
        <v>0</v>
      </c>
      <c r="AX917">
        <v>311000</v>
      </c>
      <c r="AY917" t="s">
        <v>161</v>
      </c>
      <c r="AZ917">
        <v>49.75</v>
      </c>
      <c r="BA917">
        <v>49.75</v>
      </c>
      <c r="BB917">
        <v>0</v>
      </c>
      <c r="BC917" t="s">
        <v>171</v>
      </c>
      <c r="BD917">
        <v>1509</v>
      </c>
      <c r="BE917" t="s">
        <v>169</v>
      </c>
      <c r="BF917" t="s">
        <v>163</v>
      </c>
      <c r="BG917" t="s">
        <v>164</v>
      </c>
    </row>
    <row r="918" spans="1:59">
      <c r="A918">
        <v>1115</v>
      </c>
      <c r="B918">
        <v>1115</v>
      </c>
      <c r="C918">
        <v>10</v>
      </c>
      <c r="D918">
        <v>2</v>
      </c>
      <c r="E918" t="s">
        <v>152</v>
      </c>
      <c r="F918" t="s">
        <v>153</v>
      </c>
      <c r="G918" t="s">
        <v>154</v>
      </c>
      <c r="H918">
        <v>1526006386</v>
      </c>
      <c r="I918">
        <v>1000006658</v>
      </c>
      <c r="L918" t="s">
        <v>348</v>
      </c>
      <c r="M918">
        <v>5100001636</v>
      </c>
      <c r="N918" t="s">
        <v>155</v>
      </c>
      <c r="O918" t="s">
        <v>156</v>
      </c>
      <c r="P918">
        <v>4110026445</v>
      </c>
      <c r="Q918" t="s">
        <v>170</v>
      </c>
      <c r="R918">
        <v>5000</v>
      </c>
      <c r="S918" t="s">
        <v>166</v>
      </c>
      <c r="V918" t="s">
        <v>167</v>
      </c>
      <c r="W918">
        <v>1502020104</v>
      </c>
      <c r="X918" t="s">
        <v>26</v>
      </c>
      <c r="Y918" t="str">
        <f>VLOOKUP(W918,Sheet4!$A$5:$B$71,2,0)</f>
        <v>RE STYLING</v>
      </c>
      <c r="Z918">
        <v>87082900</v>
      </c>
      <c r="AA918">
        <v>15</v>
      </c>
      <c r="AB918" t="s">
        <v>159</v>
      </c>
      <c r="AC918" s="24">
        <v>6585.55</v>
      </c>
      <c r="AD918" t="s">
        <v>160</v>
      </c>
      <c r="AE918" s="24">
        <v>98783.25</v>
      </c>
      <c r="AF918">
        <v>0</v>
      </c>
      <c r="AG918" s="24">
        <v>98783.25</v>
      </c>
      <c r="AH918">
        <v>0</v>
      </c>
      <c r="AI918">
        <v>0</v>
      </c>
      <c r="AJ918">
        <v>0</v>
      </c>
      <c r="AK918">
        <v>0</v>
      </c>
      <c r="AL918" s="24">
        <v>98783.25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 s="24">
        <v>98783.25</v>
      </c>
      <c r="AV918">
        <v>0</v>
      </c>
      <c r="AW918">
        <v>0</v>
      </c>
      <c r="AX918">
        <v>311000</v>
      </c>
      <c r="AY918" t="s">
        <v>161</v>
      </c>
      <c r="AZ918">
        <v>49.75</v>
      </c>
      <c r="BA918">
        <v>49.75</v>
      </c>
      <c r="BB918">
        <v>0</v>
      </c>
      <c r="BC918" t="s">
        <v>171</v>
      </c>
      <c r="BD918">
        <v>1509</v>
      </c>
      <c r="BE918" t="s">
        <v>169</v>
      </c>
      <c r="BF918" t="s">
        <v>163</v>
      </c>
      <c r="BG918" t="s">
        <v>164</v>
      </c>
    </row>
    <row r="919" spans="1:59">
      <c r="A919">
        <v>1115</v>
      </c>
      <c r="B919">
        <v>1115</v>
      </c>
      <c r="C919">
        <v>10</v>
      </c>
      <c r="D919">
        <v>2</v>
      </c>
      <c r="E919" t="s">
        <v>152</v>
      </c>
      <c r="F919" t="s">
        <v>153</v>
      </c>
      <c r="G919" t="s">
        <v>154</v>
      </c>
      <c r="H919">
        <v>1526006385</v>
      </c>
      <c r="I919">
        <v>1000006657</v>
      </c>
      <c r="L919" t="s">
        <v>348</v>
      </c>
      <c r="M919">
        <v>5100001636</v>
      </c>
      <c r="N919" t="s">
        <v>155</v>
      </c>
      <c r="O919" t="s">
        <v>156</v>
      </c>
      <c r="P919">
        <v>4110026445</v>
      </c>
      <c r="Q919" t="s">
        <v>170</v>
      </c>
      <c r="R919">
        <v>5000</v>
      </c>
      <c r="S919" t="s">
        <v>166</v>
      </c>
      <c r="V919" t="s">
        <v>167</v>
      </c>
      <c r="W919">
        <v>1502020104</v>
      </c>
      <c r="X919" t="s">
        <v>26</v>
      </c>
      <c r="Y919" t="str">
        <f>VLOOKUP(W919,Sheet4!$A$5:$B$71,2,0)</f>
        <v>RE STYLING</v>
      </c>
      <c r="Z919">
        <v>87082900</v>
      </c>
      <c r="AA919">
        <v>15</v>
      </c>
      <c r="AB919" t="s">
        <v>159</v>
      </c>
      <c r="AC919" s="24">
        <v>6585.55</v>
      </c>
      <c r="AD919" t="s">
        <v>160</v>
      </c>
      <c r="AE919" s="24">
        <v>98783.25</v>
      </c>
      <c r="AF919">
        <v>0</v>
      </c>
      <c r="AG919" s="24">
        <v>98783.25</v>
      </c>
      <c r="AH919">
        <v>0</v>
      </c>
      <c r="AI919">
        <v>0</v>
      </c>
      <c r="AJ919">
        <v>0</v>
      </c>
      <c r="AK919">
        <v>0</v>
      </c>
      <c r="AL919" s="24">
        <v>98783.25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 s="24">
        <v>98783.25</v>
      </c>
      <c r="AV919">
        <v>0</v>
      </c>
      <c r="AW919">
        <v>0</v>
      </c>
      <c r="AX919">
        <v>311000</v>
      </c>
      <c r="AY919" t="s">
        <v>161</v>
      </c>
      <c r="AZ919">
        <v>49.75</v>
      </c>
      <c r="BA919">
        <v>49.75</v>
      </c>
      <c r="BB919">
        <v>0</v>
      </c>
      <c r="BC919" t="s">
        <v>171</v>
      </c>
      <c r="BD919">
        <v>1509</v>
      </c>
      <c r="BE919" t="s">
        <v>169</v>
      </c>
      <c r="BF919" t="s">
        <v>163</v>
      </c>
      <c r="BG919" t="s">
        <v>164</v>
      </c>
    </row>
    <row r="920" spans="1:59">
      <c r="A920">
        <v>1115</v>
      </c>
      <c r="B920">
        <v>1115</v>
      </c>
      <c r="C920">
        <v>10</v>
      </c>
      <c r="D920">
        <v>2</v>
      </c>
      <c r="E920" t="s">
        <v>152</v>
      </c>
      <c r="F920" t="s">
        <v>153</v>
      </c>
      <c r="G920" t="s">
        <v>154</v>
      </c>
      <c r="H920">
        <v>1526006384</v>
      </c>
      <c r="I920">
        <v>1000006656</v>
      </c>
      <c r="L920" t="s">
        <v>348</v>
      </c>
      <c r="M920">
        <v>5100001636</v>
      </c>
      <c r="N920" t="s">
        <v>155</v>
      </c>
      <c r="O920" t="s">
        <v>156</v>
      </c>
      <c r="P920">
        <v>4110026445</v>
      </c>
      <c r="Q920" t="s">
        <v>170</v>
      </c>
      <c r="R920">
        <v>5000</v>
      </c>
      <c r="S920" t="s">
        <v>166</v>
      </c>
      <c r="V920" t="s">
        <v>167</v>
      </c>
      <c r="W920">
        <v>1502020104</v>
      </c>
      <c r="X920" t="s">
        <v>26</v>
      </c>
      <c r="Y920" t="str">
        <f>VLOOKUP(W920,Sheet4!$A$5:$B$71,2,0)</f>
        <v>RE STYLING</v>
      </c>
      <c r="Z920">
        <v>87082900</v>
      </c>
      <c r="AA920">
        <v>15</v>
      </c>
      <c r="AB920" t="s">
        <v>159</v>
      </c>
      <c r="AC920" s="24">
        <v>6585.55</v>
      </c>
      <c r="AD920" t="s">
        <v>160</v>
      </c>
      <c r="AE920" s="24">
        <v>98783.25</v>
      </c>
      <c r="AF920">
        <v>0</v>
      </c>
      <c r="AG920" s="24">
        <v>98783.25</v>
      </c>
      <c r="AH920">
        <v>0</v>
      </c>
      <c r="AI920">
        <v>0</v>
      </c>
      <c r="AJ920">
        <v>0</v>
      </c>
      <c r="AK920">
        <v>0</v>
      </c>
      <c r="AL920" s="24">
        <v>98783.25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 s="24">
        <v>98783.25</v>
      </c>
      <c r="AV920">
        <v>0</v>
      </c>
      <c r="AW920">
        <v>0</v>
      </c>
      <c r="AX920">
        <v>311000</v>
      </c>
      <c r="AY920" t="s">
        <v>161</v>
      </c>
      <c r="AZ920">
        <v>49.75</v>
      </c>
      <c r="BA920">
        <v>49.75</v>
      </c>
      <c r="BB920">
        <v>0</v>
      </c>
      <c r="BC920" t="s">
        <v>171</v>
      </c>
      <c r="BD920">
        <v>1509</v>
      </c>
      <c r="BE920" t="s">
        <v>169</v>
      </c>
      <c r="BF920" t="s">
        <v>163</v>
      </c>
      <c r="BG920" t="s">
        <v>164</v>
      </c>
    </row>
    <row r="921" spans="1:59">
      <c r="A921">
        <v>1115</v>
      </c>
      <c r="B921">
        <v>1115</v>
      </c>
      <c r="C921">
        <v>10</v>
      </c>
      <c r="D921">
        <v>2</v>
      </c>
      <c r="E921" t="s">
        <v>152</v>
      </c>
      <c r="F921" t="s">
        <v>153</v>
      </c>
      <c r="G921" t="s">
        <v>154</v>
      </c>
      <c r="H921">
        <v>1526006383</v>
      </c>
      <c r="I921">
        <v>1000006655</v>
      </c>
      <c r="L921" t="s">
        <v>348</v>
      </c>
      <c r="M921">
        <v>5100001227</v>
      </c>
      <c r="N921" t="s">
        <v>155</v>
      </c>
      <c r="O921" t="s">
        <v>156</v>
      </c>
      <c r="P921">
        <v>4110011319</v>
      </c>
      <c r="Q921" t="s">
        <v>175</v>
      </c>
      <c r="R921">
        <v>5000</v>
      </c>
      <c r="S921" t="s">
        <v>166</v>
      </c>
      <c r="V921" t="s">
        <v>167</v>
      </c>
      <c r="W921">
        <v>1502020074</v>
      </c>
      <c r="X921" t="s">
        <v>28</v>
      </c>
      <c r="Y921" t="str">
        <f>VLOOKUP(W921,Sheet4!$A$5:$B$71,2,0)</f>
        <v>MAX UG NEW</v>
      </c>
      <c r="Z921">
        <v>87082900</v>
      </c>
      <c r="AA921">
        <v>10</v>
      </c>
      <c r="AB921" t="s">
        <v>159</v>
      </c>
      <c r="AC921" s="24">
        <v>9397.5</v>
      </c>
      <c r="AD921" t="s">
        <v>160</v>
      </c>
      <c r="AE921" s="24">
        <v>93975</v>
      </c>
      <c r="AF921">
        <v>0</v>
      </c>
      <c r="AG921" s="24">
        <v>93975</v>
      </c>
      <c r="AH921">
        <v>0</v>
      </c>
      <c r="AI921">
        <v>0</v>
      </c>
      <c r="AJ921">
        <v>0</v>
      </c>
      <c r="AK921">
        <v>0</v>
      </c>
      <c r="AL921" s="24">
        <v>93975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 s="24">
        <v>93975</v>
      </c>
      <c r="AV921">
        <v>0</v>
      </c>
      <c r="AW921">
        <v>0</v>
      </c>
      <c r="AX921">
        <v>311000</v>
      </c>
      <c r="AY921" t="s">
        <v>161</v>
      </c>
      <c r="AZ921">
        <v>69.5</v>
      </c>
      <c r="BA921">
        <v>69.5</v>
      </c>
      <c r="BB921">
        <v>0</v>
      </c>
      <c r="BC921" t="s">
        <v>176</v>
      </c>
      <c r="BD921">
        <v>1509</v>
      </c>
      <c r="BE921" t="s">
        <v>169</v>
      </c>
      <c r="BF921" t="s">
        <v>163</v>
      </c>
      <c r="BG921" t="s">
        <v>164</v>
      </c>
    </row>
    <row r="922" spans="1:59">
      <c r="A922">
        <v>1115</v>
      </c>
      <c r="B922">
        <v>1115</v>
      </c>
      <c r="C922">
        <v>10</v>
      </c>
      <c r="D922">
        <v>2</v>
      </c>
      <c r="E922" t="s">
        <v>152</v>
      </c>
      <c r="F922" t="s">
        <v>153</v>
      </c>
      <c r="G922" t="s">
        <v>154</v>
      </c>
      <c r="H922">
        <v>1526006382</v>
      </c>
      <c r="I922">
        <v>1000006654</v>
      </c>
      <c r="L922" t="s">
        <v>348</v>
      </c>
      <c r="M922">
        <v>5100001227</v>
      </c>
      <c r="N922" t="s">
        <v>155</v>
      </c>
      <c r="O922" t="s">
        <v>156</v>
      </c>
      <c r="P922">
        <v>4110011319</v>
      </c>
      <c r="Q922" t="s">
        <v>175</v>
      </c>
      <c r="R922">
        <v>5000</v>
      </c>
      <c r="S922" t="s">
        <v>166</v>
      </c>
      <c r="V922" t="s">
        <v>167</v>
      </c>
      <c r="W922">
        <v>1502020074</v>
      </c>
      <c r="X922" t="s">
        <v>28</v>
      </c>
      <c r="Y922" t="str">
        <f>VLOOKUP(W922,Sheet4!$A$5:$B$71,2,0)</f>
        <v>MAX UG NEW</v>
      </c>
      <c r="Z922">
        <v>87082900</v>
      </c>
      <c r="AA922">
        <v>10</v>
      </c>
      <c r="AB922" t="s">
        <v>159</v>
      </c>
      <c r="AC922" s="24">
        <v>9397.5</v>
      </c>
      <c r="AD922" t="s">
        <v>160</v>
      </c>
      <c r="AE922" s="24">
        <v>93975</v>
      </c>
      <c r="AF922">
        <v>0</v>
      </c>
      <c r="AG922" s="24">
        <v>93975</v>
      </c>
      <c r="AH922">
        <v>0</v>
      </c>
      <c r="AI922">
        <v>0</v>
      </c>
      <c r="AJ922">
        <v>0</v>
      </c>
      <c r="AK922">
        <v>0</v>
      </c>
      <c r="AL922" s="24">
        <v>93975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 s="24">
        <v>93975</v>
      </c>
      <c r="AV922">
        <v>0</v>
      </c>
      <c r="AW922">
        <v>0</v>
      </c>
      <c r="AX922">
        <v>311000</v>
      </c>
      <c r="AY922" t="s">
        <v>161</v>
      </c>
      <c r="AZ922">
        <v>69.5</v>
      </c>
      <c r="BA922">
        <v>69.5</v>
      </c>
      <c r="BB922">
        <v>0</v>
      </c>
      <c r="BC922" t="s">
        <v>176</v>
      </c>
      <c r="BD922">
        <v>1509</v>
      </c>
      <c r="BE922" t="s">
        <v>169</v>
      </c>
      <c r="BF922" t="s">
        <v>163</v>
      </c>
      <c r="BG922" t="s">
        <v>164</v>
      </c>
    </row>
    <row r="923" spans="1:59">
      <c r="A923">
        <v>1115</v>
      </c>
      <c r="B923">
        <v>1115</v>
      </c>
      <c r="C923">
        <v>10</v>
      </c>
      <c r="D923">
        <v>2</v>
      </c>
      <c r="E923" t="s">
        <v>152</v>
      </c>
      <c r="F923" t="s">
        <v>153</v>
      </c>
      <c r="G923" t="s">
        <v>154</v>
      </c>
      <c r="H923">
        <v>1526006381</v>
      </c>
      <c r="I923">
        <v>1000006653</v>
      </c>
      <c r="L923" t="s">
        <v>348</v>
      </c>
      <c r="M923">
        <v>5100001928</v>
      </c>
      <c r="N923" t="s">
        <v>155</v>
      </c>
      <c r="O923" t="s">
        <v>156</v>
      </c>
      <c r="P923">
        <v>4110057393</v>
      </c>
      <c r="Q923" t="s">
        <v>192</v>
      </c>
      <c r="R923">
        <v>5000</v>
      </c>
      <c r="S923" t="s">
        <v>166</v>
      </c>
      <c r="V923" t="s">
        <v>167</v>
      </c>
      <c r="W923">
        <v>1502020122</v>
      </c>
      <c r="X923" t="s">
        <v>70</v>
      </c>
      <c r="Y923" t="str">
        <f>VLOOKUP(W923,Sheet4!$A$5:$B$71,2,0)</f>
        <v>MAX UG NEW EV</v>
      </c>
      <c r="Z923">
        <v>87082900</v>
      </c>
      <c r="AA923">
        <v>10</v>
      </c>
      <c r="AB923" t="s">
        <v>159</v>
      </c>
      <c r="AC923" s="24">
        <v>9566.51</v>
      </c>
      <c r="AD923" t="s">
        <v>160</v>
      </c>
      <c r="AE923" s="24">
        <v>95665.1</v>
      </c>
      <c r="AF923">
        <v>0</v>
      </c>
      <c r="AG923" s="24">
        <v>95665.1</v>
      </c>
      <c r="AH923">
        <v>0</v>
      </c>
      <c r="AI923">
        <v>0</v>
      </c>
      <c r="AJ923">
        <v>0</v>
      </c>
      <c r="AK923">
        <v>0</v>
      </c>
      <c r="AL923" s="24">
        <v>95665.1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 s="24">
        <v>95665.1</v>
      </c>
      <c r="AV923">
        <v>0</v>
      </c>
      <c r="AW923">
        <v>0</v>
      </c>
      <c r="AX923">
        <v>311000</v>
      </c>
      <c r="AY923" t="s">
        <v>161</v>
      </c>
      <c r="AZ923">
        <v>0</v>
      </c>
      <c r="BA923">
        <v>61</v>
      </c>
      <c r="BB923">
        <v>-61</v>
      </c>
      <c r="BC923" t="s">
        <v>193</v>
      </c>
      <c r="BD923">
        <v>1509</v>
      </c>
      <c r="BE923" t="s">
        <v>169</v>
      </c>
      <c r="BF923" t="s">
        <v>163</v>
      </c>
      <c r="BG923" t="s">
        <v>164</v>
      </c>
    </row>
    <row r="924" spans="1:59">
      <c r="A924">
        <v>1115</v>
      </c>
      <c r="B924">
        <v>1115</v>
      </c>
      <c r="C924">
        <v>10</v>
      </c>
      <c r="D924">
        <v>2</v>
      </c>
      <c r="E924" t="s">
        <v>152</v>
      </c>
      <c r="F924" t="s">
        <v>153</v>
      </c>
      <c r="G924" t="s">
        <v>154</v>
      </c>
      <c r="H924">
        <v>1526006380</v>
      </c>
      <c r="I924">
        <v>1000006652</v>
      </c>
      <c r="L924" t="s">
        <v>348</v>
      </c>
      <c r="M924">
        <v>5100001899</v>
      </c>
      <c r="N924" t="s">
        <v>155</v>
      </c>
      <c r="O924" t="s">
        <v>156</v>
      </c>
      <c r="P924">
        <v>4110041854</v>
      </c>
      <c r="Q924" t="s">
        <v>172</v>
      </c>
      <c r="R924">
        <v>5000</v>
      </c>
      <c r="S924" t="s">
        <v>166</v>
      </c>
      <c r="V924" t="s">
        <v>167</v>
      </c>
      <c r="W924">
        <v>1502040267</v>
      </c>
      <c r="X924" t="s">
        <v>63</v>
      </c>
      <c r="Y924" t="str">
        <f>VLOOKUP(W924,Sheet4!$A$5:$B$71,2,0)</f>
        <v>DASH BOARD</v>
      </c>
      <c r="Z924">
        <v>87082900</v>
      </c>
      <c r="AA924">
        <v>416</v>
      </c>
      <c r="AB924" t="s">
        <v>159</v>
      </c>
      <c r="AC924">
        <v>290.89999999999998</v>
      </c>
      <c r="AD924" t="s">
        <v>160</v>
      </c>
      <c r="AE924" s="24">
        <v>121014.39999999999</v>
      </c>
      <c r="AF924">
        <v>0</v>
      </c>
      <c r="AG924" s="24">
        <v>121014.39999999999</v>
      </c>
      <c r="AH924">
        <v>0</v>
      </c>
      <c r="AI924">
        <v>0</v>
      </c>
      <c r="AJ924">
        <v>0</v>
      </c>
      <c r="AK924">
        <v>0</v>
      </c>
      <c r="AL924" s="24">
        <v>121014.39999999999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 s="24">
        <v>121014.39999999999</v>
      </c>
      <c r="AV924">
        <v>0</v>
      </c>
      <c r="AW924">
        <v>0</v>
      </c>
      <c r="AX924">
        <v>311000</v>
      </c>
      <c r="AY924" t="s">
        <v>161</v>
      </c>
      <c r="AZ924">
        <v>4.5</v>
      </c>
      <c r="BA924">
        <v>4.5</v>
      </c>
      <c r="BB924">
        <v>0</v>
      </c>
      <c r="BC924" t="s">
        <v>173</v>
      </c>
      <c r="BD924">
        <v>1511</v>
      </c>
      <c r="BE924" t="s">
        <v>174</v>
      </c>
      <c r="BF924" t="s">
        <v>163</v>
      </c>
      <c r="BG924" t="s">
        <v>164</v>
      </c>
    </row>
    <row r="925" spans="1:59">
      <c r="A925">
        <v>1115</v>
      </c>
      <c r="B925">
        <v>1115</v>
      </c>
      <c r="C925">
        <v>10</v>
      </c>
      <c r="D925">
        <v>2</v>
      </c>
      <c r="E925" t="s">
        <v>152</v>
      </c>
      <c r="F925" t="s">
        <v>153</v>
      </c>
      <c r="G925" t="s">
        <v>154</v>
      </c>
      <c r="H925">
        <v>1526006379</v>
      </c>
      <c r="I925">
        <v>1000006651</v>
      </c>
      <c r="L925" t="s">
        <v>348</v>
      </c>
      <c r="M925">
        <v>5100001899</v>
      </c>
      <c r="N925" t="s">
        <v>155</v>
      </c>
      <c r="O925" t="s">
        <v>156</v>
      </c>
      <c r="P925">
        <v>4110041854</v>
      </c>
      <c r="Q925" t="s">
        <v>172</v>
      </c>
      <c r="R925">
        <v>5000</v>
      </c>
      <c r="S925" t="s">
        <v>166</v>
      </c>
      <c r="V925" t="s">
        <v>167</v>
      </c>
      <c r="W925">
        <v>1502040267</v>
      </c>
      <c r="X925" t="s">
        <v>63</v>
      </c>
      <c r="Y925" t="str">
        <f>VLOOKUP(W925,Sheet4!$A$5:$B$71,2,0)</f>
        <v>DASH BOARD</v>
      </c>
      <c r="Z925">
        <v>87082900</v>
      </c>
      <c r="AA925">
        <v>416</v>
      </c>
      <c r="AB925" t="s">
        <v>159</v>
      </c>
      <c r="AC925">
        <v>290.89999999999998</v>
      </c>
      <c r="AD925" t="s">
        <v>160</v>
      </c>
      <c r="AE925" s="24">
        <v>121014.39999999999</v>
      </c>
      <c r="AF925">
        <v>0</v>
      </c>
      <c r="AG925" s="24">
        <v>121014.39999999999</v>
      </c>
      <c r="AH925">
        <v>0</v>
      </c>
      <c r="AI925">
        <v>0</v>
      </c>
      <c r="AJ925">
        <v>0</v>
      </c>
      <c r="AK925">
        <v>0</v>
      </c>
      <c r="AL925" s="24">
        <v>121014.39999999999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 s="24">
        <v>121014.39999999999</v>
      </c>
      <c r="AV925">
        <v>0</v>
      </c>
      <c r="AW925">
        <v>0</v>
      </c>
      <c r="AX925">
        <v>311000</v>
      </c>
      <c r="AY925" t="s">
        <v>161</v>
      </c>
      <c r="AZ925">
        <v>4.5</v>
      </c>
      <c r="BA925">
        <v>4.5</v>
      </c>
      <c r="BB925">
        <v>0</v>
      </c>
      <c r="BC925" t="s">
        <v>173</v>
      </c>
      <c r="BD925">
        <v>1511</v>
      </c>
      <c r="BE925" t="s">
        <v>174</v>
      </c>
      <c r="BF925" t="s">
        <v>163</v>
      </c>
      <c r="BG925" t="s">
        <v>164</v>
      </c>
    </row>
    <row r="926" spans="1:59">
      <c r="A926">
        <v>1115</v>
      </c>
      <c r="B926">
        <v>1115</v>
      </c>
      <c r="C926">
        <v>10</v>
      </c>
      <c r="D926">
        <v>2</v>
      </c>
      <c r="E926" t="s">
        <v>152</v>
      </c>
      <c r="F926" t="s">
        <v>153</v>
      </c>
      <c r="G926" t="s">
        <v>154</v>
      </c>
      <c r="H926">
        <v>1526006470</v>
      </c>
      <c r="I926">
        <v>1000006748</v>
      </c>
      <c r="L926" t="s">
        <v>348</v>
      </c>
      <c r="M926">
        <v>5100001666</v>
      </c>
      <c r="N926" t="s">
        <v>155</v>
      </c>
      <c r="O926" t="s">
        <v>156</v>
      </c>
      <c r="P926">
        <v>4110027035</v>
      </c>
      <c r="Q926" t="s">
        <v>225</v>
      </c>
      <c r="R926">
        <v>5000</v>
      </c>
      <c r="S926" t="s">
        <v>166</v>
      </c>
      <c r="V926" t="s">
        <v>167</v>
      </c>
      <c r="W926">
        <v>1502020105</v>
      </c>
      <c r="X926" t="s">
        <v>226</v>
      </c>
      <c r="Y926" t="str">
        <f>VLOOKUP(W926,Sheet4!$A$5:$B$71,2,0)</f>
        <v>RE STYLING</v>
      </c>
      <c r="Z926">
        <v>87082900</v>
      </c>
      <c r="AA926">
        <v>15</v>
      </c>
      <c r="AB926" t="s">
        <v>159</v>
      </c>
      <c r="AC926" s="24">
        <v>6570.77</v>
      </c>
      <c r="AD926" t="s">
        <v>160</v>
      </c>
      <c r="AE926" s="24">
        <v>98561.55</v>
      </c>
      <c r="AF926">
        <v>0</v>
      </c>
      <c r="AG926" s="24">
        <v>98561.55</v>
      </c>
      <c r="AH926">
        <v>0</v>
      </c>
      <c r="AI926">
        <v>0</v>
      </c>
      <c r="AJ926">
        <v>0</v>
      </c>
      <c r="AK926">
        <v>0</v>
      </c>
      <c r="AL926" s="24">
        <v>98561.55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 s="24">
        <v>98561.55</v>
      </c>
      <c r="AV926">
        <v>0</v>
      </c>
      <c r="AW926">
        <v>0</v>
      </c>
      <c r="AX926">
        <v>311000</v>
      </c>
      <c r="AY926" t="s">
        <v>161</v>
      </c>
      <c r="AZ926">
        <v>49.75</v>
      </c>
      <c r="BA926">
        <v>49.75</v>
      </c>
      <c r="BB926">
        <v>0</v>
      </c>
      <c r="BC926" t="s">
        <v>227</v>
      </c>
      <c r="BD926">
        <v>1509</v>
      </c>
      <c r="BE926" t="s">
        <v>169</v>
      </c>
      <c r="BF926" t="s">
        <v>163</v>
      </c>
      <c r="BG926" t="s">
        <v>164</v>
      </c>
    </row>
    <row r="927" spans="1:59">
      <c r="A927">
        <v>1115</v>
      </c>
      <c r="B927">
        <v>1115</v>
      </c>
      <c r="C927">
        <v>10</v>
      </c>
      <c r="D927">
        <v>2</v>
      </c>
      <c r="E927" t="s">
        <v>152</v>
      </c>
      <c r="F927" t="s">
        <v>153</v>
      </c>
      <c r="G927" t="s">
        <v>154</v>
      </c>
      <c r="H927">
        <v>1526006469</v>
      </c>
      <c r="I927">
        <v>1000006747</v>
      </c>
      <c r="L927" t="s">
        <v>348</v>
      </c>
      <c r="M927">
        <v>5100001928</v>
      </c>
      <c r="N927" t="s">
        <v>155</v>
      </c>
      <c r="O927" t="s">
        <v>156</v>
      </c>
      <c r="P927">
        <v>4110057393</v>
      </c>
      <c r="Q927" t="s">
        <v>192</v>
      </c>
      <c r="R927">
        <v>5000</v>
      </c>
      <c r="S927" t="s">
        <v>166</v>
      </c>
      <c r="V927" t="s">
        <v>167</v>
      </c>
      <c r="W927">
        <v>1502020122</v>
      </c>
      <c r="X927" t="s">
        <v>70</v>
      </c>
      <c r="Y927" t="str">
        <f>VLOOKUP(W927,Sheet4!$A$5:$B$71,2,0)</f>
        <v>MAX UG NEW EV</v>
      </c>
      <c r="Z927">
        <v>87082900</v>
      </c>
      <c r="AA927">
        <v>10</v>
      </c>
      <c r="AB927" t="s">
        <v>159</v>
      </c>
      <c r="AC927" s="24">
        <v>9566.51</v>
      </c>
      <c r="AD927" t="s">
        <v>160</v>
      </c>
      <c r="AE927" s="24">
        <v>95665.1</v>
      </c>
      <c r="AF927">
        <v>0</v>
      </c>
      <c r="AG927" s="24">
        <v>95665.1</v>
      </c>
      <c r="AH927">
        <v>0</v>
      </c>
      <c r="AI927">
        <v>0</v>
      </c>
      <c r="AJ927">
        <v>0</v>
      </c>
      <c r="AK927">
        <v>0</v>
      </c>
      <c r="AL927" s="24">
        <v>95665.1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 s="24">
        <v>95665.1</v>
      </c>
      <c r="AV927">
        <v>0</v>
      </c>
      <c r="AW927">
        <v>0</v>
      </c>
      <c r="AX927">
        <v>311000</v>
      </c>
      <c r="AY927" t="s">
        <v>161</v>
      </c>
      <c r="AZ927">
        <v>0</v>
      </c>
      <c r="BA927">
        <v>61</v>
      </c>
      <c r="BB927">
        <v>-61</v>
      </c>
      <c r="BC927" t="s">
        <v>193</v>
      </c>
      <c r="BD927">
        <v>1509</v>
      </c>
      <c r="BE927" t="s">
        <v>169</v>
      </c>
      <c r="BF927" t="s">
        <v>163</v>
      </c>
      <c r="BG927" t="s">
        <v>164</v>
      </c>
    </row>
    <row r="928" spans="1:59">
      <c r="A928">
        <v>1115</v>
      </c>
      <c r="B928">
        <v>1115</v>
      </c>
      <c r="C928">
        <v>10</v>
      </c>
      <c r="D928">
        <v>2</v>
      </c>
      <c r="E928" t="s">
        <v>152</v>
      </c>
      <c r="F928" t="s">
        <v>153</v>
      </c>
      <c r="G928" t="s">
        <v>154</v>
      </c>
      <c r="H928">
        <v>1526006468</v>
      </c>
      <c r="I928">
        <v>1000006746</v>
      </c>
      <c r="L928" t="s">
        <v>348</v>
      </c>
      <c r="M928">
        <v>5100001928</v>
      </c>
      <c r="N928" t="s">
        <v>155</v>
      </c>
      <c r="O928" t="s">
        <v>156</v>
      </c>
      <c r="P928">
        <v>4110057393</v>
      </c>
      <c r="Q928" t="s">
        <v>192</v>
      </c>
      <c r="R928">
        <v>5000</v>
      </c>
      <c r="S928" t="s">
        <v>166</v>
      </c>
      <c r="V928" t="s">
        <v>167</v>
      </c>
      <c r="W928">
        <v>1502020122</v>
      </c>
      <c r="X928" t="s">
        <v>70</v>
      </c>
      <c r="Y928" t="str">
        <f>VLOOKUP(W928,Sheet4!$A$5:$B$71,2,0)</f>
        <v>MAX UG NEW EV</v>
      </c>
      <c r="Z928">
        <v>87082900</v>
      </c>
      <c r="AA928">
        <v>10</v>
      </c>
      <c r="AB928" t="s">
        <v>159</v>
      </c>
      <c r="AC928" s="24">
        <v>9566.51</v>
      </c>
      <c r="AD928" t="s">
        <v>160</v>
      </c>
      <c r="AE928" s="24">
        <v>95665.1</v>
      </c>
      <c r="AF928">
        <v>0</v>
      </c>
      <c r="AG928" s="24">
        <v>95665.1</v>
      </c>
      <c r="AH928">
        <v>0</v>
      </c>
      <c r="AI928">
        <v>0</v>
      </c>
      <c r="AJ928">
        <v>0</v>
      </c>
      <c r="AK928">
        <v>0</v>
      </c>
      <c r="AL928" s="24">
        <v>95665.1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 s="24">
        <v>95665.1</v>
      </c>
      <c r="AV928">
        <v>0</v>
      </c>
      <c r="AW928">
        <v>0</v>
      </c>
      <c r="AX928">
        <v>311000</v>
      </c>
      <c r="AY928" t="s">
        <v>161</v>
      </c>
      <c r="AZ928">
        <v>0</v>
      </c>
      <c r="BA928">
        <v>61</v>
      </c>
      <c r="BB928">
        <v>-61</v>
      </c>
      <c r="BC928" t="s">
        <v>193</v>
      </c>
      <c r="BD928">
        <v>1509</v>
      </c>
      <c r="BE928" t="s">
        <v>169</v>
      </c>
      <c r="BF928" t="s">
        <v>163</v>
      </c>
      <c r="BG928" t="s">
        <v>164</v>
      </c>
    </row>
    <row r="929" spans="1:59">
      <c r="A929">
        <v>1115</v>
      </c>
      <c r="B929">
        <v>1115</v>
      </c>
      <c r="C929">
        <v>10</v>
      </c>
      <c r="D929">
        <v>2</v>
      </c>
      <c r="E929" t="s">
        <v>152</v>
      </c>
      <c r="F929" t="s">
        <v>153</v>
      </c>
      <c r="G929" t="s">
        <v>154</v>
      </c>
      <c r="H929">
        <v>1526006467</v>
      </c>
      <c r="I929">
        <v>1000006745</v>
      </c>
      <c r="L929" t="s">
        <v>348</v>
      </c>
      <c r="M929">
        <v>5100001928</v>
      </c>
      <c r="N929" t="s">
        <v>155</v>
      </c>
      <c r="O929" t="s">
        <v>156</v>
      </c>
      <c r="P929">
        <v>4110057393</v>
      </c>
      <c r="Q929" t="s">
        <v>192</v>
      </c>
      <c r="R929">
        <v>5000</v>
      </c>
      <c r="S929" t="s">
        <v>166</v>
      </c>
      <c r="V929" t="s">
        <v>167</v>
      </c>
      <c r="W929">
        <v>1502020122</v>
      </c>
      <c r="X929" t="s">
        <v>70</v>
      </c>
      <c r="Y929" t="str">
        <f>VLOOKUP(W929,Sheet4!$A$5:$B$71,2,0)</f>
        <v>MAX UG NEW EV</v>
      </c>
      <c r="Z929">
        <v>87082900</v>
      </c>
      <c r="AA929">
        <v>10</v>
      </c>
      <c r="AB929" t="s">
        <v>159</v>
      </c>
      <c r="AC929" s="24">
        <v>9566.51</v>
      </c>
      <c r="AD929" t="s">
        <v>160</v>
      </c>
      <c r="AE929" s="24">
        <v>95665.1</v>
      </c>
      <c r="AF929">
        <v>0</v>
      </c>
      <c r="AG929" s="24">
        <v>95665.1</v>
      </c>
      <c r="AH929">
        <v>0</v>
      </c>
      <c r="AI929">
        <v>0</v>
      </c>
      <c r="AJ929">
        <v>0</v>
      </c>
      <c r="AK929">
        <v>0</v>
      </c>
      <c r="AL929" s="24">
        <v>95665.1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s="24">
        <v>95665.1</v>
      </c>
      <c r="AV929">
        <v>0</v>
      </c>
      <c r="AW929">
        <v>0</v>
      </c>
      <c r="AX929">
        <v>311000</v>
      </c>
      <c r="AY929" t="s">
        <v>161</v>
      </c>
      <c r="AZ929">
        <v>0</v>
      </c>
      <c r="BA929">
        <v>61</v>
      </c>
      <c r="BB929">
        <v>-61</v>
      </c>
      <c r="BC929" t="s">
        <v>193</v>
      </c>
      <c r="BD929">
        <v>1509</v>
      </c>
      <c r="BE929" t="s">
        <v>169</v>
      </c>
      <c r="BF929" t="s">
        <v>163</v>
      </c>
      <c r="BG929" t="s">
        <v>164</v>
      </c>
    </row>
    <row r="930" spans="1:59">
      <c r="A930">
        <v>1115</v>
      </c>
      <c r="B930">
        <v>1115</v>
      </c>
      <c r="C930">
        <v>10</v>
      </c>
      <c r="D930">
        <v>2</v>
      </c>
      <c r="E930" t="s">
        <v>152</v>
      </c>
      <c r="F930" t="s">
        <v>153</v>
      </c>
      <c r="G930" t="s">
        <v>154</v>
      </c>
      <c r="H930">
        <v>1526006466</v>
      </c>
      <c r="I930">
        <v>1000006744</v>
      </c>
      <c r="L930" t="s">
        <v>348</v>
      </c>
      <c r="M930">
        <v>5100001928</v>
      </c>
      <c r="N930" t="s">
        <v>155</v>
      </c>
      <c r="O930" t="s">
        <v>156</v>
      </c>
      <c r="P930">
        <v>4110057393</v>
      </c>
      <c r="Q930" t="s">
        <v>192</v>
      </c>
      <c r="R930">
        <v>5000</v>
      </c>
      <c r="S930" t="s">
        <v>166</v>
      </c>
      <c r="V930" t="s">
        <v>167</v>
      </c>
      <c r="W930">
        <v>1502020122</v>
      </c>
      <c r="X930" t="s">
        <v>70</v>
      </c>
      <c r="Y930" t="str">
        <f>VLOOKUP(W930,Sheet4!$A$5:$B$71,2,0)</f>
        <v>MAX UG NEW EV</v>
      </c>
      <c r="Z930">
        <v>87082900</v>
      </c>
      <c r="AA930">
        <v>10</v>
      </c>
      <c r="AB930" t="s">
        <v>159</v>
      </c>
      <c r="AC930" s="24">
        <v>9566.51</v>
      </c>
      <c r="AD930" t="s">
        <v>160</v>
      </c>
      <c r="AE930" s="24">
        <v>95665.1</v>
      </c>
      <c r="AF930">
        <v>0</v>
      </c>
      <c r="AG930" s="24">
        <v>95665.1</v>
      </c>
      <c r="AH930">
        <v>0</v>
      </c>
      <c r="AI930">
        <v>0</v>
      </c>
      <c r="AJ930">
        <v>0</v>
      </c>
      <c r="AK930">
        <v>0</v>
      </c>
      <c r="AL930" s="24">
        <v>95665.1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 s="24">
        <v>95665.1</v>
      </c>
      <c r="AV930">
        <v>0</v>
      </c>
      <c r="AW930">
        <v>0</v>
      </c>
      <c r="AX930">
        <v>311000</v>
      </c>
      <c r="AY930" t="s">
        <v>161</v>
      </c>
      <c r="AZ930">
        <v>0</v>
      </c>
      <c r="BA930">
        <v>61</v>
      </c>
      <c r="BB930">
        <v>-61</v>
      </c>
      <c r="BC930" t="s">
        <v>193</v>
      </c>
      <c r="BD930">
        <v>1509</v>
      </c>
      <c r="BE930" t="s">
        <v>169</v>
      </c>
      <c r="BF930" t="s">
        <v>163</v>
      </c>
      <c r="BG930" t="s">
        <v>164</v>
      </c>
    </row>
    <row r="931" spans="1:59">
      <c r="A931">
        <v>1115</v>
      </c>
      <c r="B931">
        <v>1115</v>
      </c>
      <c r="C931">
        <v>10</v>
      </c>
      <c r="D931">
        <v>2</v>
      </c>
      <c r="E931" t="s">
        <v>152</v>
      </c>
      <c r="F931" t="s">
        <v>153</v>
      </c>
      <c r="G931" t="s">
        <v>154</v>
      </c>
      <c r="H931">
        <v>1526006465</v>
      </c>
      <c r="I931">
        <v>1000006743</v>
      </c>
      <c r="L931" t="s">
        <v>348</v>
      </c>
      <c r="M931">
        <v>5100001928</v>
      </c>
      <c r="N931" t="s">
        <v>155</v>
      </c>
      <c r="O931" t="s">
        <v>156</v>
      </c>
      <c r="P931">
        <v>4110057393</v>
      </c>
      <c r="Q931" t="s">
        <v>192</v>
      </c>
      <c r="R931">
        <v>5000</v>
      </c>
      <c r="S931" t="s">
        <v>166</v>
      </c>
      <c r="V931" t="s">
        <v>167</v>
      </c>
      <c r="W931">
        <v>1502020122</v>
      </c>
      <c r="X931" t="s">
        <v>70</v>
      </c>
      <c r="Y931" t="str">
        <f>VLOOKUP(W931,Sheet4!$A$5:$B$71,2,0)</f>
        <v>MAX UG NEW EV</v>
      </c>
      <c r="Z931">
        <v>87082900</v>
      </c>
      <c r="AA931">
        <v>10</v>
      </c>
      <c r="AB931" t="s">
        <v>159</v>
      </c>
      <c r="AC931" s="24">
        <v>9566.51</v>
      </c>
      <c r="AD931" t="s">
        <v>160</v>
      </c>
      <c r="AE931" s="24">
        <v>95665.1</v>
      </c>
      <c r="AF931">
        <v>0</v>
      </c>
      <c r="AG931" s="24">
        <v>95665.1</v>
      </c>
      <c r="AH931">
        <v>0</v>
      </c>
      <c r="AI931">
        <v>0</v>
      </c>
      <c r="AJ931">
        <v>0</v>
      </c>
      <c r="AK931">
        <v>0</v>
      </c>
      <c r="AL931" s="24">
        <v>95665.1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s="24">
        <v>95665.1</v>
      </c>
      <c r="AV931">
        <v>0</v>
      </c>
      <c r="AW931">
        <v>0</v>
      </c>
      <c r="AX931">
        <v>311000</v>
      </c>
      <c r="AY931" t="s">
        <v>161</v>
      </c>
      <c r="AZ931">
        <v>0</v>
      </c>
      <c r="BA931">
        <v>61</v>
      </c>
      <c r="BB931">
        <v>-61</v>
      </c>
      <c r="BC931" t="s">
        <v>193</v>
      </c>
      <c r="BD931">
        <v>1509</v>
      </c>
      <c r="BE931" t="s">
        <v>169</v>
      </c>
      <c r="BF931" t="s">
        <v>163</v>
      </c>
      <c r="BG931" t="s">
        <v>164</v>
      </c>
    </row>
    <row r="932" spans="1:59">
      <c r="A932">
        <v>1115</v>
      </c>
      <c r="B932">
        <v>1115</v>
      </c>
      <c r="C932">
        <v>10</v>
      </c>
      <c r="D932">
        <v>2</v>
      </c>
      <c r="E932" t="s">
        <v>152</v>
      </c>
      <c r="F932" t="s">
        <v>153</v>
      </c>
      <c r="G932" t="s">
        <v>154</v>
      </c>
      <c r="H932">
        <v>1526006463</v>
      </c>
      <c r="I932">
        <v>1000006741</v>
      </c>
      <c r="L932" t="s">
        <v>348</v>
      </c>
      <c r="M932">
        <v>5100001899</v>
      </c>
      <c r="N932" t="s">
        <v>155</v>
      </c>
      <c r="O932" t="s">
        <v>156</v>
      </c>
      <c r="P932">
        <v>4110041854</v>
      </c>
      <c r="Q932" t="s">
        <v>172</v>
      </c>
      <c r="R932">
        <v>5000</v>
      </c>
      <c r="S932" t="s">
        <v>166</v>
      </c>
      <c r="V932" t="s">
        <v>167</v>
      </c>
      <c r="W932">
        <v>1502040267</v>
      </c>
      <c r="X932" t="s">
        <v>63</v>
      </c>
      <c r="Y932" t="str">
        <f>VLOOKUP(W932,Sheet4!$A$5:$B$71,2,0)</f>
        <v>DASH BOARD</v>
      </c>
      <c r="Z932">
        <v>87082900</v>
      </c>
      <c r="AA932">
        <v>416</v>
      </c>
      <c r="AB932" t="s">
        <v>159</v>
      </c>
      <c r="AC932">
        <v>290.89999999999998</v>
      </c>
      <c r="AD932" t="s">
        <v>160</v>
      </c>
      <c r="AE932" s="24">
        <v>121014.39999999999</v>
      </c>
      <c r="AF932">
        <v>0</v>
      </c>
      <c r="AG932" s="24">
        <v>121014.39999999999</v>
      </c>
      <c r="AH932">
        <v>0</v>
      </c>
      <c r="AI932">
        <v>0</v>
      </c>
      <c r="AJ932">
        <v>0</v>
      </c>
      <c r="AK932">
        <v>0</v>
      </c>
      <c r="AL932" s="24">
        <v>121014.39999999999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 s="24">
        <v>121014.39999999999</v>
      </c>
      <c r="AV932">
        <v>0</v>
      </c>
      <c r="AW932">
        <v>0</v>
      </c>
      <c r="AX932">
        <v>311000</v>
      </c>
      <c r="AY932" t="s">
        <v>161</v>
      </c>
      <c r="AZ932">
        <v>4.5</v>
      </c>
      <c r="BA932">
        <v>4.5</v>
      </c>
      <c r="BB932">
        <v>0</v>
      </c>
      <c r="BC932" t="s">
        <v>173</v>
      </c>
      <c r="BD932">
        <v>1511</v>
      </c>
      <c r="BE932" t="s">
        <v>174</v>
      </c>
      <c r="BF932" t="s">
        <v>163</v>
      </c>
      <c r="BG932" t="s">
        <v>164</v>
      </c>
    </row>
    <row r="933" spans="1:59">
      <c r="A933">
        <v>1115</v>
      </c>
      <c r="B933">
        <v>1115</v>
      </c>
      <c r="C933">
        <v>10</v>
      </c>
      <c r="D933">
        <v>2</v>
      </c>
      <c r="E933" t="s">
        <v>152</v>
      </c>
      <c r="F933" t="s">
        <v>153</v>
      </c>
      <c r="G933" t="s">
        <v>154</v>
      </c>
      <c r="H933">
        <v>1526006462</v>
      </c>
      <c r="I933">
        <v>1000006739</v>
      </c>
      <c r="L933" t="s">
        <v>348</v>
      </c>
      <c r="M933">
        <v>5100001943</v>
      </c>
      <c r="N933" t="s">
        <v>155</v>
      </c>
      <c r="O933" t="s">
        <v>156</v>
      </c>
      <c r="P933">
        <v>4110061540</v>
      </c>
      <c r="Q933" t="s">
        <v>349</v>
      </c>
      <c r="R933">
        <v>5000</v>
      </c>
      <c r="S933" t="s">
        <v>166</v>
      </c>
      <c r="V933" t="s">
        <v>167</v>
      </c>
      <c r="W933">
        <v>1502020117</v>
      </c>
      <c r="X933" t="s">
        <v>210</v>
      </c>
      <c r="Y933" t="str">
        <f>VLOOKUP(W933,Sheet4!$A$5:$B$71,2,0)</f>
        <v>MAXIMA HD</v>
      </c>
      <c r="Z933">
        <v>87082900</v>
      </c>
      <c r="AA933">
        <v>8</v>
      </c>
      <c r="AB933" t="s">
        <v>159</v>
      </c>
      <c r="AC933" s="24">
        <v>8350.51</v>
      </c>
      <c r="AD933" t="s">
        <v>160</v>
      </c>
      <c r="AE933" s="24">
        <v>66804.08</v>
      </c>
      <c r="AF933">
        <v>0</v>
      </c>
      <c r="AG933" s="24">
        <v>66804.08</v>
      </c>
      <c r="AH933">
        <v>0</v>
      </c>
      <c r="AI933">
        <v>0</v>
      </c>
      <c r="AJ933">
        <v>0</v>
      </c>
      <c r="AK933">
        <v>0</v>
      </c>
      <c r="AL933" s="24">
        <v>66804.08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 s="24">
        <v>66804.08</v>
      </c>
      <c r="AV933">
        <v>0</v>
      </c>
      <c r="AW933">
        <v>0</v>
      </c>
      <c r="AX933">
        <v>311000</v>
      </c>
      <c r="AY933" t="s">
        <v>161</v>
      </c>
      <c r="AZ933">
        <v>63</v>
      </c>
      <c r="BA933">
        <v>63</v>
      </c>
      <c r="BB933">
        <v>0</v>
      </c>
      <c r="BC933" t="s">
        <v>350</v>
      </c>
      <c r="BD933">
        <v>1509</v>
      </c>
      <c r="BE933" t="s">
        <v>169</v>
      </c>
      <c r="BF933" t="s">
        <v>163</v>
      </c>
      <c r="BG933" t="s">
        <v>164</v>
      </c>
    </row>
    <row r="934" spans="1:59">
      <c r="A934">
        <v>1115</v>
      </c>
      <c r="B934">
        <v>1115</v>
      </c>
      <c r="C934">
        <v>10</v>
      </c>
      <c r="D934">
        <v>2</v>
      </c>
      <c r="E934" t="s">
        <v>152</v>
      </c>
      <c r="F934" t="s">
        <v>153</v>
      </c>
      <c r="G934" t="s">
        <v>154</v>
      </c>
      <c r="H934">
        <v>1526006460</v>
      </c>
      <c r="I934">
        <v>1000006735</v>
      </c>
      <c r="L934" t="s">
        <v>348</v>
      </c>
      <c r="M934">
        <v>5100001943</v>
      </c>
      <c r="N934" t="s">
        <v>155</v>
      </c>
      <c r="O934" t="s">
        <v>156</v>
      </c>
      <c r="P934">
        <v>4110061540</v>
      </c>
      <c r="Q934" t="s">
        <v>349</v>
      </c>
      <c r="R934">
        <v>5000</v>
      </c>
      <c r="S934" t="s">
        <v>166</v>
      </c>
      <c r="V934" t="s">
        <v>167</v>
      </c>
      <c r="W934">
        <v>1502020117</v>
      </c>
      <c r="X934" t="s">
        <v>210</v>
      </c>
      <c r="Y934" t="str">
        <f>VLOOKUP(W934,Sheet4!$A$5:$B$71,2,0)</f>
        <v>MAXIMA HD</v>
      </c>
      <c r="Z934">
        <v>87082900</v>
      </c>
      <c r="AA934">
        <v>8</v>
      </c>
      <c r="AB934" t="s">
        <v>159</v>
      </c>
      <c r="AC934" s="24">
        <v>8350.51</v>
      </c>
      <c r="AD934" t="s">
        <v>160</v>
      </c>
      <c r="AE934" s="24">
        <v>66804.08</v>
      </c>
      <c r="AF934">
        <v>0</v>
      </c>
      <c r="AG934" s="24">
        <v>66804.08</v>
      </c>
      <c r="AH934">
        <v>0</v>
      </c>
      <c r="AI934">
        <v>0</v>
      </c>
      <c r="AJ934">
        <v>0</v>
      </c>
      <c r="AK934">
        <v>0</v>
      </c>
      <c r="AL934" s="24">
        <v>66804.08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s="24">
        <v>66804.08</v>
      </c>
      <c r="AV934">
        <v>0</v>
      </c>
      <c r="AW934">
        <v>0</v>
      </c>
      <c r="AX934">
        <v>311000</v>
      </c>
      <c r="AY934" t="s">
        <v>161</v>
      </c>
      <c r="AZ934">
        <v>63</v>
      </c>
      <c r="BA934">
        <v>63</v>
      </c>
      <c r="BB934">
        <v>0</v>
      </c>
      <c r="BC934" t="s">
        <v>350</v>
      </c>
      <c r="BD934">
        <v>1509</v>
      </c>
      <c r="BE934" t="s">
        <v>169</v>
      </c>
      <c r="BF934" t="s">
        <v>163</v>
      </c>
      <c r="BG934" t="s">
        <v>164</v>
      </c>
    </row>
    <row r="935" spans="1:59">
      <c r="A935">
        <v>1115</v>
      </c>
      <c r="B935">
        <v>1115</v>
      </c>
      <c r="C935">
        <v>10</v>
      </c>
      <c r="D935">
        <v>2</v>
      </c>
      <c r="E935" t="s">
        <v>152</v>
      </c>
      <c r="F935" t="s">
        <v>153</v>
      </c>
      <c r="G935" t="s">
        <v>154</v>
      </c>
      <c r="H935">
        <v>1526006457</v>
      </c>
      <c r="I935">
        <v>1000006733</v>
      </c>
      <c r="L935" t="s">
        <v>348</v>
      </c>
      <c r="M935">
        <v>5100001666</v>
      </c>
      <c r="N935" t="s">
        <v>155</v>
      </c>
      <c r="O935" t="s">
        <v>156</v>
      </c>
      <c r="P935">
        <v>4110027035</v>
      </c>
      <c r="Q935" t="s">
        <v>225</v>
      </c>
      <c r="R935">
        <v>5000</v>
      </c>
      <c r="S935" t="s">
        <v>166</v>
      </c>
      <c r="V935" t="s">
        <v>167</v>
      </c>
      <c r="W935">
        <v>1502020105</v>
      </c>
      <c r="X935" t="s">
        <v>226</v>
      </c>
      <c r="Y935" t="str">
        <f>VLOOKUP(W935,Sheet4!$A$5:$B$71,2,0)</f>
        <v>RE STYLING</v>
      </c>
      <c r="Z935">
        <v>87082900</v>
      </c>
      <c r="AA935">
        <v>15</v>
      </c>
      <c r="AB935" t="s">
        <v>159</v>
      </c>
      <c r="AC935" s="24">
        <v>6570.77</v>
      </c>
      <c r="AD935" t="s">
        <v>160</v>
      </c>
      <c r="AE935" s="24">
        <v>98561.55</v>
      </c>
      <c r="AF935">
        <v>0</v>
      </c>
      <c r="AG935" s="24">
        <v>98561.55</v>
      </c>
      <c r="AH935">
        <v>0</v>
      </c>
      <c r="AI935">
        <v>0</v>
      </c>
      <c r="AJ935">
        <v>0</v>
      </c>
      <c r="AK935">
        <v>0</v>
      </c>
      <c r="AL935" s="24">
        <v>98561.55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 s="24">
        <v>98561.55</v>
      </c>
      <c r="AV935">
        <v>0</v>
      </c>
      <c r="AW935">
        <v>0</v>
      </c>
      <c r="AX935">
        <v>311000</v>
      </c>
      <c r="AY935" t="s">
        <v>161</v>
      </c>
      <c r="AZ935">
        <v>49.75</v>
      </c>
      <c r="BA935">
        <v>49.75</v>
      </c>
      <c r="BB935">
        <v>0</v>
      </c>
      <c r="BC935" t="s">
        <v>227</v>
      </c>
      <c r="BD935">
        <v>1509</v>
      </c>
      <c r="BE935" t="s">
        <v>169</v>
      </c>
      <c r="BF935" t="s">
        <v>163</v>
      </c>
      <c r="BG935" t="s">
        <v>164</v>
      </c>
    </row>
    <row r="936" spans="1:59">
      <c r="A936">
        <v>1115</v>
      </c>
      <c r="B936">
        <v>1115</v>
      </c>
      <c r="C936">
        <v>10</v>
      </c>
      <c r="D936">
        <v>2</v>
      </c>
      <c r="E936" t="s">
        <v>152</v>
      </c>
      <c r="F936" t="s">
        <v>153</v>
      </c>
      <c r="G936" t="s">
        <v>154</v>
      </c>
      <c r="H936">
        <v>1526006456</v>
      </c>
      <c r="I936">
        <v>1000006731</v>
      </c>
      <c r="L936" t="s">
        <v>348</v>
      </c>
      <c r="M936">
        <v>5100001666</v>
      </c>
      <c r="N936" t="s">
        <v>155</v>
      </c>
      <c r="O936" t="s">
        <v>156</v>
      </c>
      <c r="P936">
        <v>4110027035</v>
      </c>
      <c r="Q936" t="s">
        <v>225</v>
      </c>
      <c r="R936">
        <v>5000</v>
      </c>
      <c r="S936" t="s">
        <v>166</v>
      </c>
      <c r="V936" t="s">
        <v>167</v>
      </c>
      <c r="W936">
        <v>1502020105</v>
      </c>
      <c r="X936" t="s">
        <v>226</v>
      </c>
      <c r="Y936" t="str">
        <f>VLOOKUP(W936,Sheet4!$A$5:$B$71,2,0)</f>
        <v>RE STYLING</v>
      </c>
      <c r="Z936">
        <v>87082900</v>
      </c>
      <c r="AA936">
        <v>15</v>
      </c>
      <c r="AB936" t="s">
        <v>159</v>
      </c>
      <c r="AC936" s="24">
        <v>6570.77</v>
      </c>
      <c r="AD936" t="s">
        <v>160</v>
      </c>
      <c r="AE936" s="24">
        <v>98561.55</v>
      </c>
      <c r="AF936">
        <v>0</v>
      </c>
      <c r="AG936" s="24">
        <v>98561.55</v>
      </c>
      <c r="AH936">
        <v>0</v>
      </c>
      <c r="AI936">
        <v>0</v>
      </c>
      <c r="AJ936">
        <v>0</v>
      </c>
      <c r="AK936">
        <v>0</v>
      </c>
      <c r="AL936" s="24">
        <v>98561.55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 s="24">
        <v>98561.55</v>
      </c>
      <c r="AV936">
        <v>0</v>
      </c>
      <c r="AW936">
        <v>0</v>
      </c>
      <c r="AX936">
        <v>311000</v>
      </c>
      <c r="AY936" t="s">
        <v>161</v>
      </c>
      <c r="AZ936">
        <v>49.75</v>
      </c>
      <c r="BA936">
        <v>49.75</v>
      </c>
      <c r="BB936">
        <v>0</v>
      </c>
      <c r="BC936" t="s">
        <v>227</v>
      </c>
      <c r="BD936">
        <v>1509</v>
      </c>
      <c r="BE936" t="s">
        <v>169</v>
      </c>
      <c r="BF936" t="s">
        <v>163</v>
      </c>
      <c r="BG936" t="s">
        <v>164</v>
      </c>
    </row>
    <row r="937" spans="1:59">
      <c r="A937">
        <v>1115</v>
      </c>
      <c r="B937">
        <v>1115</v>
      </c>
      <c r="C937">
        <v>10</v>
      </c>
      <c r="D937">
        <v>2</v>
      </c>
      <c r="E937" t="s">
        <v>152</v>
      </c>
      <c r="F937" t="s">
        <v>153</v>
      </c>
      <c r="G937" t="s">
        <v>154</v>
      </c>
      <c r="H937">
        <v>1526006455</v>
      </c>
      <c r="I937">
        <v>1000006729</v>
      </c>
      <c r="L937" t="s">
        <v>348</v>
      </c>
      <c r="M937">
        <v>5100001666</v>
      </c>
      <c r="N937" t="s">
        <v>155</v>
      </c>
      <c r="O937" t="s">
        <v>156</v>
      </c>
      <c r="P937">
        <v>4110027035</v>
      </c>
      <c r="Q937" t="s">
        <v>225</v>
      </c>
      <c r="R937">
        <v>5000</v>
      </c>
      <c r="S937" t="s">
        <v>166</v>
      </c>
      <c r="V937" t="s">
        <v>167</v>
      </c>
      <c r="W937">
        <v>1502020105</v>
      </c>
      <c r="X937" t="s">
        <v>226</v>
      </c>
      <c r="Y937" t="str">
        <f>VLOOKUP(W937,Sheet4!$A$5:$B$71,2,0)</f>
        <v>RE STYLING</v>
      </c>
      <c r="Z937">
        <v>87082900</v>
      </c>
      <c r="AA937">
        <v>15</v>
      </c>
      <c r="AB937" t="s">
        <v>159</v>
      </c>
      <c r="AC937" s="24">
        <v>6570.77</v>
      </c>
      <c r="AD937" t="s">
        <v>160</v>
      </c>
      <c r="AE937" s="24">
        <v>98561.55</v>
      </c>
      <c r="AF937">
        <v>0</v>
      </c>
      <c r="AG937" s="24">
        <v>98561.55</v>
      </c>
      <c r="AH937">
        <v>0</v>
      </c>
      <c r="AI937">
        <v>0</v>
      </c>
      <c r="AJ937">
        <v>0</v>
      </c>
      <c r="AK937">
        <v>0</v>
      </c>
      <c r="AL937" s="24">
        <v>98561.55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 s="24">
        <v>98561.55</v>
      </c>
      <c r="AV937">
        <v>0</v>
      </c>
      <c r="AW937">
        <v>0</v>
      </c>
      <c r="AX937">
        <v>311000</v>
      </c>
      <c r="AY937" t="s">
        <v>161</v>
      </c>
      <c r="AZ937">
        <v>49.75</v>
      </c>
      <c r="BA937">
        <v>49.75</v>
      </c>
      <c r="BB937">
        <v>0</v>
      </c>
      <c r="BC937" t="s">
        <v>227</v>
      </c>
      <c r="BD937">
        <v>1509</v>
      </c>
      <c r="BE937" t="s">
        <v>169</v>
      </c>
      <c r="BF937" t="s">
        <v>163</v>
      </c>
      <c r="BG937" t="s">
        <v>164</v>
      </c>
    </row>
    <row r="938" spans="1:59">
      <c r="A938">
        <v>1115</v>
      </c>
      <c r="B938">
        <v>1115</v>
      </c>
      <c r="C938">
        <v>10</v>
      </c>
      <c r="D938">
        <v>2</v>
      </c>
      <c r="E938" t="s">
        <v>152</v>
      </c>
      <c r="F938" t="s">
        <v>153</v>
      </c>
      <c r="G938" t="s">
        <v>154</v>
      </c>
      <c r="H938">
        <v>1526006454</v>
      </c>
      <c r="I938">
        <v>1000006728</v>
      </c>
      <c r="L938" t="s">
        <v>348</v>
      </c>
      <c r="M938">
        <v>5100001636</v>
      </c>
      <c r="N938" t="s">
        <v>155</v>
      </c>
      <c r="O938" t="s">
        <v>156</v>
      </c>
      <c r="P938">
        <v>4110026445</v>
      </c>
      <c r="Q938" t="s">
        <v>170</v>
      </c>
      <c r="R938">
        <v>5000</v>
      </c>
      <c r="S938" t="s">
        <v>166</v>
      </c>
      <c r="V938" t="s">
        <v>167</v>
      </c>
      <c r="W938">
        <v>1502020104</v>
      </c>
      <c r="X938" t="s">
        <v>26</v>
      </c>
      <c r="Y938" t="str">
        <f>VLOOKUP(W938,Sheet4!$A$5:$B$71,2,0)</f>
        <v>RE STYLING</v>
      </c>
      <c r="Z938">
        <v>87082900</v>
      </c>
      <c r="AA938">
        <v>15</v>
      </c>
      <c r="AB938" t="s">
        <v>159</v>
      </c>
      <c r="AC938" s="24">
        <v>6585.55</v>
      </c>
      <c r="AD938" t="s">
        <v>160</v>
      </c>
      <c r="AE938" s="24">
        <v>98783.25</v>
      </c>
      <c r="AF938">
        <v>0</v>
      </c>
      <c r="AG938" s="24">
        <v>98783.25</v>
      </c>
      <c r="AH938">
        <v>0</v>
      </c>
      <c r="AI938">
        <v>0</v>
      </c>
      <c r="AJ938">
        <v>0</v>
      </c>
      <c r="AK938">
        <v>0</v>
      </c>
      <c r="AL938" s="24">
        <v>98783.25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 s="24">
        <v>98783.25</v>
      </c>
      <c r="AV938">
        <v>0</v>
      </c>
      <c r="AW938">
        <v>0</v>
      </c>
      <c r="AX938">
        <v>311000</v>
      </c>
      <c r="AY938" t="s">
        <v>161</v>
      </c>
      <c r="AZ938">
        <v>49.75</v>
      </c>
      <c r="BA938">
        <v>49.75</v>
      </c>
      <c r="BB938">
        <v>0</v>
      </c>
      <c r="BC938" t="s">
        <v>171</v>
      </c>
      <c r="BD938">
        <v>1509</v>
      </c>
      <c r="BE938" t="s">
        <v>169</v>
      </c>
      <c r="BF938" t="s">
        <v>163</v>
      </c>
      <c r="BG938" t="s">
        <v>164</v>
      </c>
    </row>
    <row r="939" spans="1:59">
      <c r="A939">
        <v>1115</v>
      </c>
      <c r="B939">
        <v>1115</v>
      </c>
      <c r="C939">
        <v>10</v>
      </c>
      <c r="D939">
        <v>2</v>
      </c>
      <c r="E939" t="s">
        <v>152</v>
      </c>
      <c r="F939" t="s">
        <v>153</v>
      </c>
      <c r="G939" t="s">
        <v>154</v>
      </c>
      <c r="H939">
        <v>1526006453</v>
      </c>
      <c r="I939">
        <v>1000006725</v>
      </c>
      <c r="L939" t="s">
        <v>348</v>
      </c>
      <c r="M939">
        <v>5100001636</v>
      </c>
      <c r="N939" t="s">
        <v>155</v>
      </c>
      <c r="O939" t="s">
        <v>156</v>
      </c>
      <c r="P939">
        <v>4110026445</v>
      </c>
      <c r="Q939" t="s">
        <v>170</v>
      </c>
      <c r="R939">
        <v>5000</v>
      </c>
      <c r="S939" t="s">
        <v>166</v>
      </c>
      <c r="V939" t="s">
        <v>167</v>
      </c>
      <c r="W939">
        <v>1502020104</v>
      </c>
      <c r="X939" t="s">
        <v>26</v>
      </c>
      <c r="Y939" t="str">
        <f>VLOOKUP(W939,Sheet4!$A$5:$B$71,2,0)</f>
        <v>RE STYLING</v>
      </c>
      <c r="Z939">
        <v>87082900</v>
      </c>
      <c r="AA939">
        <v>15</v>
      </c>
      <c r="AB939" t="s">
        <v>159</v>
      </c>
      <c r="AC939" s="24">
        <v>6585.55</v>
      </c>
      <c r="AD939" t="s">
        <v>160</v>
      </c>
      <c r="AE939" s="24">
        <v>98783.25</v>
      </c>
      <c r="AF939">
        <v>0</v>
      </c>
      <c r="AG939" s="24">
        <v>98783.25</v>
      </c>
      <c r="AH939">
        <v>0</v>
      </c>
      <c r="AI939">
        <v>0</v>
      </c>
      <c r="AJ939">
        <v>0</v>
      </c>
      <c r="AK939">
        <v>0</v>
      </c>
      <c r="AL939" s="24">
        <v>98783.25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 s="24">
        <v>98783.25</v>
      </c>
      <c r="AV939">
        <v>0</v>
      </c>
      <c r="AW939">
        <v>0</v>
      </c>
      <c r="AX939">
        <v>311000</v>
      </c>
      <c r="AY939" t="s">
        <v>161</v>
      </c>
      <c r="AZ939">
        <v>49.75</v>
      </c>
      <c r="BA939">
        <v>49.75</v>
      </c>
      <c r="BB939">
        <v>0</v>
      </c>
      <c r="BC939" t="s">
        <v>171</v>
      </c>
      <c r="BD939">
        <v>1509</v>
      </c>
      <c r="BE939" t="s">
        <v>169</v>
      </c>
      <c r="BF939" t="s">
        <v>163</v>
      </c>
      <c r="BG939" t="s">
        <v>164</v>
      </c>
    </row>
    <row r="940" spans="1:59">
      <c r="A940">
        <v>1115</v>
      </c>
      <c r="B940">
        <v>1115</v>
      </c>
      <c r="C940">
        <v>10</v>
      </c>
      <c r="D940">
        <v>2</v>
      </c>
      <c r="E940" t="s">
        <v>152</v>
      </c>
      <c r="F940" t="s">
        <v>153</v>
      </c>
      <c r="G940" t="s">
        <v>154</v>
      </c>
      <c r="H940">
        <v>1526006452</v>
      </c>
      <c r="I940">
        <v>1000006722</v>
      </c>
      <c r="L940" t="s">
        <v>348</v>
      </c>
      <c r="M940">
        <v>5100001934</v>
      </c>
      <c r="N940" t="s">
        <v>155</v>
      </c>
      <c r="O940" t="s">
        <v>156</v>
      </c>
      <c r="P940">
        <v>4110058649</v>
      </c>
      <c r="Q940" t="s">
        <v>196</v>
      </c>
      <c r="R940">
        <v>5000</v>
      </c>
      <c r="S940" t="s">
        <v>166</v>
      </c>
      <c r="V940" t="s">
        <v>167</v>
      </c>
      <c r="W940">
        <v>1502040217</v>
      </c>
      <c r="X940" t="s">
        <v>197</v>
      </c>
      <c r="Y940" t="str">
        <f>VLOOKUP(W940,Sheet4!$A$5:$B$71,2,0)</f>
        <v>FRONT MUDGARD GOGO</v>
      </c>
      <c r="Z940">
        <v>87082900</v>
      </c>
      <c r="AA940">
        <v>100</v>
      </c>
      <c r="AB940" t="s">
        <v>159</v>
      </c>
      <c r="AC940">
        <v>380.93</v>
      </c>
      <c r="AD940" t="s">
        <v>160</v>
      </c>
      <c r="AE940" s="24">
        <v>38093</v>
      </c>
      <c r="AF940">
        <v>0</v>
      </c>
      <c r="AG940" s="24">
        <v>38093</v>
      </c>
      <c r="AH940">
        <v>0</v>
      </c>
      <c r="AI940">
        <v>0</v>
      </c>
      <c r="AJ940">
        <v>0</v>
      </c>
      <c r="AK940">
        <v>0</v>
      </c>
      <c r="AL940" s="24">
        <v>38093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 s="24">
        <v>38093</v>
      </c>
      <c r="AV940">
        <v>0</v>
      </c>
      <c r="AW940">
        <v>0</v>
      </c>
      <c r="AX940">
        <v>311000</v>
      </c>
      <c r="AY940" t="s">
        <v>161</v>
      </c>
      <c r="AZ940">
        <v>2.13</v>
      </c>
      <c r="BA940">
        <v>2.13</v>
      </c>
      <c r="BB940">
        <v>0</v>
      </c>
      <c r="BC940" t="s">
        <v>198</v>
      </c>
      <c r="BD940">
        <v>1511</v>
      </c>
      <c r="BE940" t="s">
        <v>174</v>
      </c>
      <c r="BF940" t="s">
        <v>163</v>
      </c>
      <c r="BG940" t="s">
        <v>164</v>
      </c>
    </row>
    <row r="941" spans="1:59">
      <c r="A941">
        <v>1115</v>
      </c>
      <c r="B941">
        <v>1115</v>
      </c>
      <c r="C941">
        <v>10</v>
      </c>
      <c r="D941">
        <v>2</v>
      </c>
      <c r="E941" t="s">
        <v>152</v>
      </c>
      <c r="F941" t="s">
        <v>153</v>
      </c>
      <c r="G941" t="s">
        <v>154</v>
      </c>
      <c r="H941">
        <v>1526006450</v>
      </c>
      <c r="I941">
        <v>1000006721</v>
      </c>
      <c r="L941" t="s">
        <v>348</v>
      </c>
      <c r="M941">
        <v>5100001924</v>
      </c>
      <c r="N941" t="s">
        <v>155</v>
      </c>
      <c r="O941" t="s">
        <v>156</v>
      </c>
      <c r="P941">
        <v>4110055642</v>
      </c>
      <c r="Q941" t="s">
        <v>199</v>
      </c>
      <c r="R941">
        <v>5000</v>
      </c>
      <c r="S941" t="s">
        <v>166</v>
      </c>
      <c r="V941" t="s">
        <v>167</v>
      </c>
      <c r="W941">
        <v>1502040316</v>
      </c>
      <c r="X941" t="s">
        <v>351</v>
      </c>
      <c r="Y941" t="str">
        <f>VLOOKUP(W941,Sheet4!$A$5:$B$71,2,0)</f>
        <v>Re Side Door</v>
      </c>
      <c r="Z941">
        <v>87082900</v>
      </c>
      <c r="AA941">
        <v>120</v>
      </c>
      <c r="AB941" t="s">
        <v>159</v>
      </c>
      <c r="AC941">
        <v>497.87</v>
      </c>
      <c r="AD941" t="s">
        <v>160</v>
      </c>
      <c r="AE941" s="24">
        <v>59744.4</v>
      </c>
      <c r="AF941">
        <v>0</v>
      </c>
      <c r="AG941" s="24">
        <v>59744.4</v>
      </c>
      <c r="AH941">
        <v>0</v>
      </c>
      <c r="AI941">
        <v>0</v>
      </c>
      <c r="AJ941">
        <v>0</v>
      </c>
      <c r="AK941">
        <v>0</v>
      </c>
      <c r="AL941" s="24">
        <v>59744.4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 s="24">
        <v>59744.4</v>
      </c>
      <c r="AV941">
        <v>0</v>
      </c>
      <c r="AW941">
        <v>0</v>
      </c>
      <c r="AX941">
        <v>311000</v>
      </c>
      <c r="AY941" t="s">
        <v>161</v>
      </c>
      <c r="AZ941">
        <v>2.27</v>
      </c>
      <c r="BA941">
        <v>2.27</v>
      </c>
      <c r="BB941">
        <v>0</v>
      </c>
      <c r="BC941" t="s">
        <v>352</v>
      </c>
      <c r="BD941">
        <v>1511</v>
      </c>
      <c r="BE941" t="s">
        <v>174</v>
      </c>
      <c r="BF941" t="s">
        <v>163</v>
      </c>
      <c r="BG941" t="s">
        <v>164</v>
      </c>
    </row>
    <row r="942" spans="1:59">
      <c r="A942">
        <v>1115</v>
      </c>
      <c r="B942">
        <v>1115</v>
      </c>
      <c r="C942">
        <v>10</v>
      </c>
      <c r="D942">
        <v>2</v>
      </c>
      <c r="E942" t="s">
        <v>152</v>
      </c>
      <c r="F942" t="s">
        <v>153</v>
      </c>
      <c r="G942" t="s">
        <v>154</v>
      </c>
      <c r="H942">
        <v>1526006449</v>
      </c>
      <c r="I942">
        <v>1000006720</v>
      </c>
      <c r="L942" t="s">
        <v>348</v>
      </c>
      <c r="M942">
        <v>5100001924</v>
      </c>
      <c r="N942" t="s">
        <v>155</v>
      </c>
      <c r="O942" t="s">
        <v>156</v>
      </c>
      <c r="P942">
        <v>4110055642</v>
      </c>
      <c r="Q942" t="s">
        <v>199</v>
      </c>
      <c r="R942">
        <v>5000</v>
      </c>
      <c r="S942" t="s">
        <v>166</v>
      </c>
      <c r="V942" t="s">
        <v>167</v>
      </c>
      <c r="W942">
        <v>1502040315</v>
      </c>
      <c r="X942" t="s">
        <v>353</v>
      </c>
      <c r="Y942" t="str">
        <f>VLOOKUP(W942,Sheet4!$A$5:$B$71,2,0)</f>
        <v>Re Side Door</v>
      </c>
      <c r="Z942">
        <v>87082900</v>
      </c>
      <c r="AA942">
        <v>120</v>
      </c>
      <c r="AB942" t="s">
        <v>159</v>
      </c>
      <c r="AC942">
        <v>497.08</v>
      </c>
      <c r="AD942" t="s">
        <v>160</v>
      </c>
      <c r="AE942" s="24">
        <v>59649.599999999999</v>
      </c>
      <c r="AF942">
        <v>0</v>
      </c>
      <c r="AG942" s="24">
        <v>59649.599999999999</v>
      </c>
      <c r="AH942">
        <v>0</v>
      </c>
      <c r="AI942">
        <v>0</v>
      </c>
      <c r="AJ942">
        <v>0</v>
      </c>
      <c r="AK942">
        <v>0</v>
      </c>
      <c r="AL942" s="24">
        <v>59649.599999999999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 s="24">
        <v>59649.599999999999</v>
      </c>
      <c r="AV942">
        <v>0</v>
      </c>
      <c r="AW942">
        <v>0</v>
      </c>
      <c r="AX942">
        <v>311000</v>
      </c>
      <c r="AY942" t="s">
        <v>161</v>
      </c>
      <c r="AZ942">
        <v>2.27</v>
      </c>
      <c r="BA942">
        <v>2.27</v>
      </c>
      <c r="BB942">
        <v>0</v>
      </c>
      <c r="BC942" t="s">
        <v>354</v>
      </c>
      <c r="BD942">
        <v>1511</v>
      </c>
      <c r="BE942" t="s">
        <v>174</v>
      </c>
      <c r="BF942" t="s">
        <v>163</v>
      </c>
      <c r="BG942" t="s">
        <v>164</v>
      </c>
    </row>
    <row r="943" spans="1:59">
      <c r="A943">
        <v>1115</v>
      </c>
      <c r="B943">
        <v>1115</v>
      </c>
      <c r="C943">
        <v>10</v>
      </c>
      <c r="D943">
        <v>2</v>
      </c>
      <c r="E943" t="s">
        <v>152</v>
      </c>
      <c r="F943" t="s">
        <v>153</v>
      </c>
      <c r="G943" t="s">
        <v>154</v>
      </c>
      <c r="H943">
        <v>1526006448</v>
      </c>
      <c r="I943">
        <v>1000006718</v>
      </c>
      <c r="L943" t="s">
        <v>348</v>
      </c>
      <c r="M943">
        <v>5100001928</v>
      </c>
      <c r="N943" t="s">
        <v>155</v>
      </c>
      <c r="O943" t="s">
        <v>156</v>
      </c>
      <c r="P943">
        <v>4110057393</v>
      </c>
      <c r="Q943" t="s">
        <v>192</v>
      </c>
      <c r="R943">
        <v>5000</v>
      </c>
      <c r="S943" t="s">
        <v>166</v>
      </c>
      <c r="V943" t="s">
        <v>167</v>
      </c>
      <c r="W943">
        <v>1502020122</v>
      </c>
      <c r="X943" t="s">
        <v>70</v>
      </c>
      <c r="Y943" t="str">
        <f>VLOOKUP(W943,Sheet4!$A$5:$B$71,2,0)</f>
        <v>MAX UG NEW EV</v>
      </c>
      <c r="Z943">
        <v>87082900</v>
      </c>
      <c r="AA943">
        <v>10</v>
      </c>
      <c r="AB943" t="s">
        <v>159</v>
      </c>
      <c r="AC943" s="24">
        <v>9566.51</v>
      </c>
      <c r="AD943" t="s">
        <v>160</v>
      </c>
      <c r="AE943" s="24">
        <v>95665.1</v>
      </c>
      <c r="AF943">
        <v>0</v>
      </c>
      <c r="AG943" s="24">
        <v>95665.1</v>
      </c>
      <c r="AH943">
        <v>0</v>
      </c>
      <c r="AI943">
        <v>0</v>
      </c>
      <c r="AJ943">
        <v>0</v>
      </c>
      <c r="AK943">
        <v>0</v>
      </c>
      <c r="AL943" s="24">
        <v>95665.1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 s="24">
        <v>95665.1</v>
      </c>
      <c r="AV943">
        <v>0</v>
      </c>
      <c r="AW943">
        <v>0</v>
      </c>
      <c r="AX943">
        <v>311000</v>
      </c>
      <c r="AY943" t="s">
        <v>161</v>
      </c>
      <c r="AZ943">
        <v>0</v>
      </c>
      <c r="BA943">
        <v>61</v>
      </c>
      <c r="BB943">
        <v>-61</v>
      </c>
      <c r="BC943" t="s">
        <v>193</v>
      </c>
      <c r="BD943">
        <v>1509</v>
      </c>
      <c r="BE943" t="s">
        <v>169</v>
      </c>
      <c r="BF943" t="s">
        <v>163</v>
      </c>
      <c r="BG943" t="s">
        <v>164</v>
      </c>
    </row>
    <row r="944" spans="1:59">
      <c r="A944">
        <v>1115</v>
      </c>
      <c r="B944">
        <v>1115</v>
      </c>
      <c r="C944">
        <v>10</v>
      </c>
      <c r="D944">
        <v>2</v>
      </c>
      <c r="E944" t="s">
        <v>152</v>
      </c>
      <c r="F944" t="s">
        <v>153</v>
      </c>
      <c r="G944" t="s">
        <v>154</v>
      </c>
      <c r="H944">
        <v>1526006447</v>
      </c>
      <c r="I944">
        <v>1000006717</v>
      </c>
      <c r="L944" t="s">
        <v>348</v>
      </c>
      <c r="M944">
        <v>5100001928</v>
      </c>
      <c r="N944" t="s">
        <v>155</v>
      </c>
      <c r="O944" t="s">
        <v>156</v>
      </c>
      <c r="P944">
        <v>4110057393</v>
      </c>
      <c r="Q944" t="s">
        <v>192</v>
      </c>
      <c r="R944">
        <v>5000</v>
      </c>
      <c r="S944" t="s">
        <v>166</v>
      </c>
      <c r="V944" t="s">
        <v>167</v>
      </c>
      <c r="W944">
        <v>1502020122</v>
      </c>
      <c r="X944" t="s">
        <v>70</v>
      </c>
      <c r="Y944" t="str">
        <f>VLOOKUP(W944,Sheet4!$A$5:$B$71,2,0)</f>
        <v>MAX UG NEW EV</v>
      </c>
      <c r="Z944">
        <v>87082900</v>
      </c>
      <c r="AA944">
        <v>10</v>
      </c>
      <c r="AB944" t="s">
        <v>159</v>
      </c>
      <c r="AC944" s="24">
        <v>9566.51</v>
      </c>
      <c r="AD944" t="s">
        <v>160</v>
      </c>
      <c r="AE944" s="24">
        <v>95665.1</v>
      </c>
      <c r="AF944">
        <v>0</v>
      </c>
      <c r="AG944" s="24">
        <v>95665.1</v>
      </c>
      <c r="AH944">
        <v>0</v>
      </c>
      <c r="AI944">
        <v>0</v>
      </c>
      <c r="AJ944">
        <v>0</v>
      </c>
      <c r="AK944">
        <v>0</v>
      </c>
      <c r="AL944" s="24">
        <v>95665.1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 s="24">
        <v>95665.1</v>
      </c>
      <c r="AV944">
        <v>0</v>
      </c>
      <c r="AW944">
        <v>0</v>
      </c>
      <c r="AX944">
        <v>311000</v>
      </c>
      <c r="AY944" t="s">
        <v>161</v>
      </c>
      <c r="AZ944">
        <v>0</v>
      </c>
      <c r="BA944">
        <v>61</v>
      </c>
      <c r="BB944">
        <v>-61</v>
      </c>
      <c r="BC944" t="s">
        <v>193</v>
      </c>
      <c r="BD944">
        <v>1509</v>
      </c>
      <c r="BE944" t="s">
        <v>169</v>
      </c>
      <c r="BF944" t="s">
        <v>163</v>
      </c>
      <c r="BG944" t="s">
        <v>164</v>
      </c>
    </row>
    <row r="945" spans="1:59">
      <c r="A945">
        <v>1115</v>
      </c>
      <c r="B945">
        <v>1115</v>
      </c>
      <c r="C945">
        <v>10</v>
      </c>
      <c r="D945">
        <v>2</v>
      </c>
      <c r="E945" t="s">
        <v>152</v>
      </c>
      <c r="F945" t="s">
        <v>153</v>
      </c>
      <c r="G945" t="s">
        <v>154</v>
      </c>
      <c r="H945">
        <v>1526006446</v>
      </c>
      <c r="I945">
        <v>1000006716</v>
      </c>
      <c r="L945" t="s">
        <v>348</v>
      </c>
      <c r="M945">
        <v>5100001928</v>
      </c>
      <c r="N945" t="s">
        <v>155</v>
      </c>
      <c r="O945" t="s">
        <v>156</v>
      </c>
      <c r="P945">
        <v>4110057393</v>
      </c>
      <c r="Q945" t="s">
        <v>192</v>
      </c>
      <c r="R945">
        <v>5000</v>
      </c>
      <c r="S945" t="s">
        <v>166</v>
      </c>
      <c r="V945" t="s">
        <v>167</v>
      </c>
      <c r="W945">
        <v>1502020122</v>
      </c>
      <c r="X945" t="s">
        <v>70</v>
      </c>
      <c r="Y945" t="str">
        <f>VLOOKUP(W945,Sheet4!$A$5:$B$71,2,0)</f>
        <v>MAX UG NEW EV</v>
      </c>
      <c r="Z945">
        <v>87082900</v>
      </c>
      <c r="AA945">
        <v>10</v>
      </c>
      <c r="AB945" t="s">
        <v>159</v>
      </c>
      <c r="AC945" s="24">
        <v>9566.51</v>
      </c>
      <c r="AD945" t="s">
        <v>160</v>
      </c>
      <c r="AE945" s="24">
        <v>95665.1</v>
      </c>
      <c r="AF945">
        <v>0</v>
      </c>
      <c r="AG945" s="24">
        <v>95665.1</v>
      </c>
      <c r="AH945">
        <v>0</v>
      </c>
      <c r="AI945">
        <v>0</v>
      </c>
      <c r="AJ945">
        <v>0</v>
      </c>
      <c r="AK945">
        <v>0</v>
      </c>
      <c r="AL945" s="24">
        <v>95665.1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 s="24">
        <v>95665.1</v>
      </c>
      <c r="AV945">
        <v>0</v>
      </c>
      <c r="AW945">
        <v>0</v>
      </c>
      <c r="AX945">
        <v>311000</v>
      </c>
      <c r="AY945" t="s">
        <v>161</v>
      </c>
      <c r="AZ945">
        <v>0</v>
      </c>
      <c r="BA945">
        <v>61</v>
      </c>
      <c r="BB945">
        <v>-61</v>
      </c>
      <c r="BC945" t="s">
        <v>193</v>
      </c>
      <c r="BD945">
        <v>1509</v>
      </c>
      <c r="BE945" t="s">
        <v>169</v>
      </c>
      <c r="BF945" t="s">
        <v>163</v>
      </c>
      <c r="BG945" t="s">
        <v>164</v>
      </c>
    </row>
    <row r="946" spans="1:59">
      <c r="A946">
        <v>1115</v>
      </c>
      <c r="B946">
        <v>1115</v>
      </c>
      <c r="C946">
        <v>10</v>
      </c>
      <c r="D946">
        <v>2</v>
      </c>
      <c r="E946" t="s">
        <v>152</v>
      </c>
      <c r="F946" t="s">
        <v>153</v>
      </c>
      <c r="G946" t="s">
        <v>154</v>
      </c>
      <c r="H946">
        <v>1526006445</v>
      </c>
      <c r="I946">
        <v>1000006715</v>
      </c>
      <c r="L946" t="s">
        <v>348</v>
      </c>
      <c r="M946">
        <v>5100001928</v>
      </c>
      <c r="N946" t="s">
        <v>155</v>
      </c>
      <c r="O946" t="s">
        <v>156</v>
      </c>
      <c r="P946">
        <v>4110057393</v>
      </c>
      <c r="Q946" t="s">
        <v>192</v>
      </c>
      <c r="R946">
        <v>5000</v>
      </c>
      <c r="S946" t="s">
        <v>166</v>
      </c>
      <c r="V946" t="s">
        <v>167</v>
      </c>
      <c r="W946">
        <v>1502020122</v>
      </c>
      <c r="X946" t="s">
        <v>70</v>
      </c>
      <c r="Y946" t="str">
        <f>VLOOKUP(W946,Sheet4!$A$5:$B$71,2,0)</f>
        <v>MAX UG NEW EV</v>
      </c>
      <c r="Z946">
        <v>87082900</v>
      </c>
      <c r="AA946">
        <v>10</v>
      </c>
      <c r="AB946" t="s">
        <v>159</v>
      </c>
      <c r="AC946" s="24">
        <v>9566.51</v>
      </c>
      <c r="AD946" t="s">
        <v>160</v>
      </c>
      <c r="AE946" s="24">
        <v>95665.1</v>
      </c>
      <c r="AF946">
        <v>0</v>
      </c>
      <c r="AG946" s="24">
        <v>95665.1</v>
      </c>
      <c r="AH946">
        <v>0</v>
      </c>
      <c r="AI946">
        <v>0</v>
      </c>
      <c r="AJ946">
        <v>0</v>
      </c>
      <c r="AK946">
        <v>0</v>
      </c>
      <c r="AL946" s="24">
        <v>95665.1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 s="24">
        <v>95665.1</v>
      </c>
      <c r="AV946">
        <v>0</v>
      </c>
      <c r="AW946">
        <v>0</v>
      </c>
      <c r="AX946">
        <v>311000</v>
      </c>
      <c r="AY946" t="s">
        <v>161</v>
      </c>
      <c r="AZ946">
        <v>0</v>
      </c>
      <c r="BA946">
        <v>61</v>
      </c>
      <c r="BB946">
        <v>-61</v>
      </c>
      <c r="BC946" t="s">
        <v>193</v>
      </c>
      <c r="BD946">
        <v>1509</v>
      </c>
      <c r="BE946" t="s">
        <v>169</v>
      </c>
      <c r="BF946" t="s">
        <v>163</v>
      </c>
      <c r="BG946" t="s">
        <v>164</v>
      </c>
    </row>
    <row r="947" spans="1:59">
      <c r="A947">
        <v>1115</v>
      </c>
      <c r="B947">
        <v>1115</v>
      </c>
      <c r="C947">
        <v>10</v>
      </c>
      <c r="D947">
        <v>2</v>
      </c>
      <c r="E947" t="s">
        <v>152</v>
      </c>
      <c r="F947" t="s">
        <v>153</v>
      </c>
      <c r="G947" t="s">
        <v>154</v>
      </c>
      <c r="H947">
        <v>1526006444</v>
      </c>
      <c r="I947">
        <v>1000006714</v>
      </c>
      <c r="L947" t="s">
        <v>348</v>
      </c>
      <c r="M947">
        <v>5100001928</v>
      </c>
      <c r="N947" t="s">
        <v>155</v>
      </c>
      <c r="O947" t="s">
        <v>156</v>
      </c>
      <c r="P947">
        <v>4110057393</v>
      </c>
      <c r="Q947" t="s">
        <v>192</v>
      </c>
      <c r="R947">
        <v>5000</v>
      </c>
      <c r="S947" t="s">
        <v>166</v>
      </c>
      <c r="V947" t="s">
        <v>167</v>
      </c>
      <c r="W947">
        <v>1502020122</v>
      </c>
      <c r="X947" t="s">
        <v>70</v>
      </c>
      <c r="Y947" t="str">
        <f>VLOOKUP(W947,Sheet4!$A$5:$B$71,2,0)</f>
        <v>MAX UG NEW EV</v>
      </c>
      <c r="Z947">
        <v>87082900</v>
      </c>
      <c r="AA947">
        <v>10</v>
      </c>
      <c r="AB947" t="s">
        <v>159</v>
      </c>
      <c r="AC947" s="24">
        <v>9566.51</v>
      </c>
      <c r="AD947" t="s">
        <v>160</v>
      </c>
      <c r="AE947" s="24">
        <v>95665.1</v>
      </c>
      <c r="AF947">
        <v>0</v>
      </c>
      <c r="AG947" s="24">
        <v>95665.1</v>
      </c>
      <c r="AH947">
        <v>0</v>
      </c>
      <c r="AI947">
        <v>0</v>
      </c>
      <c r="AJ947">
        <v>0</v>
      </c>
      <c r="AK947">
        <v>0</v>
      </c>
      <c r="AL947" s="24">
        <v>95665.1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 s="24">
        <v>95665.1</v>
      </c>
      <c r="AV947">
        <v>0</v>
      </c>
      <c r="AW947">
        <v>0</v>
      </c>
      <c r="AX947">
        <v>311000</v>
      </c>
      <c r="AY947" t="s">
        <v>161</v>
      </c>
      <c r="AZ947">
        <v>0</v>
      </c>
      <c r="BA947">
        <v>61</v>
      </c>
      <c r="BB947">
        <v>-61</v>
      </c>
      <c r="BC947" t="s">
        <v>193</v>
      </c>
      <c r="BD947">
        <v>1509</v>
      </c>
      <c r="BE947" t="s">
        <v>169</v>
      </c>
      <c r="BF947" t="s">
        <v>163</v>
      </c>
      <c r="BG947" t="s">
        <v>164</v>
      </c>
    </row>
    <row r="948" spans="1:59">
      <c r="A948">
        <v>1115</v>
      </c>
      <c r="B948">
        <v>1115</v>
      </c>
      <c r="C948">
        <v>10</v>
      </c>
      <c r="D948">
        <v>2</v>
      </c>
      <c r="E948" t="s">
        <v>152</v>
      </c>
      <c r="F948" t="s">
        <v>153</v>
      </c>
      <c r="G948" t="s">
        <v>154</v>
      </c>
      <c r="H948">
        <v>1526006443</v>
      </c>
      <c r="I948">
        <v>1000006713</v>
      </c>
      <c r="L948" t="s">
        <v>348</v>
      </c>
      <c r="M948">
        <v>5100001943</v>
      </c>
      <c r="N948" t="s">
        <v>155</v>
      </c>
      <c r="O948" t="s">
        <v>156</v>
      </c>
      <c r="P948">
        <v>4110061540</v>
      </c>
      <c r="Q948" t="s">
        <v>349</v>
      </c>
      <c r="R948">
        <v>5000</v>
      </c>
      <c r="S948" t="s">
        <v>166</v>
      </c>
      <c r="V948" t="s">
        <v>167</v>
      </c>
      <c r="W948">
        <v>1502020117</v>
      </c>
      <c r="X948" t="s">
        <v>210</v>
      </c>
      <c r="Y948" t="str">
        <f>VLOOKUP(W948,Sheet4!$A$5:$B$71,2,0)</f>
        <v>MAXIMA HD</v>
      </c>
      <c r="Z948">
        <v>87082900</v>
      </c>
      <c r="AA948">
        <v>8</v>
      </c>
      <c r="AB948" t="s">
        <v>159</v>
      </c>
      <c r="AC948" s="24">
        <v>8350.51</v>
      </c>
      <c r="AD948" t="s">
        <v>160</v>
      </c>
      <c r="AE948" s="24">
        <v>66804.08</v>
      </c>
      <c r="AF948">
        <v>0</v>
      </c>
      <c r="AG948" s="24">
        <v>66804.08</v>
      </c>
      <c r="AH948">
        <v>0</v>
      </c>
      <c r="AI948">
        <v>0</v>
      </c>
      <c r="AJ948">
        <v>0</v>
      </c>
      <c r="AK948">
        <v>0</v>
      </c>
      <c r="AL948" s="24">
        <v>66804.08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s="24">
        <v>66804.08</v>
      </c>
      <c r="AV948">
        <v>0</v>
      </c>
      <c r="AW948">
        <v>0</v>
      </c>
      <c r="AX948">
        <v>311000</v>
      </c>
      <c r="AY948" t="s">
        <v>161</v>
      </c>
      <c r="AZ948">
        <v>63</v>
      </c>
      <c r="BA948">
        <v>63</v>
      </c>
      <c r="BB948">
        <v>0</v>
      </c>
      <c r="BC948" t="s">
        <v>350</v>
      </c>
      <c r="BD948">
        <v>1509</v>
      </c>
      <c r="BE948" t="s">
        <v>169</v>
      </c>
      <c r="BF948" t="s">
        <v>163</v>
      </c>
      <c r="BG948" t="s">
        <v>164</v>
      </c>
    </row>
    <row r="949" spans="1:59">
      <c r="A949">
        <v>1115</v>
      </c>
      <c r="B949">
        <v>1115</v>
      </c>
      <c r="C949">
        <v>10</v>
      </c>
      <c r="D949">
        <v>2</v>
      </c>
      <c r="E949" t="s">
        <v>152</v>
      </c>
      <c r="F949" t="s">
        <v>153</v>
      </c>
      <c r="G949" t="s">
        <v>154</v>
      </c>
      <c r="H949">
        <v>1526006441</v>
      </c>
      <c r="I949">
        <v>1000006712</v>
      </c>
      <c r="L949" t="s">
        <v>348</v>
      </c>
      <c r="M949">
        <v>5100001943</v>
      </c>
      <c r="N949" t="s">
        <v>155</v>
      </c>
      <c r="O949" t="s">
        <v>156</v>
      </c>
      <c r="P949">
        <v>4110061540</v>
      </c>
      <c r="Q949" t="s">
        <v>349</v>
      </c>
      <c r="R949">
        <v>5000</v>
      </c>
      <c r="S949" t="s">
        <v>166</v>
      </c>
      <c r="V949" t="s">
        <v>167</v>
      </c>
      <c r="W949">
        <v>1502020117</v>
      </c>
      <c r="X949" t="s">
        <v>210</v>
      </c>
      <c r="Y949" t="str">
        <f>VLOOKUP(W949,Sheet4!$A$5:$B$71,2,0)</f>
        <v>MAXIMA HD</v>
      </c>
      <c r="Z949">
        <v>87082900</v>
      </c>
      <c r="AA949">
        <v>8</v>
      </c>
      <c r="AB949" t="s">
        <v>159</v>
      </c>
      <c r="AC949" s="24">
        <v>8350.51</v>
      </c>
      <c r="AD949" t="s">
        <v>160</v>
      </c>
      <c r="AE949" s="24">
        <v>66804.08</v>
      </c>
      <c r="AF949">
        <v>0</v>
      </c>
      <c r="AG949" s="24">
        <v>66804.08</v>
      </c>
      <c r="AH949">
        <v>0</v>
      </c>
      <c r="AI949">
        <v>0</v>
      </c>
      <c r="AJ949">
        <v>0</v>
      </c>
      <c r="AK949">
        <v>0</v>
      </c>
      <c r="AL949" s="24">
        <v>66804.08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 s="24">
        <v>66804.08</v>
      </c>
      <c r="AV949">
        <v>0</v>
      </c>
      <c r="AW949">
        <v>0</v>
      </c>
      <c r="AX949">
        <v>311000</v>
      </c>
      <c r="AY949" t="s">
        <v>161</v>
      </c>
      <c r="AZ949">
        <v>63</v>
      </c>
      <c r="BA949">
        <v>63</v>
      </c>
      <c r="BB949">
        <v>0</v>
      </c>
      <c r="BC949" t="s">
        <v>350</v>
      </c>
      <c r="BD949">
        <v>1509</v>
      </c>
      <c r="BE949" t="s">
        <v>169</v>
      </c>
      <c r="BF949" t="s">
        <v>163</v>
      </c>
      <c r="BG949" t="s">
        <v>164</v>
      </c>
    </row>
    <row r="950" spans="1:59">
      <c r="A950">
        <v>1115</v>
      </c>
      <c r="B950">
        <v>1115</v>
      </c>
      <c r="C950">
        <v>10</v>
      </c>
      <c r="D950">
        <v>2</v>
      </c>
      <c r="E950" t="s">
        <v>152</v>
      </c>
      <c r="F950" t="s">
        <v>153</v>
      </c>
      <c r="G950" t="s">
        <v>154</v>
      </c>
      <c r="H950">
        <v>1526006440</v>
      </c>
      <c r="I950">
        <v>1000006711</v>
      </c>
      <c r="L950" t="s">
        <v>348</v>
      </c>
      <c r="M950">
        <v>5100001636</v>
      </c>
      <c r="N950" t="s">
        <v>155</v>
      </c>
      <c r="O950" t="s">
        <v>156</v>
      </c>
      <c r="P950">
        <v>4110026445</v>
      </c>
      <c r="Q950" t="s">
        <v>170</v>
      </c>
      <c r="R950">
        <v>5000</v>
      </c>
      <c r="S950" t="s">
        <v>166</v>
      </c>
      <c r="V950" t="s">
        <v>167</v>
      </c>
      <c r="W950">
        <v>1502020104</v>
      </c>
      <c r="X950" t="s">
        <v>26</v>
      </c>
      <c r="Y950" t="str">
        <f>VLOOKUP(W950,Sheet4!$A$5:$B$71,2,0)</f>
        <v>RE STYLING</v>
      </c>
      <c r="Z950">
        <v>87082900</v>
      </c>
      <c r="AA950">
        <v>15</v>
      </c>
      <c r="AB950" t="s">
        <v>159</v>
      </c>
      <c r="AC950" s="24">
        <v>6585.55</v>
      </c>
      <c r="AD950" t="s">
        <v>160</v>
      </c>
      <c r="AE950" s="24">
        <v>98783.25</v>
      </c>
      <c r="AF950">
        <v>0</v>
      </c>
      <c r="AG950" s="24">
        <v>98783.25</v>
      </c>
      <c r="AH950">
        <v>0</v>
      </c>
      <c r="AI950">
        <v>0</v>
      </c>
      <c r="AJ950">
        <v>0</v>
      </c>
      <c r="AK950">
        <v>0</v>
      </c>
      <c r="AL950" s="24">
        <v>98783.25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 s="24">
        <v>98783.25</v>
      </c>
      <c r="AV950">
        <v>0</v>
      </c>
      <c r="AW950">
        <v>0</v>
      </c>
      <c r="AX950">
        <v>311000</v>
      </c>
      <c r="AY950" t="s">
        <v>161</v>
      </c>
      <c r="AZ950">
        <v>49.75</v>
      </c>
      <c r="BA950">
        <v>49.75</v>
      </c>
      <c r="BB950">
        <v>0</v>
      </c>
      <c r="BC950" t="s">
        <v>171</v>
      </c>
      <c r="BD950">
        <v>1509</v>
      </c>
      <c r="BE950" t="s">
        <v>169</v>
      </c>
      <c r="BF950" t="s">
        <v>163</v>
      </c>
      <c r="BG950" t="s">
        <v>164</v>
      </c>
    </row>
    <row r="951" spans="1:59">
      <c r="A951">
        <v>1115</v>
      </c>
      <c r="B951">
        <v>1115</v>
      </c>
      <c r="C951">
        <v>10</v>
      </c>
      <c r="D951">
        <v>2</v>
      </c>
      <c r="E951" t="s">
        <v>152</v>
      </c>
      <c r="F951" t="s">
        <v>153</v>
      </c>
      <c r="G951" t="s">
        <v>154</v>
      </c>
      <c r="H951">
        <v>1526006439</v>
      </c>
      <c r="I951">
        <v>1000006710</v>
      </c>
      <c r="L951" t="s">
        <v>348</v>
      </c>
      <c r="M951">
        <v>5100001636</v>
      </c>
      <c r="N951" t="s">
        <v>155</v>
      </c>
      <c r="O951" t="s">
        <v>156</v>
      </c>
      <c r="P951">
        <v>4110026445</v>
      </c>
      <c r="Q951" t="s">
        <v>170</v>
      </c>
      <c r="R951">
        <v>5000</v>
      </c>
      <c r="S951" t="s">
        <v>166</v>
      </c>
      <c r="V951" t="s">
        <v>167</v>
      </c>
      <c r="W951">
        <v>1502020104</v>
      </c>
      <c r="X951" t="s">
        <v>26</v>
      </c>
      <c r="Y951" t="str">
        <f>VLOOKUP(W951,Sheet4!$A$5:$B$71,2,0)</f>
        <v>RE STYLING</v>
      </c>
      <c r="Z951">
        <v>87082900</v>
      </c>
      <c r="AA951">
        <v>15</v>
      </c>
      <c r="AB951" t="s">
        <v>159</v>
      </c>
      <c r="AC951" s="24">
        <v>6585.55</v>
      </c>
      <c r="AD951" t="s">
        <v>160</v>
      </c>
      <c r="AE951" s="24">
        <v>98783.25</v>
      </c>
      <c r="AF951">
        <v>0</v>
      </c>
      <c r="AG951" s="24">
        <v>98783.25</v>
      </c>
      <c r="AH951">
        <v>0</v>
      </c>
      <c r="AI951">
        <v>0</v>
      </c>
      <c r="AJ951">
        <v>0</v>
      </c>
      <c r="AK951">
        <v>0</v>
      </c>
      <c r="AL951" s="24">
        <v>98783.25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 s="24">
        <v>98783.25</v>
      </c>
      <c r="AV951">
        <v>0</v>
      </c>
      <c r="AW951">
        <v>0</v>
      </c>
      <c r="AX951">
        <v>311000</v>
      </c>
      <c r="AY951" t="s">
        <v>161</v>
      </c>
      <c r="AZ951">
        <v>49.75</v>
      </c>
      <c r="BA951">
        <v>49.75</v>
      </c>
      <c r="BB951">
        <v>0</v>
      </c>
      <c r="BC951" t="s">
        <v>171</v>
      </c>
      <c r="BD951">
        <v>1509</v>
      </c>
      <c r="BE951" t="s">
        <v>169</v>
      </c>
      <c r="BF951" t="s">
        <v>163</v>
      </c>
      <c r="BG951" t="s">
        <v>164</v>
      </c>
    </row>
    <row r="952" spans="1:59">
      <c r="A952">
        <v>1115</v>
      </c>
      <c r="B952">
        <v>1115</v>
      </c>
      <c r="C952">
        <v>10</v>
      </c>
      <c r="D952">
        <v>2</v>
      </c>
      <c r="E952" t="s">
        <v>152</v>
      </c>
      <c r="F952" t="s">
        <v>153</v>
      </c>
      <c r="G952" t="s">
        <v>154</v>
      </c>
      <c r="H952">
        <v>1526006438</v>
      </c>
      <c r="I952">
        <v>1000006709</v>
      </c>
      <c r="L952" t="s">
        <v>348</v>
      </c>
      <c r="M952">
        <v>5100001636</v>
      </c>
      <c r="N952" t="s">
        <v>155</v>
      </c>
      <c r="O952" t="s">
        <v>156</v>
      </c>
      <c r="P952">
        <v>4110026445</v>
      </c>
      <c r="Q952" t="s">
        <v>170</v>
      </c>
      <c r="R952">
        <v>5000</v>
      </c>
      <c r="S952" t="s">
        <v>166</v>
      </c>
      <c r="V952" t="s">
        <v>167</v>
      </c>
      <c r="W952">
        <v>1502020104</v>
      </c>
      <c r="X952" t="s">
        <v>26</v>
      </c>
      <c r="Y952" t="str">
        <f>VLOOKUP(W952,Sheet4!$A$5:$B$71,2,0)</f>
        <v>RE STYLING</v>
      </c>
      <c r="Z952">
        <v>87082900</v>
      </c>
      <c r="AA952">
        <v>15</v>
      </c>
      <c r="AB952" t="s">
        <v>159</v>
      </c>
      <c r="AC952" s="24">
        <v>6585.55</v>
      </c>
      <c r="AD952" t="s">
        <v>160</v>
      </c>
      <c r="AE952" s="24">
        <v>98783.25</v>
      </c>
      <c r="AF952">
        <v>0</v>
      </c>
      <c r="AG952" s="24">
        <v>98783.25</v>
      </c>
      <c r="AH952">
        <v>0</v>
      </c>
      <c r="AI952">
        <v>0</v>
      </c>
      <c r="AJ952">
        <v>0</v>
      </c>
      <c r="AK952">
        <v>0</v>
      </c>
      <c r="AL952" s="24">
        <v>98783.25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 s="24">
        <v>98783.25</v>
      </c>
      <c r="AV952">
        <v>0</v>
      </c>
      <c r="AW952">
        <v>0</v>
      </c>
      <c r="AX952">
        <v>311000</v>
      </c>
      <c r="AY952" t="s">
        <v>161</v>
      </c>
      <c r="AZ952">
        <v>49.75</v>
      </c>
      <c r="BA952">
        <v>49.75</v>
      </c>
      <c r="BB952">
        <v>0</v>
      </c>
      <c r="BC952" t="s">
        <v>171</v>
      </c>
      <c r="BD952">
        <v>1509</v>
      </c>
      <c r="BE952" t="s">
        <v>169</v>
      </c>
      <c r="BF952" t="s">
        <v>163</v>
      </c>
      <c r="BG952" t="s">
        <v>164</v>
      </c>
    </row>
    <row r="953" spans="1:59">
      <c r="A953">
        <v>1115</v>
      </c>
      <c r="B953">
        <v>1115</v>
      </c>
      <c r="C953">
        <v>10</v>
      </c>
      <c r="D953">
        <v>2</v>
      </c>
      <c r="E953" t="s">
        <v>152</v>
      </c>
      <c r="F953" t="s">
        <v>153</v>
      </c>
      <c r="G953" t="s">
        <v>154</v>
      </c>
      <c r="H953">
        <v>1526006437</v>
      </c>
      <c r="I953">
        <v>1000006708</v>
      </c>
      <c r="L953" t="s">
        <v>348</v>
      </c>
      <c r="M953">
        <v>5100001928</v>
      </c>
      <c r="N953" t="s">
        <v>155</v>
      </c>
      <c r="O953" t="s">
        <v>156</v>
      </c>
      <c r="P953">
        <v>4110057393</v>
      </c>
      <c r="Q953" t="s">
        <v>192</v>
      </c>
      <c r="R953">
        <v>5000</v>
      </c>
      <c r="S953" t="s">
        <v>166</v>
      </c>
      <c r="V953" t="s">
        <v>167</v>
      </c>
      <c r="W953">
        <v>1502020122</v>
      </c>
      <c r="X953" t="s">
        <v>70</v>
      </c>
      <c r="Y953" t="str">
        <f>VLOOKUP(W953,Sheet4!$A$5:$B$71,2,0)</f>
        <v>MAX UG NEW EV</v>
      </c>
      <c r="Z953">
        <v>87082900</v>
      </c>
      <c r="AA953">
        <v>10</v>
      </c>
      <c r="AB953" t="s">
        <v>159</v>
      </c>
      <c r="AC953" s="24">
        <v>9566.51</v>
      </c>
      <c r="AD953" t="s">
        <v>160</v>
      </c>
      <c r="AE953" s="24">
        <v>95665.1</v>
      </c>
      <c r="AF953">
        <v>0</v>
      </c>
      <c r="AG953" s="24">
        <v>95665.1</v>
      </c>
      <c r="AH953">
        <v>0</v>
      </c>
      <c r="AI953">
        <v>0</v>
      </c>
      <c r="AJ953">
        <v>0</v>
      </c>
      <c r="AK953">
        <v>0</v>
      </c>
      <c r="AL953" s="24">
        <v>95665.1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s="24">
        <v>95665.1</v>
      </c>
      <c r="AV953">
        <v>0</v>
      </c>
      <c r="AW953">
        <v>0</v>
      </c>
      <c r="AX953">
        <v>311000</v>
      </c>
      <c r="AY953" t="s">
        <v>161</v>
      </c>
      <c r="AZ953">
        <v>0</v>
      </c>
      <c r="BA953">
        <v>61</v>
      </c>
      <c r="BB953">
        <v>-61</v>
      </c>
      <c r="BC953" t="s">
        <v>193</v>
      </c>
      <c r="BD953">
        <v>1509</v>
      </c>
      <c r="BE953" t="s">
        <v>169</v>
      </c>
      <c r="BF953" t="s">
        <v>163</v>
      </c>
      <c r="BG953" t="s">
        <v>164</v>
      </c>
    </row>
    <row r="954" spans="1:59">
      <c r="A954">
        <v>1115</v>
      </c>
      <c r="B954">
        <v>1115</v>
      </c>
      <c r="C954">
        <v>10</v>
      </c>
      <c r="D954">
        <v>2</v>
      </c>
      <c r="E954" t="s">
        <v>152</v>
      </c>
      <c r="F954" t="s">
        <v>153</v>
      </c>
      <c r="G954" t="s">
        <v>154</v>
      </c>
      <c r="H954">
        <v>1526006436</v>
      </c>
      <c r="I954">
        <v>1000006707</v>
      </c>
      <c r="L954" t="s">
        <v>348</v>
      </c>
      <c r="M954">
        <v>5100001666</v>
      </c>
      <c r="N954" t="s">
        <v>155</v>
      </c>
      <c r="O954" t="s">
        <v>156</v>
      </c>
      <c r="P954">
        <v>4110027035</v>
      </c>
      <c r="Q954" t="s">
        <v>225</v>
      </c>
      <c r="R954">
        <v>5000</v>
      </c>
      <c r="S954" t="s">
        <v>166</v>
      </c>
      <c r="V954" t="s">
        <v>167</v>
      </c>
      <c r="W954">
        <v>1502020105</v>
      </c>
      <c r="X954" t="s">
        <v>226</v>
      </c>
      <c r="Y954" t="str">
        <f>VLOOKUP(W954,Sheet4!$A$5:$B$71,2,0)</f>
        <v>RE STYLING</v>
      </c>
      <c r="Z954">
        <v>87082900</v>
      </c>
      <c r="AA954">
        <v>3</v>
      </c>
      <c r="AB954" t="s">
        <v>159</v>
      </c>
      <c r="AC954" s="24">
        <v>6570.77</v>
      </c>
      <c r="AD954" t="s">
        <v>160</v>
      </c>
      <c r="AE954" s="24">
        <v>19712.310000000001</v>
      </c>
      <c r="AF954">
        <v>0</v>
      </c>
      <c r="AG954" s="24">
        <v>19712.310000000001</v>
      </c>
      <c r="AH954">
        <v>0</v>
      </c>
      <c r="AI954">
        <v>0</v>
      </c>
      <c r="AJ954">
        <v>0</v>
      </c>
      <c r="AK954">
        <v>0</v>
      </c>
      <c r="AL954" s="24">
        <v>19712.310000000001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 s="24">
        <v>19712.310000000001</v>
      </c>
      <c r="AV954">
        <v>0</v>
      </c>
      <c r="AW954">
        <v>0</v>
      </c>
      <c r="AX954">
        <v>311000</v>
      </c>
      <c r="AY954" t="s">
        <v>161</v>
      </c>
      <c r="AZ954">
        <v>49.75</v>
      </c>
      <c r="BA954">
        <v>49.75</v>
      </c>
      <c r="BB954">
        <v>0</v>
      </c>
      <c r="BC954" t="s">
        <v>227</v>
      </c>
      <c r="BD954">
        <v>1509</v>
      </c>
      <c r="BE954" t="s">
        <v>169</v>
      </c>
      <c r="BF954" t="s">
        <v>163</v>
      </c>
      <c r="BG954" t="s">
        <v>164</v>
      </c>
    </row>
    <row r="955" spans="1:59">
      <c r="A955">
        <v>1115</v>
      </c>
      <c r="B955">
        <v>1115</v>
      </c>
      <c r="C955">
        <v>10</v>
      </c>
      <c r="D955">
        <v>2</v>
      </c>
      <c r="E955" t="s">
        <v>152</v>
      </c>
      <c r="F955" t="s">
        <v>153</v>
      </c>
      <c r="G955" t="s">
        <v>154</v>
      </c>
      <c r="H955">
        <v>1526006434</v>
      </c>
      <c r="I955">
        <v>1000006705</v>
      </c>
      <c r="L955" t="s">
        <v>348</v>
      </c>
      <c r="M955">
        <v>5100001928</v>
      </c>
      <c r="N955" t="s">
        <v>155</v>
      </c>
      <c r="O955" t="s">
        <v>156</v>
      </c>
      <c r="P955">
        <v>4110057393</v>
      </c>
      <c r="Q955" t="s">
        <v>192</v>
      </c>
      <c r="R955">
        <v>5000</v>
      </c>
      <c r="S955" t="s">
        <v>166</v>
      </c>
      <c r="V955" t="s">
        <v>167</v>
      </c>
      <c r="W955">
        <v>1502020122</v>
      </c>
      <c r="X955" t="s">
        <v>70</v>
      </c>
      <c r="Y955" t="str">
        <f>VLOOKUP(W955,Sheet4!$A$5:$B$71,2,0)</f>
        <v>MAX UG NEW EV</v>
      </c>
      <c r="Z955">
        <v>87082900</v>
      </c>
      <c r="AA955">
        <v>10</v>
      </c>
      <c r="AB955" t="s">
        <v>159</v>
      </c>
      <c r="AC955" s="24">
        <v>9566.51</v>
      </c>
      <c r="AD955" t="s">
        <v>160</v>
      </c>
      <c r="AE955" s="24">
        <v>95665.1</v>
      </c>
      <c r="AF955">
        <v>0</v>
      </c>
      <c r="AG955" s="24">
        <v>95665.1</v>
      </c>
      <c r="AH955">
        <v>0</v>
      </c>
      <c r="AI955">
        <v>0</v>
      </c>
      <c r="AJ955">
        <v>0</v>
      </c>
      <c r="AK955">
        <v>0</v>
      </c>
      <c r="AL955" s="24">
        <v>95665.1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 s="24">
        <v>95665.1</v>
      </c>
      <c r="AV955">
        <v>0</v>
      </c>
      <c r="AW955">
        <v>0</v>
      </c>
      <c r="AX955">
        <v>311000</v>
      </c>
      <c r="AY955" t="s">
        <v>161</v>
      </c>
      <c r="AZ955">
        <v>0</v>
      </c>
      <c r="BA955">
        <v>61</v>
      </c>
      <c r="BB955">
        <v>-61</v>
      </c>
      <c r="BC955" t="s">
        <v>193</v>
      </c>
      <c r="BD955">
        <v>1509</v>
      </c>
      <c r="BE955" t="s">
        <v>169</v>
      </c>
      <c r="BF955" t="s">
        <v>163</v>
      </c>
      <c r="BG955" t="s">
        <v>164</v>
      </c>
    </row>
    <row r="956" spans="1:59">
      <c r="A956">
        <v>1115</v>
      </c>
      <c r="B956">
        <v>1115</v>
      </c>
      <c r="C956">
        <v>10</v>
      </c>
      <c r="D956">
        <v>2</v>
      </c>
      <c r="E956" t="s">
        <v>152</v>
      </c>
      <c r="F956" t="s">
        <v>153</v>
      </c>
      <c r="G956" t="s">
        <v>154</v>
      </c>
      <c r="H956">
        <v>1526006433</v>
      </c>
      <c r="I956">
        <v>1000006704</v>
      </c>
      <c r="L956" t="s">
        <v>348</v>
      </c>
      <c r="M956">
        <v>5100001603</v>
      </c>
      <c r="N956" t="s">
        <v>155</v>
      </c>
      <c r="O956" t="s">
        <v>156</v>
      </c>
      <c r="P956">
        <v>4110025468</v>
      </c>
      <c r="Q956" t="s">
        <v>165</v>
      </c>
      <c r="R956">
        <v>5000</v>
      </c>
      <c r="S956" t="s">
        <v>166</v>
      </c>
      <c r="V956" t="s">
        <v>167</v>
      </c>
      <c r="W956">
        <v>1502020102</v>
      </c>
      <c r="X956" t="s">
        <v>58</v>
      </c>
      <c r="Y956" t="str">
        <f>VLOOKUP(W956,Sheet4!$A$5:$B$71,2,0)</f>
        <v>MAXIMA HD</v>
      </c>
      <c r="Z956">
        <v>87082900</v>
      </c>
      <c r="AA956">
        <v>8</v>
      </c>
      <c r="AB956" t="s">
        <v>159</v>
      </c>
      <c r="AC956" s="24">
        <v>8593.51</v>
      </c>
      <c r="AD956" t="s">
        <v>160</v>
      </c>
      <c r="AE956" s="24">
        <v>68748.08</v>
      </c>
      <c r="AF956">
        <v>0</v>
      </c>
      <c r="AG956" s="24">
        <v>68748.08</v>
      </c>
      <c r="AH956">
        <v>0</v>
      </c>
      <c r="AI956">
        <v>0</v>
      </c>
      <c r="AJ956">
        <v>0</v>
      </c>
      <c r="AK956">
        <v>0</v>
      </c>
      <c r="AL956" s="24">
        <v>68748.08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 s="24">
        <v>68748.08</v>
      </c>
      <c r="AV956">
        <v>0</v>
      </c>
      <c r="AW956">
        <v>0</v>
      </c>
      <c r="AX956">
        <v>311000</v>
      </c>
      <c r="AY956" t="s">
        <v>161</v>
      </c>
      <c r="AZ956">
        <v>93.34</v>
      </c>
      <c r="BA956">
        <v>75.430000000000007</v>
      </c>
      <c r="BB956">
        <v>17.91</v>
      </c>
      <c r="BC956" t="s">
        <v>168</v>
      </c>
      <c r="BD956">
        <v>1509</v>
      </c>
      <c r="BE956" t="s">
        <v>169</v>
      </c>
      <c r="BF956" t="s">
        <v>163</v>
      </c>
      <c r="BG956" t="s">
        <v>164</v>
      </c>
    </row>
    <row r="957" spans="1:59">
      <c r="A957">
        <v>1115</v>
      </c>
      <c r="B957">
        <v>1115</v>
      </c>
      <c r="C957">
        <v>10</v>
      </c>
      <c r="D957">
        <v>2</v>
      </c>
      <c r="E957" t="s">
        <v>152</v>
      </c>
      <c r="F957" t="s">
        <v>153</v>
      </c>
      <c r="G957" t="s">
        <v>154</v>
      </c>
      <c r="H957">
        <v>1526006432</v>
      </c>
      <c r="I957">
        <v>1000006703</v>
      </c>
      <c r="L957" t="s">
        <v>348</v>
      </c>
      <c r="M957">
        <v>5100001603</v>
      </c>
      <c r="N957" t="s">
        <v>155</v>
      </c>
      <c r="O957" t="s">
        <v>156</v>
      </c>
      <c r="P957">
        <v>4110025468</v>
      </c>
      <c r="Q957" t="s">
        <v>165</v>
      </c>
      <c r="R957">
        <v>5000</v>
      </c>
      <c r="S957" t="s">
        <v>166</v>
      </c>
      <c r="V957" t="s">
        <v>167</v>
      </c>
      <c r="W957">
        <v>1502020102</v>
      </c>
      <c r="X957" t="s">
        <v>58</v>
      </c>
      <c r="Y957" t="str">
        <f>VLOOKUP(W957,Sheet4!$A$5:$B$71,2,0)</f>
        <v>MAXIMA HD</v>
      </c>
      <c r="Z957">
        <v>87082900</v>
      </c>
      <c r="AA957">
        <v>8</v>
      </c>
      <c r="AB957" t="s">
        <v>159</v>
      </c>
      <c r="AC957" s="24">
        <v>8593.51</v>
      </c>
      <c r="AD957" t="s">
        <v>160</v>
      </c>
      <c r="AE957" s="24">
        <v>68748.08</v>
      </c>
      <c r="AF957">
        <v>0</v>
      </c>
      <c r="AG957" s="24">
        <v>68748.08</v>
      </c>
      <c r="AH957">
        <v>0</v>
      </c>
      <c r="AI957">
        <v>0</v>
      </c>
      <c r="AJ957">
        <v>0</v>
      </c>
      <c r="AK957">
        <v>0</v>
      </c>
      <c r="AL957" s="24">
        <v>68748.08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 s="24">
        <v>68748.08</v>
      </c>
      <c r="AV957">
        <v>0</v>
      </c>
      <c r="AW957">
        <v>0</v>
      </c>
      <c r="AX957">
        <v>311000</v>
      </c>
      <c r="AY957" t="s">
        <v>161</v>
      </c>
      <c r="AZ957">
        <v>93.34</v>
      </c>
      <c r="BA957">
        <v>75.430000000000007</v>
      </c>
      <c r="BB957">
        <v>17.91</v>
      </c>
      <c r="BC957" t="s">
        <v>168</v>
      </c>
      <c r="BD957">
        <v>1509</v>
      </c>
      <c r="BE957" t="s">
        <v>169</v>
      </c>
      <c r="BF957" t="s">
        <v>163</v>
      </c>
      <c r="BG957" t="s">
        <v>164</v>
      </c>
    </row>
    <row r="958" spans="1:59">
      <c r="A958">
        <v>1115</v>
      </c>
      <c r="B958">
        <v>1115</v>
      </c>
      <c r="C958">
        <v>10</v>
      </c>
      <c r="D958">
        <v>2</v>
      </c>
      <c r="E958" t="s">
        <v>152</v>
      </c>
      <c r="F958" t="s">
        <v>153</v>
      </c>
      <c r="G958" t="s">
        <v>154</v>
      </c>
      <c r="H958">
        <v>1526006431</v>
      </c>
      <c r="I958">
        <v>1000006702</v>
      </c>
      <c r="L958" t="s">
        <v>348</v>
      </c>
      <c r="M958">
        <v>5100001603</v>
      </c>
      <c r="N958" t="s">
        <v>155</v>
      </c>
      <c r="O958" t="s">
        <v>156</v>
      </c>
      <c r="P958">
        <v>4110025468</v>
      </c>
      <c r="Q958" t="s">
        <v>165</v>
      </c>
      <c r="R958">
        <v>5000</v>
      </c>
      <c r="S958" t="s">
        <v>166</v>
      </c>
      <c r="V958" t="s">
        <v>167</v>
      </c>
      <c r="W958">
        <v>1502020102</v>
      </c>
      <c r="X958" t="s">
        <v>58</v>
      </c>
      <c r="Y958" t="str">
        <f>VLOOKUP(W958,Sheet4!$A$5:$B$71,2,0)</f>
        <v>MAXIMA HD</v>
      </c>
      <c r="Z958">
        <v>87082900</v>
      </c>
      <c r="AA958">
        <v>8</v>
      </c>
      <c r="AB958" t="s">
        <v>159</v>
      </c>
      <c r="AC958" s="24">
        <v>8593.51</v>
      </c>
      <c r="AD958" t="s">
        <v>160</v>
      </c>
      <c r="AE958" s="24">
        <v>68748.08</v>
      </c>
      <c r="AF958">
        <v>0</v>
      </c>
      <c r="AG958" s="24">
        <v>68748.08</v>
      </c>
      <c r="AH958">
        <v>0</v>
      </c>
      <c r="AI958">
        <v>0</v>
      </c>
      <c r="AJ958">
        <v>0</v>
      </c>
      <c r="AK958">
        <v>0</v>
      </c>
      <c r="AL958" s="24">
        <v>68748.08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 s="24">
        <v>68748.08</v>
      </c>
      <c r="AV958">
        <v>0</v>
      </c>
      <c r="AW958">
        <v>0</v>
      </c>
      <c r="AX958">
        <v>311000</v>
      </c>
      <c r="AY958" t="s">
        <v>161</v>
      </c>
      <c r="AZ958">
        <v>93.34</v>
      </c>
      <c r="BA958">
        <v>75.430000000000007</v>
      </c>
      <c r="BB958">
        <v>17.91</v>
      </c>
      <c r="BC958" t="s">
        <v>168</v>
      </c>
      <c r="BD958">
        <v>1509</v>
      </c>
      <c r="BE958" t="s">
        <v>169</v>
      </c>
      <c r="BF958" t="s">
        <v>163</v>
      </c>
      <c r="BG958" t="s">
        <v>164</v>
      </c>
    </row>
    <row r="959" spans="1:59">
      <c r="A959">
        <v>1115</v>
      </c>
      <c r="B959">
        <v>1115</v>
      </c>
      <c r="C959">
        <v>10</v>
      </c>
      <c r="D959">
        <v>2</v>
      </c>
      <c r="E959" t="s">
        <v>152</v>
      </c>
      <c r="F959" t="s">
        <v>153</v>
      </c>
      <c r="G959" t="s">
        <v>154</v>
      </c>
      <c r="H959">
        <v>1526006430</v>
      </c>
      <c r="I959">
        <v>1000006701</v>
      </c>
      <c r="L959" t="s">
        <v>348</v>
      </c>
      <c r="M959">
        <v>5100001603</v>
      </c>
      <c r="N959" t="s">
        <v>155</v>
      </c>
      <c r="O959" t="s">
        <v>156</v>
      </c>
      <c r="P959">
        <v>4110025468</v>
      </c>
      <c r="Q959" t="s">
        <v>165</v>
      </c>
      <c r="R959">
        <v>5000</v>
      </c>
      <c r="S959" t="s">
        <v>166</v>
      </c>
      <c r="V959" t="s">
        <v>167</v>
      </c>
      <c r="W959">
        <v>1502020102</v>
      </c>
      <c r="X959" t="s">
        <v>58</v>
      </c>
      <c r="Y959" t="str">
        <f>VLOOKUP(W959,Sheet4!$A$5:$B$71,2,0)</f>
        <v>MAXIMA HD</v>
      </c>
      <c r="Z959">
        <v>87082900</v>
      </c>
      <c r="AA959">
        <v>8</v>
      </c>
      <c r="AB959" t="s">
        <v>159</v>
      </c>
      <c r="AC959" s="24">
        <v>8593.51</v>
      </c>
      <c r="AD959" t="s">
        <v>160</v>
      </c>
      <c r="AE959" s="24">
        <v>68748.08</v>
      </c>
      <c r="AF959">
        <v>0</v>
      </c>
      <c r="AG959" s="24">
        <v>68748.08</v>
      </c>
      <c r="AH959">
        <v>0</v>
      </c>
      <c r="AI959">
        <v>0</v>
      </c>
      <c r="AJ959">
        <v>0</v>
      </c>
      <c r="AK959">
        <v>0</v>
      </c>
      <c r="AL959" s="24">
        <v>68748.08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s="24">
        <v>68748.08</v>
      </c>
      <c r="AV959">
        <v>0</v>
      </c>
      <c r="AW959">
        <v>0</v>
      </c>
      <c r="AX959">
        <v>311000</v>
      </c>
      <c r="AY959" t="s">
        <v>161</v>
      </c>
      <c r="AZ959">
        <v>93.34</v>
      </c>
      <c r="BA959">
        <v>75.430000000000007</v>
      </c>
      <c r="BB959">
        <v>17.91</v>
      </c>
      <c r="BC959" t="s">
        <v>168</v>
      </c>
      <c r="BD959">
        <v>1509</v>
      </c>
      <c r="BE959" t="s">
        <v>169</v>
      </c>
      <c r="BF959" t="s">
        <v>163</v>
      </c>
      <c r="BG959" t="s">
        <v>164</v>
      </c>
    </row>
    <row r="960" spans="1:59">
      <c r="A960">
        <v>1115</v>
      </c>
      <c r="B960">
        <v>1115</v>
      </c>
      <c r="C960">
        <v>10</v>
      </c>
      <c r="D960">
        <v>2</v>
      </c>
      <c r="E960" t="s">
        <v>152</v>
      </c>
      <c r="F960" t="s">
        <v>153</v>
      </c>
      <c r="G960" t="s">
        <v>154</v>
      </c>
      <c r="H960">
        <v>1526006429</v>
      </c>
      <c r="I960">
        <v>1000006700</v>
      </c>
      <c r="L960" t="s">
        <v>348</v>
      </c>
      <c r="M960">
        <v>5100001227</v>
      </c>
      <c r="N960" t="s">
        <v>155</v>
      </c>
      <c r="O960" t="s">
        <v>156</v>
      </c>
      <c r="P960">
        <v>4110011319</v>
      </c>
      <c r="Q960" t="s">
        <v>175</v>
      </c>
      <c r="R960">
        <v>5000</v>
      </c>
      <c r="S960" t="s">
        <v>166</v>
      </c>
      <c r="V960" t="s">
        <v>167</v>
      </c>
      <c r="W960">
        <v>1502020074</v>
      </c>
      <c r="X960" t="s">
        <v>28</v>
      </c>
      <c r="Y960" t="str">
        <f>VLOOKUP(W960,Sheet4!$A$5:$B$71,2,0)</f>
        <v>MAX UG NEW</v>
      </c>
      <c r="Z960">
        <v>87082900</v>
      </c>
      <c r="AA960">
        <v>10</v>
      </c>
      <c r="AB960" t="s">
        <v>159</v>
      </c>
      <c r="AC960" s="24">
        <v>9397.5</v>
      </c>
      <c r="AD960" t="s">
        <v>160</v>
      </c>
      <c r="AE960" s="24">
        <v>93975</v>
      </c>
      <c r="AF960">
        <v>0</v>
      </c>
      <c r="AG960" s="24">
        <v>93975</v>
      </c>
      <c r="AH960">
        <v>0</v>
      </c>
      <c r="AI960">
        <v>0</v>
      </c>
      <c r="AJ960">
        <v>0</v>
      </c>
      <c r="AK960">
        <v>0</v>
      </c>
      <c r="AL960" s="24">
        <v>93975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s="24">
        <v>93975</v>
      </c>
      <c r="AV960">
        <v>0</v>
      </c>
      <c r="AW960">
        <v>0</v>
      </c>
      <c r="AX960">
        <v>311000</v>
      </c>
      <c r="AY960" t="s">
        <v>161</v>
      </c>
      <c r="AZ960">
        <v>69.5</v>
      </c>
      <c r="BA960">
        <v>69.5</v>
      </c>
      <c r="BB960">
        <v>0</v>
      </c>
      <c r="BC960" t="s">
        <v>176</v>
      </c>
      <c r="BD960">
        <v>1509</v>
      </c>
      <c r="BE960" t="s">
        <v>169</v>
      </c>
      <c r="BF960" t="s">
        <v>163</v>
      </c>
      <c r="BG960" t="s">
        <v>164</v>
      </c>
    </row>
    <row r="961" spans="1:59">
      <c r="A961">
        <v>1115</v>
      </c>
      <c r="B961">
        <v>1115</v>
      </c>
      <c r="C961">
        <v>10</v>
      </c>
      <c r="D961">
        <v>2</v>
      </c>
      <c r="E961" t="s">
        <v>152</v>
      </c>
      <c r="F961" t="s">
        <v>153</v>
      </c>
      <c r="G961" t="s">
        <v>154</v>
      </c>
      <c r="H961">
        <v>1526006428</v>
      </c>
      <c r="I961">
        <v>1000006699</v>
      </c>
      <c r="L961" t="s">
        <v>348</v>
      </c>
      <c r="M961">
        <v>5100001227</v>
      </c>
      <c r="N961" t="s">
        <v>155</v>
      </c>
      <c r="O961" t="s">
        <v>156</v>
      </c>
      <c r="P961">
        <v>4110011319</v>
      </c>
      <c r="Q961" t="s">
        <v>175</v>
      </c>
      <c r="R961">
        <v>5000</v>
      </c>
      <c r="S961" t="s">
        <v>166</v>
      </c>
      <c r="V961" t="s">
        <v>167</v>
      </c>
      <c r="W961">
        <v>1502020074</v>
      </c>
      <c r="X961" t="s">
        <v>28</v>
      </c>
      <c r="Y961" t="str">
        <f>VLOOKUP(W961,Sheet4!$A$5:$B$71,2,0)</f>
        <v>MAX UG NEW</v>
      </c>
      <c r="Z961">
        <v>87082900</v>
      </c>
      <c r="AA961">
        <v>10</v>
      </c>
      <c r="AB961" t="s">
        <v>159</v>
      </c>
      <c r="AC961" s="24">
        <v>9397.5</v>
      </c>
      <c r="AD961" t="s">
        <v>160</v>
      </c>
      <c r="AE961" s="24">
        <v>93975</v>
      </c>
      <c r="AF961">
        <v>0</v>
      </c>
      <c r="AG961" s="24">
        <v>93975</v>
      </c>
      <c r="AH961">
        <v>0</v>
      </c>
      <c r="AI961">
        <v>0</v>
      </c>
      <c r="AJ961">
        <v>0</v>
      </c>
      <c r="AK961">
        <v>0</v>
      </c>
      <c r="AL961" s="24">
        <v>93975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 s="24">
        <v>93975</v>
      </c>
      <c r="AV961">
        <v>0</v>
      </c>
      <c r="AW961">
        <v>0</v>
      </c>
      <c r="AX961">
        <v>311000</v>
      </c>
      <c r="AY961" t="s">
        <v>161</v>
      </c>
      <c r="AZ961">
        <v>69.5</v>
      </c>
      <c r="BA961">
        <v>69.5</v>
      </c>
      <c r="BB961">
        <v>0</v>
      </c>
      <c r="BC961" t="s">
        <v>176</v>
      </c>
      <c r="BD961">
        <v>1509</v>
      </c>
      <c r="BE961" t="s">
        <v>169</v>
      </c>
      <c r="BF961" t="s">
        <v>163</v>
      </c>
      <c r="BG961" t="s">
        <v>164</v>
      </c>
    </row>
    <row r="962" spans="1:59">
      <c r="A962">
        <v>1115</v>
      </c>
      <c r="B962">
        <v>1115</v>
      </c>
      <c r="C962">
        <v>10</v>
      </c>
      <c r="D962">
        <v>2</v>
      </c>
      <c r="E962" t="s">
        <v>152</v>
      </c>
      <c r="F962" t="s">
        <v>153</v>
      </c>
      <c r="G962" t="s">
        <v>154</v>
      </c>
      <c r="H962">
        <v>1526006427</v>
      </c>
      <c r="I962">
        <v>1000006698</v>
      </c>
      <c r="L962" t="s">
        <v>348</v>
      </c>
      <c r="M962">
        <v>5100001913</v>
      </c>
      <c r="N962" t="s">
        <v>155</v>
      </c>
      <c r="O962" t="s">
        <v>156</v>
      </c>
      <c r="P962">
        <v>4110050475</v>
      </c>
      <c r="Q962" t="s">
        <v>178</v>
      </c>
      <c r="R962">
        <v>5000</v>
      </c>
      <c r="S962" t="s">
        <v>166</v>
      </c>
      <c r="V962" t="s">
        <v>167</v>
      </c>
      <c r="W962">
        <v>1502040289</v>
      </c>
      <c r="X962" t="s">
        <v>49</v>
      </c>
      <c r="Y962" t="str">
        <f>VLOOKUP(W962,Sheet4!$A$5:$B$71,2,0)</f>
        <v>SUPPORT TOP</v>
      </c>
      <c r="Z962">
        <v>87082900</v>
      </c>
      <c r="AA962">
        <v>480</v>
      </c>
      <c r="AB962" t="s">
        <v>159</v>
      </c>
      <c r="AC962">
        <v>174.61</v>
      </c>
      <c r="AD962" t="s">
        <v>160</v>
      </c>
      <c r="AE962" s="24">
        <v>83812.800000000003</v>
      </c>
      <c r="AF962">
        <v>0</v>
      </c>
      <c r="AG962" s="24">
        <v>83812.800000000003</v>
      </c>
      <c r="AH962">
        <v>0</v>
      </c>
      <c r="AI962">
        <v>0</v>
      </c>
      <c r="AJ962">
        <v>0</v>
      </c>
      <c r="AK962">
        <v>0</v>
      </c>
      <c r="AL962" s="24">
        <v>83812.800000000003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 s="24">
        <v>83812.800000000003</v>
      </c>
      <c r="AV962">
        <v>0</v>
      </c>
      <c r="AW962">
        <v>0</v>
      </c>
      <c r="AX962">
        <v>311000</v>
      </c>
      <c r="AY962" t="s">
        <v>161</v>
      </c>
      <c r="AZ962">
        <v>0</v>
      </c>
      <c r="BA962">
        <v>0</v>
      </c>
      <c r="BB962">
        <v>0</v>
      </c>
      <c r="BC962" t="s">
        <v>179</v>
      </c>
      <c r="BD962">
        <v>1511</v>
      </c>
      <c r="BE962" t="s">
        <v>174</v>
      </c>
      <c r="BF962" t="s">
        <v>163</v>
      </c>
      <c r="BG962" t="s">
        <v>164</v>
      </c>
    </row>
    <row r="963" spans="1:59">
      <c r="A963">
        <v>1115</v>
      </c>
      <c r="B963">
        <v>1115</v>
      </c>
      <c r="C963">
        <v>10</v>
      </c>
      <c r="D963">
        <v>2</v>
      </c>
      <c r="E963" t="s">
        <v>152</v>
      </c>
      <c r="F963" t="s">
        <v>153</v>
      </c>
      <c r="G963" t="s">
        <v>154</v>
      </c>
      <c r="H963">
        <v>1526006425</v>
      </c>
      <c r="I963">
        <v>1000006697</v>
      </c>
      <c r="L963" t="s">
        <v>348</v>
      </c>
      <c r="M963">
        <v>5100001925</v>
      </c>
      <c r="N963" t="s">
        <v>155</v>
      </c>
      <c r="O963" t="s">
        <v>156</v>
      </c>
      <c r="P963">
        <v>4110055667</v>
      </c>
      <c r="Q963" t="s">
        <v>185</v>
      </c>
      <c r="R963">
        <v>5000</v>
      </c>
      <c r="S963" t="s">
        <v>166</v>
      </c>
      <c r="V963" t="s">
        <v>167</v>
      </c>
      <c r="W963">
        <v>1502040318</v>
      </c>
      <c r="X963" t="s">
        <v>72</v>
      </c>
      <c r="Y963" t="str">
        <f>VLOOKUP(W963,Sheet4!$A$5:$B$71,2,0)</f>
        <v>Re Side Door</v>
      </c>
      <c r="Z963">
        <v>87082900</v>
      </c>
      <c r="AA963">
        <v>120</v>
      </c>
      <c r="AB963" t="s">
        <v>159</v>
      </c>
      <c r="AC963">
        <v>506.59</v>
      </c>
      <c r="AD963" t="s">
        <v>160</v>
      </c>
      <c r="AE963" s="24">
        <v>60790.8</v>
      </c>
      <c r="AF963">
        <v>0</v>
      </c>
      <c r="AG963" s="24">
        <v>60790.8</v>
      </c>
      <c r="AH963">
        <v>0</v>
      </c>
      <c r="AI963">
        <v>0</v>
      </c>
      <c r="AJ963">
        <v>0</v>
      </c>
      <c r="AK963">
        <v>0</v>
      </c>
      <c r="AL963" s="24">
        <v>60790.8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 s="24">
        <v>60790.8</v>
      </c>
      <c r="AV963">
        <v>0</v>
      </c>
      <c r="AW963">
        <v>0</v>
      </c>
      <c r="AX963">
        <v>311000</v>
      </c>
      <c r="AY963" t="s">
        <v>161</v>
      </c>
      <c r="AZ963">
        <v>2.27</v>
      </c>
      <c r="BA963">
        <v>2.27</v>
      </c>
      <c r="BB963">
        <v>0</v>
      </c>
      <c r="BC963" t="s">
        <v>187</v>
      </c>
      <c r="BD963">
        <v>1511</v>
      </c>
      <c r="BE963" t="s">
        <v>174</v>
      </c>
      <c r="BF963" t="s">
        <v>163</v>
      </c>
      <c r="BG963" t="s">
        <v>164</v>
      </c>
    </row>
    <row r="964" spans="1:59">
      <c r="A964">
        <v>1115</v>
      </c>
      <c r="B964">
        <v>1115</v>
      </c>
      <c r="C964">
        <v>10</v>
      </c>
      <c r="D964">
        <v>2</v>
      </c>
      <c r="E964" t="s">
        <v>152</v>
      </c>
      <c r="F964" t="s">
        <v>153</v>
      </c>
      <c r="G964" t="s">
        <v>154</v>
      </c>
      <c r="H964">
        <v>1526006424</v>
      </c>
      <c r="I964">
        <v>1000006696</v>
      </c>
      <c r="L964" t="s">
        <v>348</v>
      </c>
      <c r="M964">
        <v>5100001925</v>
      </c>
      <c r="N964" t="s">
        <v>155</v>
      </c>
      <c r="O964" t="s">
        <v>156</v>
      </c>
      <c r="P964">
        <v>4110055667</v>
      </c>
      <c r="Q964" t="s">
        <v>185</v>
      </c>
      <c r="R964">
        <v>5000</v>
      </c>
      <c r="S964" t="s">
        <v>166</v>
      </c>
      <c r="V964" t="s">
        <v>167</v>
      </c>
      <c r="W964">
        <v>1502040317</v>
      </c>
      <c r="X964" t="s">
        <v>73</v>
      </c>
      <c r="Y964" t="str">
        <f>VLOOKUP(W964,Sheet4!$A$5:$B$71,2,0)</f>
        <v>Re Side Door</v>
      </c>
      <c r="Z964">
        <v>87082900</v>
      </c>
      <c r="AA964">
        <v>120</v>
      </c>
      <c r="AB964" t="s">
        <v>159</v>
      </c>
      <c r="AC964">
        <v>506.59</v>
      </c>
      <c r="AD964" t="s">
        <v>160</v>
      </c>
      <c r="AE964" s="24">
        <v>60790.8</v>
      </c>
      <c r="AF964">
        <v>0</v>
      </c>
      <c r="AG964" s="24">
        <v>60790.8</v>
      </c>
      <c r="AH964">
        <v>0</v>
      </c>
      <c r="AI964">
        <v>0</v>
      </c>
      <c r="AJ964">
        <v>0</v>
      </c>
      <c r="AK964">
        <v>0</v>
      </c>
      <c r="AL964" s="24">
        <v>60790.8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 s="24">
        <v>60790.8</v>
      </c>
      <c r="AV964">
        <v>0</v>
      </c>
      <c r="AW964">
        <v>0</v>
      </c>
      <c r="AX964">
        <v>311000</v>
      </c>
      <c r="AY964" t="s">
        <v>161</v>
      </c>
      <c r="AZ964">
        <v>2.27</v>
      </c>
      <c r="BA964">
        <v>2.27</v>
      </c>
      <c r="BB964">
        <v>0</v>
      </c>
      <c r="BC964" t="s">
        <v>186</v>
      </c>
      <c r="BD964">
        <v>1511</v>
      </c>
      <c r="BE964" t="s">
        <v>174</v>
      </c>
      <c r="BF964" t="s">
        <v>163</v>
      </c>
      <c r="BG964" t="s">
        <v>164</v>
      </c>
    </row>
    <row r="965" spans="1:59">
      <c r="A965">
        <v>1115</v>
      </c>
      <c r="B965">
        <v>1115</v>
      </c>
      <c r="C965">
        <v>10</v>
      </c>
      <c r="D965">
        <v>2</v>
      </c>
      <c r="E965" t="s">
        <v>152</v>
      </c>
      <c r="F965" t="s">
        <v>153</v>
      </c>
      <c r="G965" t="s">
        <v>154</v>
      </c>
      <c r="H965">
        <v>1526006422</v>
      </c>
      <c r="I965">
        <v>1000006694</v>
      </c>
      <c r="L965" t="s">
        <v>348</v>
      </c>
      <c r="M965">
        <v>5100001636</v>
      </c>
      <c r="N965" t="s">
        <v>155</v>
      </c>
      <c r="O965" t="s">
        <v>156</v>
      </c>
      <c r="P965">
        <v>4110026445</v>
      </c>
      <c r="Q965" t="s">
        <v>170</v>
      </c>
      <c r="R965">
        <v>5000</v>
      </c>
      <c r="S965" t="s">
        <v>166</v>
      </c>
      <c r="V965" t="s">
        <v>167</v>
      </c>
      <c r="W965">
        <v>1502020104</v>
      </c>
      <c r="X965" t="s">
        <v>26</v>
      </c>
      <c r="Y965" t="str">
        <f>VLOOKUP(W965,Sheet4!$A$5:$B$71,2,0)</f>
        <v>RE STYLING</v>
      </c>
      <c r="Z965">
        <v>87082900</v>
      </c>
      <c r="AA965">
        <v>15</v>
      </c>
      <c r="AB965" t="s">
        <v>159</v>
      </c>
      <c r="AC965" s="24">
        <v>6585.55</v>
      </c>
      <c r="AD965" t="s">
        <v>160</v>
      </c>
      <c r="AE965" s="24">
        <v>98783.25</v>
      </c>
      <c r="AF965">
        <v>0</v>
      </c>
      <c r="AG965" s="24">
        <v>98783.25</v>
      </c>
      <c r="AH965">
        <v>0</v>
      </c>
      <c r="AI965">
        <v>0</v>
      </c>
      <c r="AJ965">
        <v>0</v>
      </c>
      <c r="AK965">
        <v>0</v>
      </c>
      <c r="AL965" s="24">
        <v>98783.25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 s="24">
        <v>98783.25</v>
      </c>
      <c r="AV965">
        <v>0</v>
      </c>
      <c r="AW965">
        <v>0</v>
      </c>
      <c r="AX965">
        <v>311000</v>
      </c>
      <c r="AY965" t="s">
        <v>161</v>
      </c>
      <c r="AZ965">
        <v>49.75</v>
      </c>
      <c r="BA965">
        <v>49.75</v>
      </c>
      <c r="BB965">
        <v>0</v>
      </c>
      <c r="BC965" t="s">
        <v>171</v>
      </c>
      <c r="BD965">
        <v>1509</v>
      </c>
      <c r="BE965" t="s">
        <v>169</v>
      </c>
      <c r="BF965" t="s">
        <v>163</v>
      </c>
      <c r="BG965" t="s">
        <v>164</v>
      </c>
    </row>
    <row r="966" spans="1:59">
      <c r="A966">
        <v>1115</v>
      </c>
      <c r="B966">
        <v>1115</v>
      </c>
      <c r="C966">
        <v>10</v>
      </c>
      <c r="D966">
        <v>2</v>
      </c>
      <c r="E966" t="s">
        <v>152</v>
      </c>
      <c r="F966" t="s">
        <v>153</v>
      </c>
      <c r="G966" t="s">
        <v>154</v>
      </c>
      <c r="H966">
        <v>1526006421</v>
      </c>
      <c r="I966">
        <v>1000006693</v>
      </c>
      <c r="L966" t="s">
        <v>348</v>
      </c>
      <c r="M966">
        <v>5100001636</v>
      </c>
      <c r="N966" t="s">
        <v>155</v>
      </c>
      <c r="O966" t="s">
        <v>156</v>
      </c>
      <c r="P966">
        <v>4110026445</v>
      </c>
      <c r="Q966" t="s">
        <v>170</v>
      </c>
      <c r="R966">
        <v>5000</v>
      </c>
      <c r="S966" t="s">
        <v>166</v>
      </c>
      <c r="V966" t="s">
        <v>167</v>
      </c>
      <c r="W966">
        <v>1502020104</v>
      </c>
      <c r="X966" t="s">
        <v>26</v>
      </c>
      <c r="Y966" t="str">
        <f>VLOOKUP(W966,Sheet4!$A$5:$B$71,2,0)</f>
        <v>RE STYLING</v>
      </c>
      <c r="Z966">
        <v>87082900</v>
      </c>
      <c r="AA966">
        <v>15</v>
      </c>
      <c r="AB966" t="s">
        <v>159</v>
      </c>
      <c r="AC966" s="24">
        <v>6585.55</v>
      </c>
      <c r="AD966" t="s">
        <v>160</v>
      </c>
      <c r="AE966" s="24">
        <v>98783.25</v>
      </c>
      <c r="AF966">
        <v>0</v>
      </c>
      <c r="AG966" s="24">
        <v>98783.25</v>
      </c>
      <c r="AH966">
        <v>0</v>
      </c>
      <c r="AI966">
        <v>0</v>
      </c>
      <c r="AJ966">
        <v>0</v>
      </c>
      <c r="AK966">
        <v>0</v>
      </c>
      <c r="AL966" s="24">
        <v>98783.25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 s="24">
        <v>98783.25</v>
      </c>
      <c r="AV966">
        <v>0</v>
      </c>
      <c r="AW966">
        <v>0</v>
      </c>
      <c r="AX966">
        <v>311000</v>
      </c>
      <c r="AY966" t="s">
        <v>161</v>
      </c>
      <c r="AZ966">
        <v>49.75</v>
      </c>
      <c r="BA966">
        <v>49.75</v>
      </c>
      <c r="BB966">
        <v>0</v>
      </c>
      <c r="BC966" t="s">
        <v>171</v>
      </c>
      <c r="BD966">
        <v>1509</v>
      </c>
      <c r="BE966" t="s">
        <v>169</v>
      </c>
      <c r="BF966" t="s">
        <v>163</v>
      </c>
      <c r="BG966" t="s">
        <v>164</v>
      </c>
    </row>
    <row r="967" spans="1:59">
      <c r="A967">
        <v>1115</v>
      </c>
      <c r="B967">
        <v>1115</v>
      </c>
      <c r="C967">
        <v>10</v>
      </c>
      <c r="D967">
        <v>2</v>
      </c>
      <c r="E967" t="s">
        <v>152</v>
      </c>
      <c r="F967" t="s">
        <v>153</v>
      </c>
      <c r="G967" t="s">
        <v>154</v>
      </c>
      <c r="H967">
        <v>1526006728</v>
      </c>
      <c r="I967">
        <v>1000007006</v>
      </c>
      <c r="L967" t="s">
        <v>355</v>
      </c>
      <c r="M967">
        <v>5100001939</v>
      </c>
      <c r="N967" t="s">
        <v>155</v>
      </c>
      <c r="O967" t="s">
        <v>156</v>
      </c>
      <c r="P967">
        <v>4110059608</v>
      </c>
      <c r="Q967" t="s">
        <v>240</v>
      </c>
      <c r="R967">
        <v>5000</v>
      </c>
      <c r="S967" t="s">
        <v>166</v>
      </c>
      <c r="V967" t="s">
        <v>167</v>
      </c>
      <c r="W967">
        <v>1502020129</v>
      </c>
      <c r="X967" t="s">
        <v>241</v>
      </c>
      <c r="Y967" t="str">
        <f>VLOOKUP(W967,Sheet4!$A$5:$B$71,2,0)</f>
        <v>RE STYLING</v>
      </c>
      <c r="Z967">
        <v>87082900</v>
      </c>
      <c r="AA967">
        <v>15</v>
      </c>
      <c r="AB967" t="s">
        <v>159</v>
      </c>
      <c r="AC967" s="24">
        <v>6500.18</v>
      </c>
      <c r="AD967" t="s">
        <v>160</v>
      </c>
      <c r="AE967" s="24">
        <v>97502.7</v>
      </c>
      <c r="AF967">
        <v>0</v>
      </c>
      <c r="AG967" s="24">
        <v>97502.7</v>
      </c>
      <c r="AH967">
        <v>0</v>
      </c>
      <c r="AI967">
        <v>0</v>
      </c>
      <c r="AJ967">
        <v>0</v>
      </c>
      <c r="AK967">
        <v>0</v>
      </c>
      <c r="AL967" s="24">
        <v>97502.7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 s="24">
        <v>97502.7</v>
      </c>
      <c r="AV967">
        <v>0</v>
      </c>
      <c r="AW967">
        <v>0</v>
      </c>
      <c r="AX967">
        <v>311000</v>
      </c>
      <c r="AY967" t="s">
        <v>161</v>
      </c>
      <c r="AZ967">
        <v>0</v>
      </c>
      <c r="BA967">
        <v>0</v>
      </c>
      <c r="BB967">
        <v>0</v>
      </c>
      <c r="BC967" t="s">
        <v>242</v>
      </c>
      <c r="BD967">
        <v>1509</v>
      </c>
      <c r="BE967" t="s">
        <v>169</v>
      </c>
      <c r="BF967" t="s">
        <v>163</v>
      </c>
      <c r="BG967" t="s">
        <v>164</v>
      </c>
    </row>
    <row r="968" spans="1:59">
      <c r="A968">
        <v>1115</v>
      </c>
      <c r="B968">
        <v>1115</v>
      </c>
      <c r="C968">
        <v>10</v>
      </c>
      <c r="D968">
        <v>2</v>
      </c>
      <c r="E968" t="s">
        <v>152</v>
      </c>
      <c r="F968" t="s">
        <v>153</v>
      </c>
      <c r="G968" t="s">
        <v>154</v>
      </c>
      <c r="H968">
        <v>1526006727</v>
      </c>
      <c r="I968">
        <v>1000007005</v>
      </c>
      <c r="L968" t="s">
        <v>355</v>
      </c>
      <c r="M968">
        <v>5100001928</v>
      </c>
      <c r="N968" t="s">
        <v>155</v>
      </c>
      <c r="O968" t="s">
        <v>156</v>
      </c>
      <c r="P968">
        <v>4110057393</v>
      </c>
      <c r="Q968" t="s">
        <v>192</v>
      </c>
      <c r="R968">
        <v>5000</v>
      </c>
      <c r="S968" t="s">
        <v>166</v>
      </c>
      <c r="V968" t="s">
        <v>167</v>
      </c>
      <c r="W968">
        <v>1502020122</v>
      </c>
      <c r="X968" t="s">
        <v>70</v>
      </c>
      <c r="Y968" t="str">
        <f>VLOOKUP(W968,Sheet4!$A$5:$B$71,2,0)</f>
        <v>MAX UG NEW EV</v>
      </c>
      <c r="Z968">
        <v>87082900</v>
      </c>
      <c r="AA968">
        <v>10</v>
      </c>
      <c r="AB968" t="s">
        <v>159</v>
      </c>
      <c r="AC968" s="24">
        <v>9566.51</v>
      </c>
      <c r="AD968" t="s">
        <v>160</v>
      </c>
      <c r="AE968" s="24">
        <v>95665.1</v>
      </c>
      <c r="AF968">
        <v>0</v>
      </c>
      <c r="AG968" s="24">
        <v>95665.1</v>
      </c>
      <c r="AH968">
        <v>0</v>
      </c>
      <c r="AI968">
        <v>0</v>
      </c>
      <c r="AJ968">
        <v>0</v>
      </c>
      <c r="AK968">
        <v>0</v>
      </c>
      <c r="AL968" s="24">
        <v>95665.1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 s="24">
        <v>95665.1</v>
      </c>
      <c r="AV968">
        <v>0</v>
      </c>
      <c r="AW968">
        <v>0</v>
      </c>
      <c r="AX968">
        <v>311000</v>
      </c>
      <c r="AY968" t="s">
        <v>161</v>
      </c>
      <c r="AZ968">
        <v>0</v>
      </c>
      <c r="BA968">
        <v>61</v>
      </c>
      <c r="BB968">
        <v>-61</v>
      </c>
      <c r="BC968" t="s">
        <v>193</v>
      </c>
      <c r="BD968">
        <v>1509</v>
      </c>
      <c r="BE968" t="s">
        <v>169</v>
      </c>
      <c r="BF968" t="s">
        <v>163</v>
      </c>
      <c r="BG968" t="s">
        <v>164</v>
      </c>
    </row>
    <row r="969" spans="1:59">
      <c r="A969">
        <v>1115</v>
      </c>
      <c r="B969">
        <v>1115</v>
      </c>
      <c r="C969">
        <v>10</v>
      </c>
      <c r="D969">
        <v>2</v>
      </c>
      <c r="E969" t="s">
        <v>152</v>
      </c>
      <c r="F969" t="s">
        <v>153</v>
      </c>
      <c r="G969" t="s">
        <v>154</v>
      </c>
      <c r="H969">
        <v>1526006726</v>
      </c>
      <c r="I969">
        <v>1000007004</v>
      </c>
      <c r="L969" t="s">
        <v>355</v>
      </c>
      <c r="M969">
        <v>5100001928</v>
      </c>
      <c r="N969" t="s">
        <v>155</v>
      </c>
      <c r="O969" t="s">
        <v>156</v>
      </c>
      <c r="P969">
        <v>4110057393</v>
      </c>
      <c r="Q969" t="s">
        <v>192</v>
      </c>
      <c r="R969">
        <v>5000</v>
      </c>
      <c r="S969" t="s">
        <v>166</v>
      </c>
      <c r="V969" t="s">
        <v>167</v>
      </c>
      <c r="W969">
        <v>1502020122</v>
      </c>
      <c r="X969" t="s">
        <v>70</v>
      </c>
      <c r="Y969" t="str">
        <f>VLOOKUP(W969,Sheet4!$A$5:$B$71,2,0)</f>
        <v>MAX UG NEW EV</v>
      </c>
      <c r="Z969">
        <v>87082900</v>
      </c>
      <c r="AA969">
        <v>10</v>
      </c>
      <c r="AB969" t="s">
        <v>159</v>
      </c>
      <c r="AC969" s="24">
        <v>9566.51</v>
      </c>
      <c r="AD969" t="s">
        <v>160</v>
      </c>
      <c r="AE969" s="24">
        <v>95665.1</v>
      </c>
      <c r="AF969">
        <v>0</v>
      </c>
      <c r="AG969" s="24">
        <v>95665.1</v>
      </c>
      <c r="AH969">
        <v>0</v>
      </c>
      <c r="AI969">
        <v>0</v>
      </c>
      <c r="AJ969">
        <v>0</v>
      </c>
      <c r="AK969">
        <v>0</v>
      </c>
      <c r="AL969" s="24">
        <v>95665.1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 s="24">
        <v>95665.1</v>
      </c>
      <c r="AV969">
        <v>0</v>
      </c>
      <c r="AW969">
        <v>0</v>
      </c>
      <c r="AX969">
        <v>311000</v>
      </c>
      <c r="AY969" t="s">
        <v>161</v>
      </c>
      <c r="AZ969">
        <v>0</v>
      </c>
      <c r="BA969">
        <v>61</v>
      </c>
      <c r="BB969">
        <v>-61</v>
      </c>
      <c r="BC969" t="s">
        <v>193</v>
      </c>
      <c r="BD969">
        <v>1509</v>
      </c>
      <c r="BE969" t="s">
        <v>169</v>
      </c>
      <c r="BF969" t="s">
        <v>163</v>
      </c>
      <c r="BG969" t="s">
        <v>164</v>
      </c>
    </row>
    <row r="970" spans="1:59">
      <c r="A970">
        <v>1115</v>
      </c>
      <c r="B970">
        <v>1115</v>
      </c>
      <c r="C970">
        <v>10</v>
      </c>
      <c r="D970">
        <v>2</v>
      </c>
      <c r="E970" t="s">
        <v>152</v>
      </c>
      <c r="F970" t="s">
        <v>153</v>
      </c>
      <c r="G970" t="s">
        <v>154</v>
      </c>
      <c r="H970">
        <v>1526006725</v>
      </c>
      <c r="I970">
        <v>1000007003</v>
      </c>
      <c r="L970" t="s">
        <v>355</v>
      </c>
      <c r="M970">
        <v>5100001928</v>
      </c>
      <c r="N970" t="s">
        <v>155</v>
      </c>
      <c r="O970" t="s">
        <v>156</v>
      </c>
      <c r="P970">
        <v>4110057393</v>
      </c>
      <c r="Q970" t="s">
        <v>192</v>
      </c>
      <c r="R970">
        <v>5000</v>
      </c>
      <c r="S970" t="s">
        <v>166</v>
      </c>
      <c r="V970" t="s">
        <v>167</v>
      </c>
      <c r="W970">
        <v>1502020122</v>
      </c>
      <c r="X970" t="s">
        <v>70</v>
      </c>
      <c r="Y970" t="str">
        <f>VLOOKUP(W970,Sheet4!$A$5:$B$71,2,0)</f>
        <v>MAX UG NEW EV</v>
      </c>
      <c r="Z970">
        <v>87082900</v>
      </c>
      <c r="AA970">
        <v>10</v>
      </c>
      <c r="AB970" t="s">
        <v>159</v>
      </c>
      <c r="AC970" s="24">
        <v>9566.51</v>
      </c>
      <c r="AD970" t="s">
        <v>160</v>
      </c>
      <c r="AE970" s="24">
        <v>95665.1</v>
      </c>
      <c r="AF970">
        <v>0</v>
      </c>
      <c r="AG970" s="24">
        <v>95665.1</v>
      </c>
      <c r="AH970">
        <v>0</v>
      </c>
      <c r="AI970">
        <v>0</v>
      </c>
      <c r="AJ970">
        <v>0</v>
      </c>
      <c r="AK970">
        <v>0</v>
      </c>
      <c r="AL970" s="24">
        <v>95665.1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 s="24">
        <v>95665.1</v>
      </c>
      <c r="AV970">
        <v>0</v>
      </c>
      <c r="AW970">
        <v>0</v>
      </c>
      <c r="AX970">
        <v>311000</v>
      </c>
      <c r="AY970" t="s">
        <v>161</v>
      </c>
      <c r="AZ970">
        <v>0</v>
      </c>
      <c r="BA970">
        <v>61</v>
      </c>
      <c r="BB970">
        <v>-61</v>
      </c>
      <c r="BC970" t="s">
        <v>193</v>
      </c>
      <c r="BD970">
        <v>1509</v>
      </c>
      <c r="BE970" t="s">
        <v>169</v>
      </c>
      <c r="BF970" t="s">
        <v>163</v>
      </c>
      <c r="BG970" t="s">
        <v>164</v>
      </c>
    </row>
    <row r="971" spans="1:59">
      <c r="A971">
        <v>1115</v>
      </c>
      <c r="B971">
        <v>1115</v>
      </c>
      <c r="C971">
        <v>10</v>
      </c>
      <c r="D971">
        <v>2</v>
      </c>
      <c r="E971" t="s">
        <v>152</v>
      </c>
      <c r="F971" t="s">
        <v>153</v>
      </c>
      <c r="G971" t="s">
        <v>154</v>
      </c>
      <c r="H971">
        <v>1526006724</v>
      </c>
      <c r="I971">
        <v>1000007002</v>
      </c>
      <c r="L971" t="s">
        <v>355</v>
      </c>
      <c r="M971">
        <v>5100001928</v>
      </c>
      <c r="N971" t="s">
        <v>155</v>
      </c>
      <c r="O971" t="s">
        <v>156</v>
      </c>
      <c r="P971">
        <v>4110057393</v>
      </c>
      <c r="Q971" t="s">
        <v>192</v>
      </c>
      <c r="R971">
        <v>5000</v>
      </c>
      <c r="S971" t="s">
        <v>166</v>
      </c>
      <c r="V971" t="s">
        <v>167</v>
      </c>
      <c r="W971">
        <v>1502020122</v>
      </c>
      <c r="X971" t="s">
        <v>70</v>
      </c>
      <c r="Y971" t="str">
        <f>VLOOKUP(W971,Sheet4!$A$5:$B$71,2,0)</f>
        <v>MAX UG NEW EV</v>
      </c>
      <c r="Z971">
        <v>87082900</v>
      </c>
      <c r="AA971">
        <v>10</v>
      </c>
      <c r="AB971" t="s">
        <v>159</v>
      </c>
      <c r="AC971" s="24">
        <v>9566.51</v>
      </c>
      <c r="AD971" t="s">
        <v>160</v>
      </c>
      <c r="AE971" s="24">
        <v>95665.1</v>
      </c>
      <c r="AF971">
        <v>0</v>
      </c>
      <c r="AG971" s="24">
        <v>95665.1</v>
      </c>
      <c r="AH971">
        <v>0</v>
      </c>
      <c r="AI971">
        <v>0</v>
      </c>
      <c r="AJ971">
        <v>0</v>
      </c>
      <c r="AK971">
        <v>0</v>
      </c>
      <c r="AL971" s="24">
        <v>95665.1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 s="24">
        <v>95665.1</v>
      </c>
      <c r="AV971">
        <v>0</v>
      </c>
      <c r="AW971">
        <v>0</v>
      </c>
      <c r="AX971">
        <v>311000</v>
      </c>
      <c r="AY971" t="s">
        <v>161</v>
      </c>
      <c r="AZ971">
        <v>0</v>
      </c>
      <c r="BA971">
        <v>61</v>
      </c>
      <c r="BB971">
        <v>-61</v>
      </c>
      <c r="BC971" t="s">
        <v>193</v>
      </c>
      <c r="BD971">
        <v>1509</v>
      </c>
      <c r="BE971" t="s">
        <v>169</v>
      </c>
      <c r="BF971" t="s">
        <v>163</v>
      </c>
      <c r="BG971" t="s">
        <v>164</v>
      </c>
    </row>
    <row r="972" spans="1:59">
      <c r="A972">
        <v>1115</v>
      </c>
      <c r="B972">
        <v>1115</v>
      </c>
      <c r="C972">
        <v>10</v>
      </c>
      <c r="D972">
        <v>2</v>
      </c>
      <c r="E972" t="s">
        <v>152</v>
      </c>
      <c r="F972" t="s">
        <v>153</v>
      </c>
      <c r="G972" t="s">
        <v>154</v>
      </c>
      <c r="H972">
        <v>1526006722</v>
      </c>
      <c r="I972">
        <v>1000007001</v>
      </c>
      <c r="L972" t="s">
        <v>355</v>
      </c>
      <c r="M972">
        <v>5100001928</v>
      </c>
      <c r="N972" t="s">
        <v>155</v>
      </c>
      <c r="O972" t="s">
        <v>156</v>
      </c>
      <c r="P972">
        <v>4110057393</v>
      </c>
      <c r="Q972" t="s">
        <v>192</v>
      </c>
      <c r="R972">
        <v>5000</v>
      </c>
      <c r="S972" t="s">
        <v>166</v>
      </c>
      <c r="V972" t="s">
        <v>167</v>
      </c>
      <c r="W972">
        <v>1502020122</v>
      </c>
      <c r="X972" t="s">
        <v>70</v>
      </c>
      <c r="Y972" t="str">
        <f>VLOOKUP(W972,Sheet4!$A$5:$B$71,2,0)</f>
        <v>MAX UG NEW EV</v>
      </c>
      <c r="Z972">
        <v>87082900</v>
      </c>
      <c r="AA972">
        <v>10</v>
      </c>
      <c r="AB972" t="s">
        <v>159</v>
      </c>
      <c r="AC972" s="24">
        <v>9566.51</v>
      </c>
      <c r="AD972" t="s">
        <v>160</v>
      </c>
      <c r="AE972" s="24">
        <v>95665.1</v>
      </c>
      <c r="AF972">
        <v>0</v>
      </c>
      <c r="AG972" s="24">
        <v>95665.1</v>
      </c>
      <c r="AH972">
        <v>0</v>
      </c>
      <c r="AI972">
        <v>0</v>
      </c>
      <c r="AJ972">
        <v>0</v>
      </c>
      <c r="AK972">
        <v>0</v>
      </c>
      <c r="AL972" s="24">
        <v>95665.1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 s="24">
        <v>95665.1</v>
      </c>
      <c r="AV972">
        <v>0</v>
      </c>
      <c r="AW972">
        <v>0</v>
      </c>
      <c r="AX972">
        <v>311000</v>
      </c>
      <c r="AY972" t="s">
        <v>161</v>
      </c>
      <c r="AZ972">
        <v>0</v>
      </c>
      <c r="BA972">
        <v>61</v>
      </c>
      <c r="BB972">
        <v>-61</v>
      </c>
      <c r="BC972" t="s">
        <v>193</v>
      </c>
      <c r="BD972">
        <v>1509</v>
      </c>
      <c r="BE972" t="s">
        <v>169</v>
      </c>
      <c r="BF972" t="s">
        <v>163</v>
      </c>
      <c r="BG972" t="s">
        <v>164</v>
      </c>
    </row>
    <row r="973" spans="1:59">
      <c r="A973">
        <v>1115</v>
      </c>
      <c r="B973">
        <v>1115</v>
      </c>
      <c r="C973">
        <v>10</v>
      </c>
      <c r="D973">
        <v>2</v>
      </c>
      <c r="E973" t="s">
        <v>152</v>
      </c>
      <c r="F973" t="s">
        <v>153</v>
      </c>
      <c r="G973" t="s">
        <v>154</v>
      </c>
      <c r="H973">
        <v>1526006721</v>
      </c>
      <c r="I973">
        <v>1000007000</v>
      </c>
      <c r="L973" t="s">
        <v>355</v>
      </c>
      <c r="M973">
        <v>5100001943</v>
      </c>
      <c r="N973" t="s">
        <v>155</v>
      </c>
      <c r="O973" t="s">
        <v>156</v>
      </c>
      <c r="P973">
        <v>4110061540</v>
      </c>
      <c r="Q973" t="s">
        <v>349</v>
      </c>
      <c r="R973">
        <v>5000</v>
      </c>
      <c r="S973" t="s">
        <v>166</v>
      </c>
      <c r="V973" t="s">
        <v>167</v>
      </c>
      <c r="W973">
        <v>1502020117</v>
      </c>
      <c r="X973" t="s">
        <v>210</v>
      </c>
      <c r="Y973" t="str">
        <f>VLOOKUP(W973,Sheet4!$A$5:$B$71,2,0)</f>
        <v>MAXIMA HD</v>
      </c>
      <c r="Z973">
        <v>87082900</v>
      </c>
      <c r="AA973">
        <v>8</v>
      </c>
      <c r="AB973" t="s">
        <v>159</v>
      </c>
      <c r="AC973" s="24">
        <v>8350.51</v>
      </c>
      <c r="AD973" t="s">
        <v>160</v>
      </c>
      <c r="AE973" s="24">
        <v>66804.08</v>
      </c>
      <c r="AF973">
        <v>0</v>
      </c>
      <c r="AG973" s="24">
        <v>66804.08</v>
      </c>
      <c r="AH973">
        <v>0</v>
      </c>
      <c r="AI973">
        <v>0</v>
      </c>
      <c r="AJ973">
        <v>0</v>
      </c>
      <c r="AK973">
        <v>0</v>
      </c>
      <c r="AL973" s="24">
        <v>66804.08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 s="24">
        <v>66804.08</v>
      </c>
      <c r="AV973">
        <v>0</v>
      </c>
      <c r="AW973">
        <v>0</v>
      </c>
      <c r="AX973">
        <v>311000</v>
      </c>
      <c r="AY973" t="s">
        <v>161</v>
      </c>
      <c r="AZ973">
        <v>63</v>
      </c>
      <c r="BA973">
        <v>63</v>
      </c>
      <c r="BB973">
        <v>0</v>
      </c>
      <c r="BC973" t="s">
        <v>350</v>
      </c>
      <c r="BD973">
        <v>1509</v>
      </c>
      <c r="BE973" t="s">
        <v>169</v>
      </c>
      <c r="BF973" t="s">
        <v>163</v>
      </c>
      <c r="BG973" t="s">
        <v>164</v>
      </c>
    </row>
    <row r="974" spans="1:59">
      <c r="A974">
        <v>1115</v>
      </c>
      <c r="B974">
        <v>1115</v>
      </c>
      <c r="C974">
        <v>10</v>
      </c>
      <c r="D974">
        <v>2</v>
      </c>
      <c r="E974" t="s">
        <v>152</v>
      </c>
      <c r="F974" t="s">
        <v>153</v>
      </c>
      <c r="G974" t="s">
        <v>154</v>
      </c>
      <c r="H974">
        <v>1526006720</v>
      </c>
      <c r="I974">
        <v>1000006999</v>
      </c>
      <c r="L974" t="s">
        <v>355</v>
      </c>
      <c r="M974">
        <v>5100001943</v>
      </c>
      <c r="N974" t="s">
        <v>155</v>
      </c>
      <c r="O974" t="s">
        <v>156</v>
      </c>
      <c r="P974">
        <v>4110061540</v>
      </c>
      <c r="Q974" t="s">
        <v>349</v>
      </c>
      <c r="R974">
        <v>5000</v>
      </c>
      <c r="S974" t="s">
        <v>166</v>
      </c>
      <c r="V974" t="s">
        <v>167</v>
      </c>
      <c r="W974">
        <v>1502020117</v>
      </c>
      <c r="X974" t="s">
        <v>210</v>
      </c>
      <c r="Y974" t="str">
        <f>VLOOKUP(W974,Sheet4!$A$5:$B$71,2,0)</f>
        <v>MAXIMA HD</v>
      </c>
      <c r="Z974">
        <v>87082900</v>
      </c>
      <c r="AA974">
        <v>8</v>
      </c>
      <c r="AB974" t="s">
        <v>159</v>
      </c>
      <c r="AC974" s="24">
        <v>8350.51</v>
      </c>
      <c r="AD974" t="s">
        <v>160</v>
      </c>
      <c r="AE974" s="24">
        <v>66804.08</v>
      </c>
      <c r="AF974">
        <v>0</v>
      </c>
      <c r="AG974" s="24">
        <v>66804.08</v>
      </c>
      <c r="AH974">
        <v>0</v>
      </c>
      <c r="AI974">
        <v>0</v>
      </c>
      <c r="AJ974">
        <v>0</v>
      </c>
      <c r="AK974">
        <v>0</v>
      </c>
      <c r="AL974" s="24">
        <v>66804.08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 s="24">
        <v>66804.08</v>
      </c>
      <c r="AV974">
        <v>0</v>
      </c>
      <c r="AW974">
        <v>0</v>
      </c>
      <c r="AX974">
        <v>311000</v>
      </c>
      <c r="AY974" t="s">
        <v>161</v>
      </c>
      <c r="AZ974">
        <v>63</v>
      </c>
      <c r="BA974">
        <v>63</v>
      </c>
      <c r="BB974">
        <v>0</v>
      </c>
      <c r="BC974" t="s">
        <v>350</v>
      </c>
      <c r="BD974">
        <v>1509</v>
      </c>
      <c r="BE974" t="s">
        <v>169</v>
      </c>
      <c r="BF974" t="s">
        <v>163</v>
      </c>
      <c r="BG974" t="s">
        <v>164</v>
      </c>
    </row>
    <row r="975" spans="1:59">
      <c r="A975">
        <v>1115</v>
      </c>
      <c r="B975">
        <v>1115</v>
      </c>
      <c r="C975">
        <v>10</v>
      </c>
      <c r="D975">
        <v>2</v>
      </c>
      <c r="E975" t="s">
        <v>152</v>
      </c>
      <c r="F975" t="s">
        <v>153</v>
      </c>
      <c r="G975" t="s">
        <v>154</v>
      </c>
      <c r="H975">
        <v>1526006718</v>
      </c>
      <c r="I975">
        <v>1000006997</v>
      </c>
      <c r="L975" t="s">
        <v>355</v>
      </c>
      <c r="M975">
        <v>5100001943</v>
      </c>
      <c r="N975" t="s">
        <v>155</v>
      </c>
      <c r="O975" t="s">
        <v>156</v>
      </c>
      <c r="P975">
        <v>4110061540</v>
      </c>
      <c r="Q975" t="s">
        <v>349</v>
      </c>
      <c r="R975">
        <v>5000</v>
      </c>
      <c r="S975" t="s">
        <v>166</v>
      </c>
      <c r="V975" t="s">
        <v>167</v>
      </c>
      <c r="W975">
        <v>1502020117</v>
      </c>
      <c r="X975" t="s">
        <v>210</v>
      </c>
      <c r="Y975" t="str">
        <f>VLOOKUP(W975,Sheet4!$A$5:$B$71,2,0)</f>
        <v>MAXIMA HD</v>
      </c>
      <c r="Z975">
        <v>87082900</v>
      </c>
      <c r="AA975">
        <v>8</v>
      </c>
      <c r="AB975" t="s">
        <v>159</v>
      </c>
      <c r="AC975" s="24">
        <v>8350.51</v>
      </c>
      <c r="AD975" t="s">
        <v>160</v>
      </c>
      <c r="AE975" s="24">
        <v>66804.08</v>
      </c>
      <c r="AF975">
        <v>0</v>
      </c>
      <c r="AG975" s="24">
        <v>66804.08</v>
      </c>
      <c r="AH975">
        <v>0</v>
      </c>
      <c r="AI975">
        <v>0</v>
      </c>
      <c r="AJ975">
        <v>0</v>
      </c>
      <c r="AK975">
        <v>0</v>
      </c>
      <c r="AL975" s="24">
        <v>66804.08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 s="24">
        <v>66804.08</v>
      </c>
      <c r="AV975">
        <v>0</v>
      </c>
      <c r="AW975">
        <v>0</v>
      </c>
      <c r="AX975">
        <v>311000</v>
      </c>
      <c r="AY975" t="s">
        <v>161</v>
      </c>
      <c r="AZ975">
        <v>63</v>
      </c>
      <c r="BA975">
        <v>63</v>
      </c>
      <c r="BB975">
        <v>0</v>
      </c>
      <c r="BC975" t="s">
        <v>350</v>
      </c>
      <c r="BD975">
        <v>1509</v>
      </c>
      <c r="BE975" t="s">
        <v>169</v>
      </c>
      <c r="BF975" t="s">
        <v>163</v>
      </c>
      <c r="BG975" t="s">
        <v>164</v>
      </c>
    </row>
    <row r="976" spans="1:59">
      <c r="A976">
        <v>1115</v>
      </c>
      <c r="B976">
        <v>1115</v>
      </c>
      <c r="C976">
        <v>10</v>
      </c>
      <c r="D976">
        <v>2</v>
      </c>
      <c r="E976" t="s">
        <v>152</v>
      </c>
      <c r="F976" t="s">
        <v>153</v>
      </c>
      <c r="G976" t="s">
        <v>154</v>
      </c>
      <c r="H976">
        <v>1526006716</v>
      </c>
      <c r="I976">
        <v>1000006995</v>
      </c>
      <c r="L976" t="s">
        <v>355</v>
      </c>
      <c r="M976">
        <v>5100001101</v>
      </c>
      <c r="N976" t="s">
        <v>155</v>
      </c>
      <c r="O976" t="s">
        <v>156</v>
      </c>
      <c r="P976">
        <v>4110004653</v>
      </c>
      <c r="Q976" t="s">
        <v>177</v>
      </c>
      <c r="R976">
        <v>5000</v>
      </c>
      <c r="S976" t="s">
        <v>166</v>
      </c>
      <c r="V976" t="s">
        <v>167</v>
      </c>
      <c r="W976">
        <v>1502040194</v>
      </c>
      <c r="X976" t="s">
        <v>44</v>
      </c>
      <c r="Y976" t="str">
        <f>VLOOKUP(W976,Sheet4!$A$5:$B$71,2,0)</f>
        <v>CRADEL</v>
      </c>
      <c r="Z976">
        <v>87082900</v>
      </c>
      <c r="AA976">
        <v>48</v>
      </c>
      <c r="AB976" t="s">
        <v>159</v>
      </c>
      <c r="AC976">
        <v>956.92</v>
      </c>
      <c r="AD976" t="s">
        <v>160</v>
      </c>
      <c r="AE976" s="24">
        <v>45932.160000000003</v>
      </c>
      <c r="AF976">
        <v>0</v>
      </c>
      <c r="AG976" s="24">
        <v>45932.160000000003</v>
      </c>
      <c r="AH976">
        <v>0</v>
      </c>
      <c r="AI976">
        <v>0</v>
      </c>
      <c r="AJ976">
        <v>0</v>
      </c>
      <c r="AK976">
        <v>0</v>
      </c>
      <c r="AL976" s="24">
        <v>45932.160000000003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 s="24">
        <v>45932.160000000003</v>
      </c>
      <c r="AV976">
        <v>0</v>
      </c>
      <c r="AW976">
        <v>0</v>
      </c>
      <c r="AX976">
        <v>311000</v>
      </c>
      <c r="AY976" t="s">
        <v>161</v>
      </c>
      <c r="AZ976">
        <v>6.3769999999999998</v>
      </c>
      <c r="BA976">
        <v>6.3769999999999998</v>
      </c>
      <c r="BB976">
        <v>0</v>
      </c>
      <c r="BC976" t="s">
        <v>184</v>
      </c>
      <c r="BD976">
        <v>1511</v>
      </c>
      <c r="BE976" t="s">
        <v>174</v>
      </c>
      <c r="BF976" t="s">
        <v>163</v>
      </c>
      <c r="BG976" t="s">
        <v>164</v>
      </c>
    </row>
    <row r="977" spans="1:59">
      <c r="A977">
        <v>1115</v>
      </c>
      <c r="B977">
        <v>1115</v>
      </c>
      <c r="C977">
        <v>10</v>
      </c>
      <c r="D977">
        <v>2</v>
      </c>
      <c r="E977" t="s">
        <v>152</v>
      </c>
      <c r="F977" t="s">
        <v>153</v>
      </c>
      <c r="G977" t="s">
        <v>154</v>
      </c>
      <c r="H977">
        <v>1526006715</v>
      </c>
      <c r="I977">
        <v>1000006994</v>
      </c>
      <c r="L977" t="s">
        <v>355</v>
      </c>
      <c r="M977">
        <v>5100001101</v>
      </c>
      <c r="N977" t="s">
        <v>155</v>
      </c>
      <c r="O977" t="s">
        <v>156</v>
      </c>
      <c r="P977">
        <v>4110004653</v>
      </c>
      <c r="Q977" t="s">
        <v>177</v>
      </c>
      <c r="R977">
        <v>5000</v>
      </c>
      <c r="S977" t="s">
        <v>166</v>
      </c>
      <c r="V977" t="s">
        <v>167</v>
      </c>
      <c r="W977">
        <v>1502040194</v>
      </c>
      <c r="X977" t="s">
        <v>44</v>
      </c>
      <c r="Y977" t="str">
        <f>VLOOKUP(W977,Sheet4!$A$5:$B$71,2,0)</f>
        <v>CRADEL</v>
      </c>
      <c r="Z977">
        <v>87082900</v>
      </c>
      <c r="AA977">
        <v>48</v>
      </c>
      <c r="AB977" t="s">
        <v>159</v>
      </c>
      <c r="AC977">
        <v>956.92</v>
      </c>
      <c r="AD977" t="s">
        <v>160</v>
      </c>
      <c r="AE977" s="24">
        <v>45932.160000000003</v>
      </c>
      <c r="AF977">
        <v>0</v>
      </c>
      <c r="AG977" s="24">
        <v>45932.160000000003</v>
      </c>
      <c r="AH977">
        <v>0</v>
      </c>
      <c r="AI977">
        <v>0</v>
      </c>
      <c r="AJ977">
        <v>0</v>
      </c>
      <c r="AK977">
        <v>0</v>
      </c>
      <c r="AL977" s="24">
        <v>45932.160000000003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 s="24">
        <v>45932.160000000003</v>
      </c>
      <c r="AV977">
        <v>0</v>
      </c>
      <c r="AW977">
        <v>0</v>
      </c>
      <c r="AX977">
        <v>311000</v>
      </c>
      <c r="AY977" t="s">
        <v>161</v>
      </c>
      <c r="AZ977">
        <v>6.3769999999999998</v>
      </c>
      <c r="BA977">
        <v>6.3769999999999998</v>
      </c>
      <c r="BB977">
        <v>0</v>
      </c>
      <c r="BC977" t="s">
        <v>184</v>
      </c>
      <c r="BD977">
        <v>1511</v>
      </c>
      <c r="BE977" t="s">
        <v>174</v>
      </c>
      <c r="BF977" t="s">
        <v>163</v>
      </c>
      <c r="BG977" t="s">
        <v>164</v>
      </c>
    </row>
    <row r="978" spans="1:59">
      <c r="A978">
        <v>1115</v>
      </c>
      <c r="B978">
        <v>1115</v>
      </c>
      <c r="C978">
        <v>10</v>
      </c>
      <c r="D978">
        <v>2</v>
      </c>
      <c r="E978" t="s">
        <v>152</v>
      </c>
      <c r="F978" t="s">
        <v>153</v>
      </c>
      <c r="G978" t="s">
        <v>154</v>
      </c>
      <c r="H978">
        <v>1526006714</v>
      </c>
      <c r="I978">
        <v>1000006992</v>
      </c>
      <c r="L978" t="s">
        <v>355</v>
      </c>
      <c r="M978">
        <v>5100001407</v>
      </c>
      <c r="N978" t="s">
        <v>155</v>
      </c>
      <c r="O978" t="s">
        <v>156</v>
      </c>
      <c r="P978">
        <v>4110019623</v>
      </c>
      <c r="Q978" t="s">
        <v>188</v>
      </c>
      <c r="R978">
        <v>5000</v>
      </c>
      <c r="S978" t="s">
        <v>166</v>
      </c>
      <c r="V978" t="s">
        <v>167</v>
      </c>
      <c r="W978">
        <v>1502040216</v>
      </c>
      <c r="X978" t="s">
        <v>64</v>
      </c>
      <c r="Y978" t="str">
        <f>VLOOKUP(W978,Sheet4!$A$5:$B$71,2,0)</f>
        <v>FRONT MUDGAURD</v>
      </c>
      <c r="Z978">
        <v>87082900</v>
      </c>
      <c r="AA978" s="24">
        <v>1600</v>
      </c>
      <c r="AB978" t="s">
        <v>159</v>
      </c>
      <c r="AC978">
        <v>174.11</v>
      </c>
      <c r="AD978" t="s">
        <v>160</v>
      </c>
      <c r="AE978" s="24">
        <v>278576</v>
      </c>
      <c r="AF978">
        <v>0</v>
      </c>
      <c r="AG978" s="24">
        <v>278576</v>
      </c>
      <c r="AH978">
        <v>0</v>
      </c>
      <c r="AI978">
        <v>0</v>
      </c>
      <c r="AJ978">
        <v>0</v>
      </c>
      <c r="AK978">
        <v>0</v>
      </c>
      <c r="AL978" s="24">
        <v>278576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 s="24">
        <v>278576</v>
      </c>
      <c r="AV978">
        <v>0</v>
      </c>
      <c r="AW978">
        <v>0</v>
      </c>
      <c r="AX978">
        <v>311000</v>
      </c>
      <c r="AY978" t="s">
        <v>161</v>
      </c>
      <c r="AZ978">
        <v>2.573</v>
      </c>
      <c r="BA978">
        <v>1.4910000000000001</v>
      </c>
      <c r="BB978">
        <v>1.0820000000000001</v>
      </c>
      <c r="BC978" t="s">
        <v>189</v>
      </c>
      <c r="BD978">
        <v>1511</v>
      </c>
      <c r="BE978" t="s">
        <v>174</v>
      </c>
      <c r="BF978" t="s">
        <v>163</v>
      </c>
      <c r="BG978" t="s">
        <v>164</v>
      </c>
    </row>
    <row r="979" spans="1:59">
      <c r="A979">
        <v>1115</v>
      </c>
      <c r="B979">
        <v>1115</v>
      </c>
      <c r="C979">
        <v>10</v>
      </c>
      <c r="D979">
        <v>2</v>
      </c>
      <c r="E979" t="s">
        <v>152</v>
      </c>
      <c r="F979" t="s">
        <v>153</v>
      </c>
      <c r="G979" t="s">
        <v>154</v>
      </c>
      <c r="H979">
        <v>1526006713</v>
      </c>
      <c r="I979">
        <v>1000006991</v>
      </c>
      <c r="L979" t="s">
        <v>355</v>
      </c>
      <c r="M979">
        <v>5100001934</v>
      </c>
      <c r="N979" t="s">
        <v>155</v>
      </c>
      <c r="O979" t="s">
        <v>156</v>
      </c>
      <c r="P979">
        <v>4110058649</v>
      </c>
      <c r="Q979" t="s">
        <v>196</v>
      </c>
      <c r="R979">
        <v>5000</v>
      </c>
      <c r="S979" t="s">
        <v>166</v>
      </c>
      <c r="V979" t="s">
        <v>167</v>
      </c>
      <c r="W979">
        <v>1502040217</v>
      </c>
      <c r="X979" t="s">
        <v>197</v>
      </c>
      <c r="Y979" t="str">
        <f>VLOOKUP(W979,Sheet4!$A$5:$B$71,2,0)</f>
        <v>FRONT MUDGARD GOGO</v>
      </c>
      <c r="Z979">
        <v>87082900</v>
      </c>
      <c r="AA979">
        <v>210</v>
      </c>
      <c r="AB979" t="s">
        <v>159</v>
      </c>
      <c r="AC979">
        <v>380.93</v>
      </c>
      <c r="AD979" t="s">
        <v>160</v>
      </c>
      <c r="AE979" s="24">
        <v>79995.3</v>
      </c>
      <c r="AF979">
        <v>0</v>
      </c>
      <c r="AG979" s="24">
        <v>79995.3</v>
      </c>
      <c r="AH979">
        <v>0</v>
      </c>
      <c r="AI979">
        <v>0</v>
      </c>
      <c r="AJ979">
        <v>0</v>
      </c>
      <c r="AK979">
        <v>0</v>
      </c>
      <c r="AL979" s="24">
        <v>79995.3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 s="24">
        <v>79995.3</v>
      </c>
      <c r="AV979">
        <v>0</v>
      </c>
      <c r="AW979">
        <v>0</v>
      </c>
      <c r="AX979">
        <v>311000</v>
      </c>
      <c r="AY979" t="s">
        <v>161</v>
      </c>
      <c r="AZ979">
        <v>2.13</v>
      </c>
      <c r="BA979">
        <v>2.13</v>
      </c>
      <c r="BB979">
        <v>0</v>
      </c>
      <c r="BC979" t="s">
        <v>198</v>
      </c>
      <c r="BD979">
        <v>1511</v>
      </c>
      <c r="BE979" t="s">
        <v>174</v>
      </c>
      <c r="BF979" t="s">
        <v>163</v>
      </c>
      <c r="BG979" t="s">
        <v>164</v>
      </c>
    </row>
    <row r="980" spans="1:59">
      <c r="A980">
        <v>1115</v>
      </c>
      <c r="B980">
        <v>1115</v>
      </c>
      <c r="C980">
        <v>10</v>
      </c>
      <c r="D980">
        <v>2</v>
      </c>
      <c r="E980" t="s">
        <v>152</v>
      </c>
      <c r="F980" t="s">
        <v>153</v>
      </c>
      <c r="G980" t="s">
        <v>154</v>
      </c>
      <c r="H980">
        <v>1526006712</v>
      </c>
      <c r="I980">
        <v>1000006990</v>
      </c>
      <c r="L980" t="s">
        <v>355</v>
      </c>
      <c r="M980">
        <v>5100001943</v>
      </c>
      <c r="N980" t="s">
        <v>155</v>
      </c>
      <c r="O980" t="s">
        <v>156</v>
      </c>
      <c r="P980">
        <v>4110061540</v>
      </c>
      <c r="Q980" t="s">
        <v>349</v>
      </c>
      <c r="R980">
        <v>5000</v>
      </c>
      <c r="S980" t="s">
        <v>166</v>
      </c>
      <c r="V980" t="s">
        <v>167</v>
      </c>
      <c r="W980">
        <v>1502020117</v>
      </c>
      <c r="X980" t="s">
        <v>210</v>
      </c>
      <c r="Y980" t="str">
        <f>VLOOKUP(W980,Sheet4!$A$5:$B$71,2,0)</f>
        <v>MAXIMA HD</v>
      </c>
      <c r="Z980">
        <v>87082900</v>
      </c>
      <c r="AA980">
        <v>6</v>
      </c>
      <c r="AB980" t="s">
        <v>159</v>
      </c>
      <c r="AC980" s="24">
        <v>8350.51</v>
      </c>
      <c r="AD980" t="s">
        <v>160</v>
      </c>
      <c r="AE980" s="24">
        <v>50103.06</v>
      </c>
      <c r="AF980">
        <v>0</v>
      </c>
      <c r="AG980" s="24">
        <v>50103.06</v>
      </c>
      <c r="AH980">
        <v>0</v>
      </c>
      <c r="AI980">
        <v>0</v>
      </c>
      <c r="AJ980">
        <v>0</v>
      </c>
      <c r="AK980">
        <v>0</v>
      </c>
      <c r="AL980" s="24">
        <v>50103.06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 s="24">
        <v>50103.06</v>
      </c>
      <c r="AV980">
        <v>0</v>
      </c>
      <c r="AW980">
        <v>0</v>
      </c>
      <c r="AX980">
        <v>311000</v>
      </c>
      <c r="AY980" t="s">
        <v>161</v>
      </c>
      <c r="AZ980">
        <v>63</v>
      </c>
      <c r="BA980">
        <v>63</v>
      </c>
      <c r="BB980">
        <v>0</v>
      </c>
      <c r="BC980" t="s">
        <v>350</v>
      </c>
      <c r="BD980">
        <v>1509</v>
      </c>
      <c r="BE980" t="s">
        <v>169</v>
      </c>
      <c r="BF980" t="s">
        <v>163</v>
      </c>
      <c r="BG980" t="s">
        <v>164</v>
      </c>
    </row>
    <row r="981" spans="1:59">
      <c r="A981">
        <v>1115</v>
      </c>
      <c r="B981">
        <v>1115</v>
      </c>
      <c r="C981">
        <v>10</v>
      </c>
      <c r="D981">
        <v>2</v>
      </c>
      <c r="E981" t="s">
        <v>152</v>
      </c>
      <c r="F981" t="s">
        <v>153</v>
      </c>
      <c r="G981" t="s">
        <v>154</v>
      </c>
      <c r="H981">
        <v>1526006710</v>
      </c>
      <c r="I981">
        <v>1000006989</v>
      </c>
      <c r="L981" t="s">
        <v>355</v>
      </c>
      <c r="M981">
        <v>5100001636</v>
      </c>
      <c r="N981" t="s">
        <v>155</v>
      </c>
      <c r="O981" t="s">
        <v>156</v>
      </c>
      <c r="P981">
        <v>4110026445</v>
      </c>
      <c r="Q981" t="s">
        <v>170</v>
      </c>
      <c r="R981">
        <v>5000</v>
      </c>
      <c r="S981" t="s">
        <v>166</v>
      </c>
      <c r="V981" t="s">
        <v>167</v>
      </c>
      <c r="W981">
        <v>1502020104</v>
      </c>
      <c r="X981" t="s">
        <v>26</v>
      </c>
      <c r="Y981" t="str">
        <f>VLOOKUP(W981,Sheet4!$A$5:$B$71,2,0)</f>
        <v>RE STYLING</v>
      </c>
      <c r="Z981">
        <v>87082900</v>
      </c>
      <c r="AA981">
        <v>15</v>
      </c>
      <c r="AB981" t="s">
        <v>159</v>
      </c>
      <c r="AC981" s="24">
        <v>6585.55</v>
      </c>
      <c r="AD981" t="s">
        <v>160</v>
      </c>
      <c r="AE981" s="24">
        <v>98783.25</v>
      </c>
      <c r="AF981">
        <v>0</v>
      </c>
      <c r="AG981" s="24">
        <v>98783.25</v>
      </c>
      <c r="AH981">
        <v>0</v>
      </c>
      <c r="AI981">
        <v>0</v>
      </c>
      <c r="AJ981">
        <v>0</v>
      </c>
      <c r="AK981">
        <v>0</v>
      </c>
      <c r="AL981" s="24">
        <v>98783.25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 s="24">
        <v>98783.25</v>
      </c>
      <c r="AV981">
        <v>0</v>
      </c>
      <c r="AW981">
        <v>0</v>
      </c>
      <c r="AX981">
        <v>311000</v>
      </c>
      <c r="AY981" t="s">
        <v>161</v>
      </c>
      <c r="AZ981">
        <v>49.75</v>
      </c>
      <c r="BA981">
        <v>49.75</v>
      </c>
      <c r="BB981">
        <v>0</v>
      </c>
      <c r="BC981" t="s">
        <v>171</v>
      </c>
      <c r="BD981">
        <v>1509</v>
      </c>
      <c r="BE981" t="s">
        <v>169</v>
      </c>
      <c r="BF981" t="s">
        <v>163</v>
      </c>
      <c r="BG981" t="s">
        <v>164</v>
      </c>
    </row>
    <row r="982" spans="1:59">
      <c r="A982">
        <v>1115</v>
      </c>
      <c r="B982">
        <v>1115</v>
      </c>
      <c r="C982">
        <v>10</v>
      </c>
      <c r="D982">
        <v>2</v>
      </c>
      <c r="E982" t="s">
        <v>152</v>
      </c>
      <c r="F982" t="s">
        <v>153</v>
      </c>
      <c r="G982" t="s">
        <v>154</v>
      </c>
      <c r="H982">
        <v>1526006709</v>
      </c>
      <c r="I982">
        <v>1000006988</v>
      </c>
      <c r="L982" t="s">
        <v>355</v>
      </c>
      <c r="M982">
        <v>5100001636</v>
      </c>
      <c r="N982" t="s">
        <v>155</v>
      </c>
      <c r="O982" t="s">
        <v>156</v>
      </c>
      <c r="P982">
        <v>4110026445</v>
      </c>
      <c r="Q982" t="s">
        <v>170</v>
      </c>
      <c r="R982">
        <v>5000</v>
      </c>
      <c r="S982" t="s">
        <v>166</v>
      </c>
      <c r="V982" t="s">
        <v>167</v>
      </c>
      <c r="W982">
        <v>1502020104</v>
      </c>
      <c r="X982" t="s">
        <v>26</v>
      </c>
      <c r="Y982" t="str">
        <f>VLOOKUP(W982,Sheet4!$A$5:$B$71,2,0)</f>
        <v>RE STYLING</v>
      </c>
      <c r="Z982">
        <v>87082900</v>
      </c>
      <c r="AA982">
        <v>15</v>
      </c>
      <c r="AB982" t="s">
        <v>159</v>
      </c>
      <c r="AC982" s="24">
        <v>6585.55</v>
      </c>
      <c r="AD982" t="s">
        <v>160</v>
      </c>
      <c r="AE982" s="24">
        <v>98783.25</v>
      </c>
      <c r="AF982">
        <v>0</v>
      </c>
      <c r="AG982" s="24">
        <v>98783.25</v>
      </c>
      <c r="AH982">
        <v>0</v>
      </c>
      <c r="AI982">
        <v>0</v>
      </c>
      <c r="AJ982">
        <v>0</v>
      </c>
      <c r="AK982">
        <v>0</v>
      </c>
      <c r="AL982" s="24">
        <v>98783.25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 s="24">
        <v>98783.25</v>
      </c>
      <c r="AV982">
        <v>0</v>
      </c>
      <c r="AW982">
        <v>0</v>
      </c>
      <c r="AX982">
        <v>311000</v>
      </c>
      <c r="AY982" t="s">
        <v>161</v>
      </c>
      <c r="AZ982">
        <v>49.75</v>
      </c>
      <c r="BA982">
        <v>49.75</v>
      </c>
      <c r="BB982">
        <v>0</v>
      </c>
      <c r="BC982" t="s">
        <v>171</v>
      </c>
      <c r="BD982">
        <v>1509</v>
      </c>
      <c r="BE982" t="s">
        <v>169</v>
      </c>
      <c r="BF982" t="s">
        <v>163</v>
      </c>
      <c r="BG982" t="s">
        <v>164</v>
      </c>
    </row>
    <row r="983" spans="1:59">
      <c r="A983">
        <v>1115</v>
      </c>
      <c r="B983">
        <v>1115</v>
      </c>
      <c r="C983">
        <v>10</v>
      </c>
      <c r="D983">
        <v>2</v>
      </c>
      <c r="E983" t="s">
        <v>152</v>
      </c>
      <c r="F983" t="s">
        <v>153</v>
      </c>
      <c r="G983" t="s">
        <v>154</v>
      </c>
      <c r="H983">
        <v>1526006708</v>
      </c>
      <c r="I983">
        <v>1000006987</v>
      </c>
      <c r="L983" t="s">
        <v>355</v>
      </c>
      <c r="M983">
        <v>5100001943</v>
      </c>
      <c r="N983" t="s">
        <v>155</v>
      </c>
      <c r="O983" t="s">
        <v>156</v>
      </c>
      <c r="P983">
        <v>4110061540</v>
      </c>
      <c r="Q983" t="s">
        <v>349</v>
      </c>
      <c r="R983">
        <v>5000</v>
      </c>
      <c r="S983" t="s">
        <v>166</v>
      </c>
      <c r="V983" t="s">
        <v>167</v>
      </c>
      <c r="W983">
        <v>1502020117</v>
      </c>
      <c r="X983" t="s">
        <v>210</v>
      </c>
      <c r="Y983" t="str">
        <f>VLOOKUP(W983,Sheet4!$A$5:$B$71,2,0)</f>
        <v>MAXIMA HD</v>
      </c>
      <c r="Z983">
        <v>87082900</v>
      </c>
      <c r="AA983">
        <v>8</v>
      </c>
      <c r="AB983" t="s">
        <v>159</v>
      </c>
      <c r="AC983" s="24">
        <v>8350.51</v>
      </c>
      <c r="AD983" t="s">
        <v>160</v>
      </c>
      <c r="AE983" s="24">
        <v>66804.08</v>
      </c>
      <c r="AF983">
        <v>0</v>
      </c>
      <c r="AG983" s="24">
        <v>66804.08</v>
      </c>
      <c r="AH983">
        <v>0</v>
      </c>
      <c r="AI983">
        <v>0</v>
      </c>
      <c r="AJ983">
        <v>0</v>
      </c>
      <c r="AK983">
        <v>0</v>
      </c>
      <c r="AL983" s="24">
        <v>66804.08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 s="24">
        <v>66804.08</v>
      </c>
      <c r="AV983">
        <v>0</v>
      </c>
      <c r="AW983">
        <v>0</v>
      </c>
      <c r="AX983">
        <v>311000</v>
      </c>
      <c r="AY983" t="s">
        <v>161</v>
      </c>
      <c r="AZ983">
        <v>63</v>
      </c>
      <c r="BA983">
        <v>63</v>
      </c>
      <c r="BB983">
        <v>0</v>
      </c>
      <c r="BC983" t="s">
        <v>350</v>
      </c>
      <c r="BD983">
        <v>1509</v>
      </c>
      <c r="BE983" t="s">
        <v>169</v>
      </c>
      <c r="BF983" t="s">
        <v>163</v>
      </c>
      <c r="BG983" t="s">
        <v>164</v>
      </c>
    </row>
    <row r="984" spans="1:59">
      <c r="A984">
        <v>1115</v>
      </c>
      <c r="B984">
        <v>1115</v>
      </c>
      <c r="C984">
        <v>10</v>
      </c>
      <c r="D984">
        <v>2</v>
      </c>
      <c r="E984" t="s">
        <v>152</v>
      </c>
      <c r="F984" t="s">
        <v>153</v>
      </c>
      <c r="G984" t="s">
        <v>154</v>
      </c>
      <c r="H984">
        <v>1526006707</v>
      </c>
      <c r="I984">
        <v>1000006986</v>
      </c>
      <c r="L984" t="s">
        <v>355</v>
      </c>
      <c r="M984">
        <v>5100001928</v>
      </c>
      <c r="N984" t="s">
        <v>155</v>
      </c>
      <c r="O984" t="s">
        <v>156</v>
      </c>
      <c r="P984">
        <v>4110057393</v>
      </c>
      <c r="Q984" t="s">
        <v>192</v>
      </c>
      <c r="R984">
        <v>5000</v>
      </c>
      <c r="S984" t="s">
        <v>166</v>
      </c>
      <c r="V984" t="s">
        <v>167</v>
      </c>
      <c r="W984">
        <v>1502020122</v>
      </c>
      <c r="X984" t="s">
        <v>70</v>
      </c>
      <c r="Y984" t="str">
        <f>VLOOKUP(W984,Sheet4!$A$5:$B$71,2,0)</f>
        <v>MAX UG NEW EV</v>
      </c>
      <c r="Z984">
        <v>87082900</v>
      </c>
      <c r="AA984">
        <v>10</v>
      </c>
      <c r="AB984" t="s">
        <v>159</v>
      </c>
      <c r="AC984" s="24">
        <v>9566.51</v>
      </c>
      <c r="AD984" t="s">
        <v>160</v>
      </c>
      <c r="AE984" s="24">
        <v>95665.1</v>
      </c>
      <c r="AF984">
        <v>0</v>
      </c>
      <c r="AG984" s="24">
        <v>95665.1</v>
      </c>
      <c r="AH984">
        <v>0</v>
      </c>
      <c r="AI984">
        <v>0</v>
      </c>
      <c r="AJ984">
        <v>0</v>
      </c>
      <c r="AK984">
        <v>0</v>
      </c>
      <c r="AL984" s="24">
        <v>95665.1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 s="24">
        <v>95665.1</v>
      </c>
      <c r="AV984">
        <v>0</v>
      </c>
      <c r="AW984">
        <v>0</v>
      </c>
      <c r="AX984">
        <v>311000</v>
      </c>
      <c r="AY984" t="s">
        <v>161</v>
      </c>
      <c r="AZ984">
        <v>0</v>
      </c>
      <c r="BA984">
        <v>61</v>
      </c>
      <c r="BB984">
        <v>-61</v>
      </c>
      <c r="BC984" t="s">
        <v>193</v>
      </c>
      <c r="BD984">
        <v>1509</v>
      </c>
      <c r="BE984" t="s">
        <v>169</v>
      </c>
      <c r="BF984" t="s">
        <v>163</v>
      </c>
      <c r="BG984" t="s">
        <v>164</v>
      </c>
    </row>
    <row r="985" spans="1:59">
      <c r="A985">
        <v>1115</v>
      </c>
      <c r="B985">
        <v>1115</v>
      </c>
      <c r="C985">
        <v>10</v>
      </c>
      <c r="D985">
        <v>2</v>
      </c>
      <c r="E985" t="s">
        <v>152</v>
      </c>
      <c r="F985" t="s">
        <v>153</v>
      </c>
      <c r="G985" t="s">
        <v>154</v>
      </c>
      <c r="H985">
        <v>1526006706</v>
      </c>
      <c r="I985">
        <v>1000006985</v>
      </c>
      <c r="L985" t="s">
        <v>355</v>
      </c>
      <c r="M985">
        <v>5100001928</v>
      </c>
      <c r="N985" t="s">
        <v>155</v>
      </c>
      <c r="O985" t="s">
        <v>156</v>
      </c>
      <c r="P985">
        <v>4110057393</v>
      </c>
      <c r="Q985" t="s">
        <v>192</v>
      </c>
      <c r="R985">
        <v>5000</v>
      </c>
      <c r="S985" t="s">
        <v>166</v>
      </c>
      <c r="V985" t="s">
        <v>167</v>
      </c>
      <c r="W985">
        <v>1502020122</v>
      </c>
      <c r="X985" t="s">
        <v>70</v>
      </c>
      <c r="Y985" t="str">
        <f>VLOOKUP(W985,Sheet4!$A$5:$B$71,2,0)</f>
        <v>MAX UG NEW EV</v>
      </c>
      <c r="Z985">
        <v>87082900</v>
      </c>
      <c r="AA985">
        <v>10</v>
      </c>
      <c r="AB985" t="s">
        <v>159</v>
      </c>
      <c r="AC985" s="24">
        <v>9566.51</v>
      </c>
      <c r="AD985" t="s">
        <v>160</v>
      </c>
      <c r="AE985" s="24">
        <v>95665.1</v>
      </c>
      <c r="AF985">
        <v>0</v>
      </c>
      <c r="AG985" s="24">
        <v>95665.1</v>
      </c>
      <c r="AH985">
        <v>0</v>
      </c>
      <c r="AI985">
        <v>0</v>
      </c>
      <c r="AJ985">
        <v>0</v>
      </c>
      <c r="AK985">
        <v>0</v>
      </c>
      <c r="AL985" s="24">
        <v>95665.1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 s="24">
        <v>95665.1</v>
      </c>
      <c r="AV985">
        <v>0</v>
      </c>
      <c r="AW985">
        <v>0</v>
      </c>
      <c r="AX985">
        <v>311000</v>
      </c>
      <c r="AY985" t="s">
        <v>161</v>
      </c>
      <c r="AZ985">
        <v>0</v>
      </c>
      <c r="BA985">
        <v>61</v>
      </c>
      <c r="BB985">
        <v>-61</v>
      </c>
      <c r="BC985" t="s">
        <v>193</v>
      </c>
      <c r="BD985">
        <v>1509</v>
      </c>
      <c r="BE985" t="s">
        <v>169</v>
      </c>
      <c r="BF985" t="s">
        <v>163</v>
      </c>
      <c r="BG985" t="s">
        <v>164</v>
      </c>
    </row>
    <row r="986" spans="1:59">
      <c r="A986">
        <v>1115</v>
      </c>
      <c r="B986">
        <v>1115</v>
      </c>
      <c r="C986">
        <v>10</v>
      </c>
      <c r="D986">
        <v>2</v>
      </c>
      <c r="E986" t="s">
        <v>152</v>
      </c>
      <c r="F986" t="s">
        <v>153</v>
      </c>
      <c r="G986" t="s">
        <v>154</v>
      </c>
      <c r="H986">
        <v>1526006705</v>
      </c>
      <c r="I986">
        <v>1000006984</v>
      </c>
      <c r="L986" t="s">
        <v>355</v>
      </c>
      <c r="M986">
        <v>5100001913</v>
      </c>
      <c r="N986" t="s">
        <v>155</v>
      </c>
      <c r="O986" t="s">
        <v>156</v>
      </c>
      <c r="P986">
        <v>4110050475</v>
      </c>
      <c r="Q986" t="s">
        <v>178</v>
      </c>
      <c r="R986">
        <v>5000</v>
      </c>
      <c r="S986" t="s">
        <v>166</v>
      </c>
      <c r="V986" t="s">
        <v>167</v>
      </c>
      <c r="W986">
        <v>1502040289</v>
      </c>
      <c r="X986" t="s">
        <v>49</v>
      </c>
      <c r="Y986" t="str">
        <f>VLOOKUP(W986,Sheet4!$A$5:$B$71,2,0)</f>
        <v>SUPPORT TOP</v>
      </c>
      <c r="Z986">
        <v>87082900</v>
      </c>
      <c r="AA986">
        <v>288</v>
      </c>
      <c r="AB986" t="s">
        <v>159</v>
      </c>
      <c r="AC986">
        <v>174.61</v>
      </c>
      <c r="AD986" t="s">
        <v>160</v>
      </c>
      <c r="AE986" s="24">
        <v>50287.68</v>
      </c>
      <c r="AF986">
        <v>0</v>
      </c>
      <c r="AG986" s="24">
        <v>50287.68</v>
      </c>
      <c r="AH986">
        <v>0</v>
      </c>
      <c r="AI986">
        <v>0</v>
      </c>
      <c r="AJ986">
        <v>0</v>
      </c>
      <c r="AK986">
        <v>0</v>
      </c>
      <c r="AL986" s="24">
        <v>50287.68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 s="24">
        <v>50287.68</v>
      </c>
      <c r="AV986">
        <v>0</v>
      </c>
      <c r="AW986">
        <v>0</v>
      </c>
      <c r="AX986">
        <v>311000</v>
      </c>
      <c r="AY986" t="s">
        <v>161</v>
      </c>
      <c r="AZ986">
        <v>0</v>
      </c>
      <c r="BA986">
        <v>0</v>
      </c>
      <c r="BB986">
        <v>0</v>
      </c>
      <c r="BC986" t="s">
        <v>179</v>
      </c>
      <c r="BD986">
        <v>1511</v>
      </c>
      <c r="BE986" t="s">
        <v>174</v>
      </c>
      <c r="BF986" t="s">
        <v>163</v>
      </c>
      <c r="BG986" t="s">
        <v>164</v>
      </c>
    </row>
    <row r="987" spans="1:59">
      <c r="A987">
        <v>1115</v>
      </c>
      <c r="B987">
        <v>1115</v>
      </c>
      <c r="C987">
        <v>10</v>
      </c>
      <c r="D987">
        <v>2</v>
      </c>
      <c r="E987" t="s">
        <v>152</v>
      </c>
      <c r="F987" t="s">
        <v>153</v>
      </c>
      <c r="G987" t="s">
        <v>154</v>
      </c>
      <c r="H987">
        <v>1526006704</v>
      </c>
      <c r="I987">
        <v>1000006983</v>
      </c>
      <c r="L987" t="s">
        <v>355</v>
      </c>
      <c r="M987">
        <v>5100001101</v>
      </c>
      <c r="N987" t="s">
        <v>155</v>
      </c>
      <c r="O987" t="s">
        <v>156</v>
      </c>
      <c r="P987">
        <v>4110004653</v>
      </c>
      <c r="Q987" t="s">
        <v>177</v>
      </c>
      <c r="R987">
        <v>5000</v>
      </c>
      <c r="S987" t="s">
        <v>166</v>
      </c>
      <c r="V987" t="s">
        <v>167</v>
      </c>
      <c r="W987">
        <v>1502040194</v>
      </c>
      <c r="X987" t="s">
        <v>44</v>
      </c>
      <c r="Y987" t="str">
        <f>VLOOKUP(W987,Sheet4!$A$5:$B$71,2,0)</f>
        <v>CRADEL</v>
      </c>
      <c r="Z987">
        <v>87082900</v>
      </c>
      <c r="AA987">
        <v>48</v>
      </c>
      <c r="AB987" t="s">
        <v>159</v>
      </c>
      <c r="AC987">
        <v>956.92</v>
      </c>
      <c r="AD987" t="s">
        <v>160</v>
      </c>
      <c r="AE987" s="24">
        <v>45932.160000000003</v>
      </c>
      <c r="AF987">
        <v>0</v>
      </c>
      <c r="AG987" s="24">
        <v>45932.160000000003</v>
      </c>
      <c r="AH987">
        <v>0</v>
      </c>
      <c r="AI987">
        <v>0</v>
      </c>
      <c r="AJ987">
        <v>0</v>
      </c>
      <c r="AK987">
        <v>0</v>
      </c>
      <c r="AL987" s="24">
        <v>45932.160000000003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s="24">
        <v>45932.160000000003</v>
      </c>
      <c r="AV987">
        <v>0</v>
      </c>
      <c r="AW987">
        <v>0</v>
      </c>
      <c r="AX987">
        <v>311000</v>
      </c>
      <c r="AY987" t="s">
        <v>161</v>
      </c>
      <c r="AZ987">
        <v>6.3769999999999998</v>
      </c>
      <c r="BA987">
        <v>6.3769999999999998</v>
      </c>
      <c r="BB987">
        <v>0</v>
      </c>
      <c r="BC987" t="s">
        <v>184</v>
      </c>
      <c r="BD987">
        <v>1511</v>
      </c>
      <c r="BE987" t="s">
        <v>174</v>
      </c>
      <c r="BF987" t="s">
        <v>163</v>
      </c>
      <c r="BG987" t="s">
        <v>164</v>
      </c>
    </row>
    <row r="988" spans="1:59">
      <c r="A988">
        <v>1115</v>
      </c>
      <c r="B988">
        <v>1115</v>
      </c>
      <c r="C988">
        <v>10</v>
      </c>
      <c r="D988">
        <v>2</v>
      </c>
      <c r="E988" t="s">
        <v>152</v>
      </c>
      <c r="F988" t="s">
        <v>153</v>
      </c>
      <c r="G988" t="s">
        <v>154</v>
      </c>
      <c r="H988">
        <v>1526006703</v>
      </c>
      <c r="I988">
        <v>1000006982</v>
      </c>
      <c r="L988" t="s">
        <v>355</v>
      </c>
      <c r="M988">
        <v>5100001913</v>
      </c>
      <c r="N988" t="s">
        <v>155</v>
      </c>
      <c r="O988" t="s">
        <v>156</v>
      </c>
      <c r="P988">
        <v>4110050475</v>
      </c>
      <c r="Q988" t="s">
        <v>178</v>
      </c>
      <c r="R988">
        <v>5000</v>
      </c>
      <c r="S988" t="s">
        <v>166</v>
      </c>
      <c r="V988" t="s">
        <v>167</v>
      </c>
      <c r="W988">
        <v>1502040289</v>
      </c>
      <c r="X988" t="s">
        <v>49</v>
      </c>
      <c r="Y988" t="str">
        <f>VLOOKUP(W988,Sheet4!$A$5:$B$71,2,0)</f>
        <v>SUPPORT TOP</v>
      </c>
      <c r="Z988">
        <v>87082900</v>
      </c>
      <c r="AA988">
        <v>200</v>
      </c>
      <c r="AB988" t="s">
        <v>159</v>
      </c>
      <c r="AC988">
        <v>174.61</v>
      </c>
      <c r="AD988" t="s">
        <v>160</v>
      </c>
      <c r="AE988" s="24">
        <v>34922</v>
      </c>
      <c r="AF988">
        <v>0</v>
      </c>
      <c r="AG988" s="24">
        <v>34922</v>
      </c>
      <c r="AH988">
        <v>0</v>
      </c>
      <c r="AI988">
        <v>0</v>
      </c>
      <c r="AJ988">
        <v>0</v>
      </c>
      <c r="AK988">
        <v>0</v>
      </c>
      <c r="AL988" s="24">
        <v>34922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 s="24">
        <v>34922</v>
      </c>
      <c r="AV988">
        <v>0</v>
      </c>
      <c r="AW988">
        <v>0</v>
      </c>
      <c r="AX988">
        <v>311000</v>
      </c>
      <c r="AY988" t="s">
        <v>161</v>
      </c>
      <c r="AZ988">
        <v>0</v>
      </c>
      <c r="BA988">
        <v>0</v>
      </c>
      <c r="BB988">
        <v>0</v>
      </c>
      <c r="BC988" t="s">
        <v>179</v>
      </c>
      <c r="BD988">
        <v>1511</v>
      </c>
      <c r="BE988" t="s">
        <v>174</v>
      </c>
      <c r="BF988" t="s">
        <v>163</v>
      </c>
      <c r="BG988" t="s">
        <v>164</v>
      </c>
    </row>
    <row r="989" spans="1:59">
      <c r="A989">
        <v>1115</v>
      </c>
      <c r="B989">
        <v>1115</v>
      </c>
      <c r="C989">
        <v>10</v>
      </c>
      <c r="D989">
        <v>2</v>
      </c>
      <c r="E989" t="s">
        <v>152</v>
      </c>
      <c r="F989" t="s">
        <v>153</v>
      </c>
      <c r="G989" t="s">
        <v>154</v>
      </c>
      <c r="H989">
        <v>1526006702</v>
      </c>
      <c r="I989">
        <v>1000006981</v>
      </c>
      <c r="L989" t="s">
        <v>355</v>
      </c>
      <c r="M989">
        <v>5100001899</v>
      </c>
      <c r="N989" t="s">
        <v>155</v>
      </c>
      <c r="O989" t="s">
        <v>156</v>
      </c>
      <c r="P989">
        <v>4110041854</v>
      </c>
      <c r="Q989" t="s">
        <v>172</v>
      </c>
      <c r="R989">
        <v>5000</v>
      </c>
      <c r="S989" t="s">
        <v>166</v>
      </c>
      <c r="V989" t="s">
        <v>167</v>
      </c>
      <c r="W989">
        <v>1502040267</v>
      </c>
      <c r="X989" t="s">
        <v>63</v>
      </c>
      <c r="Y989" t="str">
        <f>VLOOKUP(W989,Sheet4!$A$5:$B$71,2,0)</f>
        <v>DASH BOARD</v>
      </c>
      <c r="Z989">
        <v>87082900</v>
      </c>
      <c r="AA989">
        <v>448</v>
      </c>
      <c r="AB989" t="s">
        <v>159</v>
      </c>
      <c r="AC989">
        <v>290.89999999999998</v>
      </c>
      <c r="AD989" t="s">
        <v>160</v>
      </c>
      <c r="AE989" s="24">
        <v>130323.2</v>
      </c>
      <c r="AF989">
        <v>0</v>
      </c>
      <c r="AG989" s="24">
        <v>130323.2</v>
      </c>
      <c r="AH989">
        <v>0</v>
      </c>
      <c r="AI989">
        <v>0</v>
      </c>
      <c r="AJ989">
        <v>0</v>
      </c>
      <c r="AK989">
        <v>0</v>
      </c>
      <c r="AL989" s="24">
        <v>130323.2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 s="24">
        <v>130323.2</v>
      </c>
      <c r="AV989">
        <v>0</v>
      </c>
      <c r="AW989">
        <v>0</v>
      </c>
      <c r="AX989">
        <v>311000</v>
      </c>
      <c r="AY989" t="s">
        <v>161</v>
      </c>
      <c r="AZ989">
        <v>4.5</v>
      </c>
      <c r="BA989">
        <v>4.5</v>
      </c>
      <c r="BB989">
        <v>0</v>
      </c>
      <c r="BC989" t="s">
        <v>173</v>
      </c>
      <c r="BD989">
        <v>1511</v>
      </c>
      <c r="BE989" t="s">
        <v>174</v>
      </c>
      <c r="BF989" t="s">
        <v>163</v>
      </c>
      <c r="BG989" t="s">
        <v>164</v>
      </c>
    </row>
    <row r="990" spans="1:59">
      <c r="A990">
        <v>1115</v>
      </c>
      <c r="B990">
        <v>1115</v>
      </c>
      <c r="C990">
        <v>10</v>
      </c>
      <c r="D990">
        <v>2</v>
      </c>
      <c r="E990" t="s">
        <v>152</v>
      </c>
      <c r="F990" t="s">
        <v>153</v>
      </c>
      <c r="G990" t="s">
        <v>154</v>
      </c>
      <c r="H990">
        <v>1526006701</v>
      </c>
      <c r="I990">
        <v>1000006980</v>
      </c>
      <c r="L990" t="s">
        <v>355</v>
      </c>
      <c r="M990">
        <v>5100001949</v>
      </c>
      <c r="N990" t="s">
        <v>155</v>
      </c>
      <c r="O990" t="s">
        <v>156</v>
      </c>
      <c r="P990">
        <v>4110063766</v>
      </c>
      <c r="Q990" t="s">
        <v>252</v>
      </c>
      <c r="R990">
        <v>5000</v>
      </c>
      <c r="S990" t="s">
        <v>166</v>
      </c>
      <c r="V990" t="s">
        <v>167</v>
      </c>
      <c r="W990">
        <v>1502040322</v>
      </c>
      <c r="X990" t="s">
        <v>250</v>
      </c>
      <c r="Y990" t="str">
        <f>VLOOKUP(W990,Sheet4!$A$5:$B$71,2,0)</f>
        <v>DASH BOARD</v>
      </c>
      <c r="Z990">
        <v>87082900</v>
      </c>
      <c r="AA990">
        <v>60</v>
      </c>
      <c r="AB990" t="s">
        <v>159</v>
      </c>
      <c r="AC990">
        <v>291.27999999999997</v>
      </c>
      <c r="AD990" t="s">
        <v>160</v>
      </c>
      <c r="AE990" s="24">
        <v>17476.8</v>
      </c>
      <c r="AF990">
        <v>0</v>
      </c>
      <c r="AG990" s="24">
        <v>17476.8</v>
      </c>
      <c r="AH990">
        <v>0</v>
      </c>
      <c r="AI990">
        <v>0</v>
      </c>
      <c r="AJ990">
        <v>0</v>
      </c>
      <c r="AK990">
        <v>0</v>
      </c>
      <c r="AL990" s="24">
        <v>17476.8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 s="24">
        <v>17476.8</v>
      </c>
      <c r="AV990">
        <v>0</v>
      </c>
      <c r="AW990">
        <v>0</v>
      </c>
      <c r="AX990">
        <v>311000</v>
      </c>
      <c r="AY990" t="s">
        <v>161</v>
      </c>
      <c r="AZ990">
        <v>2.37</v>
      </c>
      <c r="BA990">
        <v>2.37</v>
      </c>
      <c r="BB990">
        <v>0</v>
      </c>
      <c r="BC990" t="s">
        <v>251</v>
      </c>
      <c r="BD990">
        <v>1511</v>
      </c>
      <c r="BE990" t="s">
        <v>174</v>
      </c>
      <c r="BF990" t="s">
        <v>163</v>
      </c>
      <c r="BG990" t="s">
        <v>164</v>
      </c>
    </row>
    <row r="991" spans="1:59">
      <c r="A991">
        <v>1115</v>
      </c>
      <c r="B991">
        <v>1115</v>
      </c>
      <c r="C991">
        <v>10</v>
      </c>
      <c r="D991">
        <v>2</v>
      </c>
      <c r="E991" t="s">
        <v>152</v>
      </c>
      <c r="F991" t="s">
        <v>153</v>
      </c>
      <c r="G991" t="s">
        <v>154</v>
      </c>
      <c r="H991">
        <v>1526006700</v>
      </c>
      <c r="I991">
        <v>1000006979</v>
      </c>
      <c r="L991" t="s">
        <v>355</v>
      </c>
      <c r="M991">
        <v>5100001445</v>
      </c>
      <c r="N991" t="s">
        <v>155</v>
      </c>
      <c r="O991" t="s">
        <v>156</v>
      </c>
      <c r="P991">
        <v>4110021696</v>
      </c>
      <c r="Q991" t="s">
        <v>239</v>
      </c>
      <c r="R991">
        <v>5000</v>
      </c>
      <c r="S991" t="s">
        <v>166</v>
      </c>
      <c r="V991" t="s">
        <v>167</v>
      </c>
      <c r="W991">
        <v>1502040233</v>
      </c>
      <c r="X991" t="s">
        <v>37</v>
      </c>
      <c r="Y991" t="str">
        <f>VLOOKUP(W991,Sheet4!$A$5:$B$71,2,0)</f>
        <v>FRONT MUDGAURD</v>
      </c>
      <c r="Z991">
        <v>87082900</v>
      </c>
      <c r="AA991">
        <v>750</v>
      </c>
      <c r="AB991" t="s">
        <v>159</v>
      </c>
      <c r="AC991">
        <v>317.45999999999998</v>
      </c>
      <c r="AD991" t="s">
        <v>160</v>
      </c>
      <c r="AE991" s="24">
        <v>238095</v>
      </c>
      <c r="AF991">
        <v>0</v>
      </c>
      <c r="AG991" s="24">
        <v>238095</v>
      </c>
      <c r="AH991">
        <v>0</v>
      </c>
      <c r="AI991">
        <v>0</v>
      </c>
      <c r="AJ991">
        <v>0</v>
      </c>
      <c r="AK991">
        <v>0</v>
      </c>
      <c r="AL991" s="24">
        <v>238095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 s="24">
        <v>238095</v>
      </c>
      <c r="AV991">
        <v>0</v>
      </c>
      <c r="AW991">
        <v>0</v>
      </c>
      <c r="AX991">
        <v>311000</v>
      </c>
      <c r="AY991" t="s">
        <v>161</v>
      </c>
      <c r="AZ991">
        <v>3.4</v>
      </c>
      <c r="BA991">
        <v>2</v>
      </c>
      <c r="BB991">
        <v>1.4</v>
      </c>
      <c r="BC991" t="s">
        <v>238</v>
      </c>
      <c r="BD991">
        <v>1511</v>
      </c>
      <c r="BE991" t="s">
        <v>174</v>
      </c>
      <c r="BF991" t="s">
        <v>163</v>
      </c>
      <c r="BG991" t="s">
        <v>164</v>
      </c>
    </row>
    <row r="992" spans="1:59">
      <c r="A992">
        <v>1115</v>
      </c>
      <c r="B992">
        <v>1115</v>
      </c>
      <c r="C992">
        <v>10</v>
      </c>
      <c r="D992">
        <v>2</v>
      </c>
      <c r="E992" t="s">
        <v>152</v>
      </c>
      <c r="F992" t="s">
        <v>153</v>
      </c>
      <c r="G992" t="s">
        <v>154</v>
      </c>
      <c r="H992">
        <v>1526006699</v>
      </c>
      <c r="I992">
        <v>1000006977</v>
      </c>
      <c r="L992" t="s">
        <v>355</v>
      </c>
      <c r="M992">
        <v>5100001928</v>
      </c>
      <c r="N992" t="s">
        <v>155</v>
      </c>
      <c r="O992" t="s">
        <v>156</v>
      </c>
      <c r="P992">
        <v>4110057393</v>
      </c>
      <c r="Q992" t="s">
        <v>192</v>
      </c>
      <c r="R992">
        <v>5000</v>
      </c>
      <c r="S992" t="s">
        <v>166</v>
      </c>
      <c r="V992" t="s">
        <v>167</v>
      </c>
      <c r="W992">
        <v>1502020122</v>
      </c>
      <c r="X992" t="s">
        <v>70</v>
      </c>
      <c r="Y992" t="str">
        <f>VLOOKUP(W992,Sheet4!$A$5:$B$71,2,0)</f>
        <v>MAX UG NEW EV</v>
      </c>
      <c r="Z992">
        <v>87082900</v>
      </c>
      <c r="AA992">
        <v>10</v>
      </c>
      <c r="AB992" t="s">
        <v>159</v>
      </c>
      <c r="AC992" s="24">
        <v>9566.51</v>
      </c>
      <c r="AD992" t="s">
        <v>160</v>
      </c>
      <c r="AE992" s="24">
        <v>95665.1</v>
      </c>
      <c r="AF992">
        <v>0</v>
      </c>
      <c r="AG992" s="24">
        <v>95665.1</v>
      </c>
      <c r="AH992">
        <v>0</v>
      </c>
      <c r="AI992">
        <v>0</v>
      </c>
      <c r="AJ992">
        <v>0</v>
      </c>
      <c r="AK992">
        <v>0</v>
      </c>
      <c r="AL992" s="24">
        <v>95665.1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 s="24">
        <v>95665.1</v>
      </c>
      <c r="AV992">
        <v>0</v>
      </c>
      <c r="AW992">
        <v>0</v>
      </c>
      <c r="AX992">
        <v>311000</v>
      </c>
      <c r="AY992" t="s">
        <v>161</v>
      </c>
      <c r="AZ992">
        <v>0</v>
      </c>
      <c r="BA992">
        <v>61</v>
      </c>
      <c r="BB992">
        <v>-61</v>
      </c>
      <c r="BC992" t="s">
        <v>193</v>
      </c>
      <c r="BD992">
        <v>1509</v>
      </c>
      <c r="BE992" t="s">
        <v>169</v>
      </c>
      <c r="BF992" t="s">
        <v>163</v>
      </c>
      <c r="BG992" t="s">
        <v>164</v>
      </c>
    </row>
    <row r="993" spans="1:59">
      <c r="A993">
        <v>1115</v>
      </c>
      <c r="B993">
        <v>1115</v>
      </c>
      <c r="C993">
        <v>10</v>
      </c>
      <c r="D993">
        <v>2</v>
      </c>
      <c r="E993" t="s">
        <v>152</v>
      </c>
      <c r="F993" t="s">
        <v>153</v>
      </c>
      <c r="G993" t="s">
        <v>154</v>
      </c>
      <c r="H993">
        <v>1526006698</v>
      </c>
      <c r="I993">
        <v>1000006976</v>
      </c>
      <c r="L993" t="s">
        <v>355</v>
      </c>
      <c r="M993">
        <v>5100001928</v>
      </c>
      <c r="N993" t="s">
        <v>155</v>
      </c>
      <c r="O993" t="s">
        <v>156</v>
      </c>
      <c r="P993">
        <v>4110057393</v>
      </c>
      <c r="Q993" t="s">
        <v>192</v>
      </c>
      <c r="R993">
        <v>5000</v>
      </c>
      <c r="S993" t="s">
        <v>166</v>
      </c>
      <c r="V993" t="s">
        <v>167</v>
      </c>
      <c r="W993">
        <v>1502020122</v>
      </c>
      <c r="X993" t="s">
        <v>70</v>
      </c>
      <c r="Y993" t="str">
        <f>VLOOKUP(W993,Sheet4!$A$5:$B$71,2,0)</f>
        <v>MAX UG NEW EV</v>
      </c>
      <c r="Z993">
        <v>87082900</v>
      </c>
      <c r="AA993">
        <v>10</v>
      </c>
      <c r="AB993" t="s">
        <v>159</v>
      </c>
      <c r="AC993" s="24">
        <v>9566.51</v>
      </c>
      <c r="AD993" t="s">
        <v>160</v>
      </c>
      <c r="AE993" s="24">
        <v>95665.1</v>
      </c>
      <c r="AF993">
        <v>0</v>
      </c>
      <c r="AG993" s="24">
        <v>95665.1</v>
      </c>
      <c r="AH993">
        <v>0</v>
      </c>
      <c r="AI993">
        <v>0</v>
      </c>
      <c r="AJ993">
        <v>0</v>
      </c>
      <c r="AK993">
        <v>0</v>
      </c>
      <c r="AL993" s="24">
        <v>95665.1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 s="24">
        <v>95665.1</v>
      </c>
      <c r="AV993">
        <v>0</v>
      </c>
      <c r="AW993">
        <v>0</v>
      </c>
      <c r="AX993">
        <v>311000</v>
      </c>
      <c r="AY993" t="s">
        <v>161</v>
      </c>
      <c r="AZ993">
        <v>0</v>
      </c>
      <c r="BA993">
        <v>61</v>
      </c>
      <c r="BB993">
        <v>-61</v>
      </c>
      <c r="BC993" t="s">
        <v>193</v>
      </c>
      <c r="BD993">
        <v>1509</v>
      </c>
      <c r="BE993" t="s">
        <v>169</v>
      </c>
      <c r="BF993" t="s">
        <v>163</v>
      </c>
      <c r="BG993" t="s">
        <v>164</v>
      </c>
    </row>
    <row r="994" spans="1:59">
      <c r="A994">
        <v>1115</v>
      </c>
      <c r="B994">
        <v>1115</v>
      </c>
      <c r="C994">
        <v>10</v>
      </c>
      <c r="D994">
        <v>2</v>
      </c>
      <c r="E994" t="s">
        <v>152</v>
      </c>
      <c r="F994" t="s">
        <v>153</v>
      </c>
      <c r="G994" t="s">
        <v>154</v>
      </c>
      <c r="H994">
        <v>1526006697</v>
      </c>
      <c r="I994">
        <v>1000006975</v>
      </c>
      <c r="L994" t="s">
        <v>355</v>
      </c>
      <c r="M994">
        <v>5100001928</v>
      </c>
      <c r="N994" t="s">
        <v>155</v>
      </c>
      <c r="O994" t="s">
        <v>156</v>
      </c>
      <c r="P994">
        <v>4110057393</v>
      </c>
      <c r="Q994" t="s">
        <v>192</v>
      </c>
      <c r="R994">
        <v>5000</v>
      </c>
      <c r="S994" t="s">
        <v>166</v>
      </c>
      <c r="V994" t="s">
        <v>167</v>
      </c>
      <c r="W994">
        <v>1502020122</v>
      </c>
      <c r="X994" t="s">
        <v>70</v>
      </c>
      <c r="Y994" t="str">
        <f>VLOOKUP(W994,Sheet4!$A$5:$B$71,2,0)</f>
        <v>MAX UG NEW EV</v>
      </c>
      <c r="Z994">
        <v>87082900</v>
      </c>
      <c r="AA994">
        <v>10</v>
      </c>
      <c r="AB994" t="s">
        <v>159</v>
      </c>
      <c r="AC994" s="24">
        <v>9566.51</v>
      </c>
      <c r="AD994" t="s">
        <v>160</v>
      </c>
      <c r="AE994" s="24">
        <v>95665.1</v>
      </c>
      <c r="AF994">
        <v>0</v>
      </c>
      <c r="AG994" s="24">
        <v>95665.1</v>
      </c>
      <c r="AH994">
        <v>0</v>
      </c>
      <c r="AI994">
        <v>0</v>
      </c>
      <c r="AJ994">
        <v>0</v>
      </c>
      <c r="AK994">
        <v>0</v>
      </c>
      <c r="AL994" s="24">
        <v>95665.1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 s="24">
        <v>95665.1</v>
      </c>
      <c r="AV994">
        <v>0</v>
      </c>
      <c r="AW994">
        <v>0</v>
      </c>
      <c r="AX994">
        <v>311000</v>
      </c>
      <c r="AY994" t="s">
        <v>161</v>
      </c>
      <c r="AZ994">
        <v>0</v>
      </c>
      <c r="BA994">
        <v>61</v>
      </c>
      <c r="BB994">
        <v>-61</v>
      </c>
      <c r="BC994" t="s">
        <v>193</v>
      </c>
      <c r="BD994">
        <v>1509</v>
      </c>
      <c r="BE994" t="s">
        <v>169</v>
      </c>
      <c r="BF994" t="s">
        <v>163</v>
      </c>
      <c r="BG994" t="s">
        <v>164</v>
      </c>
    </row>
    <row r="995" spans="1:59">
      <c r="A995">
        <v>1115</v>
      </c>
      <c r="B995">
        <v>1115</v>
      </c>
      <c r="C995">
        <v>10</v>
      </c>
      <c r="D995">
        <v>2</v>
      </c>
      <c r="E995" t="s">
        <v>152</v>
      </c>
      <c r="F995" t="s">
        <v>153</v>
      </c>
      <c r="G995" t="s">
        <v>154</v>
      </c>
      <c r="H995">
        <v>1526006696</v>
      </c>
      <c r="I995">
        <v>1000006974</v>
      </c>
      <c r="L995" t="s">
        <v>355</v>
      </c>
      <c r="M995">
        <v>5100001636</v>
      </c>
      <c r="N995" t="s">
        <v>155</v>
      </c>
      <c r="O995" t="s">
        <v>156</v>
      </c>
      <c r="P995">
        <v>4110026445</v>
      </c>
      <c r="Q995" t="s">
        <v>170</v>
      </c>
      <c r="R995">
        <v>5000</v>
      </c>
      <c r="S995" t="s">
        <v>166</v>
      </c>
      <c r="V995" t="s">
        <v>167</v>
      </c>
      <c r="W995">
        <v>1502020104</v>
      </c>
      <c r="X995" t="s">
        <v>26</v>
      </c>
      <c r="Y995" t="str">
        <f>VLOOKUP(W995,Sheet4!$A$5:$B$71,2,0)</f>
        <v>RE STYLING</v>
      </c>
      <c r="Z995">
        <v>87082900</v>
      </c>
      <c r="AA995">
        <v>15</v>
      </c>
      <c r="AB995" t="s">
        <v>159</v>
      </c>
      <c r="AC995" s="24">
        <v>6585.55</v>
      </c>
      <c r="AD995" t="s">
        <v>160</v>
      </c>
      <c r="AE995" s="24">
        <v>98783.25</v>
      </c>
      <c r="AF995">
        <v>0</v>
      </c>
      <c r="AG995" s="24">
        <v>98783.25</v>
      </c>
      <c r="AH995">
        <v>0</v>
      </c>
      <c r="AI995">
        <v>0</v>
      </c>
      <c r="AJ995">
        <v>0</v>
      </c>
      <c r="AK995">
        <v>0</v>
      </c>
      <c r="AL995" s="24">
        <v>98783.25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 s="24">
        <v>98783.25</v>
      </c>
      <c r="AV995">
        <v>0</v>
      </c>
      <c r="AW995">
        <v>0</v>
      </c>
      <c r="AX995">
        <v>311000</v>
      </c>
      <c r="AY995" t="s">
        <v>161</v>
      </c>
      <c r="AZ995">
        <v>49.75</v>
      </c>
      <c r="BA995">
        <v>49.75</v>
      </c>
      <c r="BB995">
        <v>0</v>
      </c>
      <c r="BC995" t="s">
        <v>171</v>
      </c>
      <c r="BD995">
        <v>1509</v>
      </c>
      <c r="BE995" t="s">
        <v>169</v>
      </c>
      <c r="BF995" t="s">
        <v>163</v>
      </c>
      <c r="BG995" t="s">
        <v>164</v>
      </c>
    </row>
    <row r="996" spans="1:59">
      <c r="A996">
        <v>1115</v>
      </c>
      <c r="B996">
        <v>1115</v>
      </c>
      <c r="C996">
        <v>10</v>
      </c>
      <c r="D996">
        <v>2</v>
      </c>
      <c r="E996" t="s">
        <v>152</v>
      </c>
      <c r="F996" t="s">
        <v>153</v>
      </c>
      <c r="G996" t="s">
        <v>154</v>
      </c>
      <c r="H996">
        <v>1526006695</v>
      </c>
      <c r="I996">
        <v>1000006973</v>
      </c>
      <c r="L996" t="s">
        <v>355</v>
      </c>
      <c r="M996">
        <v>5100001636</v>
      </c>
      <c r="N996" t="s">
        <v>155</v>
      </c>
      <c r="O996" t="s">
        <v>156</v>
      </c>
      <c r="P996">
        <v>4110026445</v>
      </c>
      <c r="Q996" t="s">
        <v>170</v>
      </c>
      <c r="R996">
        <v>5000</v>
      </c>
      <c r="S996" t="s">
        <v>166</v>
      </c>
      <c r="V996" t="s">
        <v>167</v>
      </c>
      <c r="W996">
        <v>1502020104</v>
      </c>
      <c r="X996" t="s">
        <v>26</v>
      </c>
      <c r="Y996" t="str">
        <f>VLOOKUP(W996,Sheet4!$A$5:$B$71,2,0)</f>
        <v>RE STYLING</v>
      </c>
      <c r="Z996">
        <v>87082900</v>
      </c>
      <c r="AA996">
        <v>15</v>
      </c>
      <c r="AB996" t="s">
        <v>159</v>
      </c>
      <c r="AC996" s="24">
        <v>6585.55</v>
      </c>
      <c r="AD996" t="s">
        <v>160</v>
      </c>
      <c r="AE996" s="24">
        <v>98783.25</v>
      </c>
      <c r="AF996">
        <v>0</v>
      </c>
      <c r="AG996" s="24">
        <v>98783.25</v>
      </c>
      <c r="AH996">
        <v>0</v>
      </c>
      <c r="AI996">
        <v>0</v>
      </c>
      <c r="AJ996">
        <v>0</v>
      </c>
      <c r="AK996">
        <v>0</v>
      </c>
      <c r="AL996" s="24">
        <v>98783.25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 s="24">
        <v>98783.25</v>
      </c>
      <c r="AV996">
        <v>0</v>
      </c>
      <c r="AW996">
        <v>0</v>
      </c>
      <c r="AX996">
        <v>311000</v>
      </c>
      <c r="AY996" t="s">
        <v>161</v>
      </c>
      <c r="AZ996">
        <v>49.75</v>
      </c>
      <c r="BA996">
        <v>49.75</v>
      </c>
      <c r="BB996">
        <v>0</v>
      </c>
      <c r="BC996" t="s">
        <v>171</v>
      </c>
      <c r="BD996">
        <v>1509</v>
      </c>
      <c r="BE996" t="s">
        <v>169</v>
      </c>
      <c r="BF996" t="s">
        <v>163</v>
      </c>
      <c r="BG996" t="s">
        <v>164</v>
      </c>
    </row>
    <row r="997" spans="1:59">
      <c r="A997">
        <v>1115</v>
      </c>
      <c r="B997">
        <v>1115</v>
      </c>
      <c r="C997">
        <v>10</v>
      </c>
      <c r="D997">
        <v>2</v>
      </c>
      <c r="E997" t="s">
        <v>152</v>
      </c>
      <c r="F997" t="s">
        <v>153</v>
      </c>
      <c r="G997" t="s">
        <v>154</v>
      </c>
      <c r="H997">
        <v>1526006694</v>
      </c>
      <c r="I997">
        <v>1000006972</v>
      </c>
      <c r="L997" t="s">
        <v>355</v>
      </c>
      <c r="M997">
        <v>5100001636</v>
      </c>
      <c r="N997" t="s">
        <v>155</v>
      </c>
      <c r="O997" t="s">
        <v>156</v>
      </c>
      <c r="P997">
        <v>4110026445</v>
      </c>
      <c r="Q997" t="s">
        <v>170</v>
      </c>
      <c r="R997">
        <v>5000</v>
      </c>
      <c r="S997" t="s">
        <v>166</v>
      </c>
      <c r="V997" t="s">
        <v>167</v>
      </c>
      <c r="W997">
        <v>1502020104</v>
      </c>
      <c r="X997" t="s">
        <v>26</v>
      </c>
      <c r="Y997" t="str">
        <f>VLOOKUP(W997,Sheet4!$A$5:$B$71,2,0)</f>
        <v>RE STYLING</v>
      </c>
      <c r="Z997">
        <v>87082900</v>
      </c>
      <c r="AA997">
        <v>15</v>
      </c>
      <c r="AB997" t="s">
        <v>159</v>
      </c>
      <c r="AC997" s="24">
        <v>6585.55</v>
      </c>
      <c r="AD997" t="s">
        <v>160</v>
      </c>
      <c r="AE997" s="24">
        <v>98783.25</v>
      </c>
      <c r="AF997">
        <v>0</v>
      </c>
      <c r="AG997" s="24">
        <v>98783.25</v>
      </c>
      <c r="AH997">
        <v>0</v>
      </c>
      <c r="AI997">
        <v>0</v>
      </c>
      <c r="AJ997">
        <v>0</v>
      </c>
      <c r="AK997">
        <v>0</v>
      </c>
      <c r="AL997" s="24">
        <v>98783.25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 s="24">
        <v>98783.25</v>
      </c>
      <c r="AV997">
        <v>0</v>
      </c>
      <c r="AW997">
        <v>0</v>
      </c>
      <c r="AX997">
        <v>311000</v>
      </c>
      <c r="AY997" t="s">
        <v>161</v>
      </c>
      <c r="AZ997">
        <v>49.75</v>
      </c>
      <c r="BA997">
        <v>49.75</v>
      </c>
      <c r="BB997">
        <v>0</v>
      </c>
      <c r="BC997" t="s">
        <v>171</v>
      </c>
      <c r="BD997">
        <v>1509</v>
      </c>
      <c r="BE997" t="s">
        <v>169</v>
      </c>
      <c r="BF997" t="s">
        <v>163</v>
      </c>
      <c r="BG997" t="s">
        <v>164</v>
      </c>
    </row>
    <row r="998" spans="1:59">
      <c r="A998">
        <v>1115</v>
      </c>
      <c r="B998">
        <v>1115</v>
      </c>
      <c r="C998">
        <v>10</v>
      </c>
      <c r="D998">
        <v>2</v>
      </c>
      <c r="E998" t="s">
        <v>152</v>
      </c>
      <c r="F998" t="s">
        <v>153</v>
      </c>
      <c r="G998" t="s">
        <v>154</v>
      </c>
      <c r="H998">
        <v>1526006693</v>
      </c>
      <c r="I998">
        <v>1000006971</v>
      </c>
      <c r="L998" t="s">
        <v>355</v>
      </c>
      <c r="M998">
        <v>5100001636</v>
      </c>
      <c r="N998" t="s">
        <v>155</v>
      </c>
      <c r="O998" t="s">
        <v>156</v>
      </c>
      <c r="P998">
        <v>4110026445</v>
      </c>
      <c r="Q998" t="s">
        <v>170</v>
      </c>
      <c r="R998">
        <v>5000</v>
      </c>
      <c r="S998" t="s">
        <v>166</v>
      </c>
      <c r="V998" t="s">
        <v>167</v>
      </c>
      <c r="W998">
        <v>1502020104</v>
      </c>
      <c r="X998" t="s">
        <v>26</v>
      </c>
      <c r="Y998" t="str">
        <f>VLOOKUP(W998,Sheet4!$A$5:$B$71,2,0)</f>
        <v>RE STYLING</v>
      </c>
      <c r="Z998">
        <v>87082900</v>
      </c>
      <c r="AA998">
        <v>15</v>
      </c>
      <c r="AB998" t="s">
        <v>159</v>
      </c>
      <c r="AC998" s="24">
        <v>6585.55</v>
      </c>
      <c r="AD998" t="s">
        <v>160</v>
      </c>
      <c r="AE998" s="24">
        <v>98783.25</v>
      </c>
      <c r="AF998">
        <v>0</v>
      </c>
      <c r="AG998" s="24">
        <v>98783.25</v>
      </c>
      <c r="AH998">
        <v>0</v>
      </c>
      <c r="AI998">
        <v>0</v>
      </c>
      <c r="AJ998">
        <v>0</v>
      </c>
      <c r="AK998">
        <v>0</v>
      </c>
      <c r="AL998" s="24">
        <v>98783.25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 s="24">
        <v>98783.25</v>
      </c>
      <c r="AV998">
        <v>0</v>
      </c>
      <c r="AW998">
        <v>0</v>
      </c>
      <c r="AX998">
        <v>311000</v>
      </c>
      <c r="AY998" t="s">
        <v>161</v>
      </c>
      <c r="AZ998">
        <v>49.75</v>
      </c>
      <c r="BA998">
        <v>49.75</v>
      </c>
      <c r="BB998">
        <v>0</v>
      </c>
      <c r="BC998" t="s">
        <v>171</v>
      </c>
      <c r="BD998">
        <v>1509</v>
      </c>
      <c r="BE998" t="s">
        <v>169</v>
      </c>
      <c r="BF998" t="s">
        <v>163</v>
      </c>
      <c r="BG998" t="s">
        <v>164</v>
      </c>
    </row>
    <row r="999" spans="1:59">
      <c r="A999">
        <v>1115</v>
      </c>
      <c r="B999">
        <v>1115</v>
      </c>
      <c r="C999">
        <v>10</v>
      </c>
      <c r="D999">
        <v>2</v>
      </c>
      <c r="E999" t="s">
        <v>152</v>
      </c>
      <c r="F999" t="s">
        <v>153</v>
      </c>
      <c r="G999" t="s">
        <v>154</v>
      </c>
      <c r="H999">
        <v>1526006692</v>
      </c>
      <c r="I999">
        <v>1000006970</v>
      </c>
      <c r="L999" t="s">
        <v>355</v>
      </c>
      <c r="M999">
        <v>5100001636</v>
      </c>
      <c r="N999" t="s">
        <v>155</v>
      </c>
      <c r="O999" t="s">
        <v>156</v>
      </c>
      <c r="P999">
        <v>4110026445</v>
      </c>
      <c r="Q999" t="s">
        <v>170</v>
      </c>
      <c r="R999">
        <v>5000</v>
      </c>
      <c r="S999" t="s">
        <v>166</v>
      </c>
      <c r="V999" t="s">
        <v>167</v>
      </c>
      <c r="W999">
        <v>1502020104</v>
      </c>
      <c r="X999" t="s">
        <v>26</v>
      </c>
      <c r="Y999" t="str">
        <f>VLOOKUP(W999,Sheet4!$A$5:$B$71,2,0)</f>
        <v>RE STYLING</v>
      </c>
      <c r="Z999">
        <v>87082900</v>
      </c>
      <c r="AA999">
        <v>15</v>
      </c>
      <c r="AB999" t="s">
        <v>159</v>
      </c>
      <c r="AC999" s="24">
        <v>6585.55</v>
      </c>
      <c r="AD999" t="s">
        <v>160</v>
      </c>
      <c r="AE999" s="24">
        <v>98783.25</v>
      </c>
      <c r="AF999">
        <v>0</v>
      </c>
      <c r="AG999" s="24">
        <v>98783.25</v>
      </c>
      <c r="AH999">
        <v>0</v>
      </c>
      <c r="AI999">
        <v>0</v>
      </c>
      <c r="AJ999">
        <v>0</v>
      </c>
      <c r="AK999">
        <v>0</v>
      </c>
      <c r="AL999" s="24">
        <v>98783.25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 s="24">
        <v>98783.25</v>
      </c>
      <c r="AV999">
        <v>0</v>
      </c>
      <c r="AW999">
        <v>0</v>
      </c>
      <c r="AX999">
        <v>311000</v>
      </c>
      <c r="AY999" t="s">
        <v>161</v>
      </c>
      <c r="AZ999">
        <v>49.75</v>
      </c>
      <c r="BA999">
        <v>49.75</v>
      </c>
      <c r="BB999">
        <v>0</v>
      </c>
      <c r="BC999" t="s">
        <v>171</v>
      </c>
      <c r="BD999">
        <v>1509</v>
      </c>
      <c r="BE999" t="s">
        <v>169</v>
      </c>
      <c r="BF999" t="s">
        <v>163</v>
      </c>
      <c r="BG999" t="s">
        <v>164</v>
      </c>
    </row>
    <row r="1000" spans="1:59">
      <c r="A1000">
        <v>1115</v>
      </c>
      <c r="B1000">
        <v>1115</v>
      </c>
      <c r="C1000">
        <v>10</v>
      </c>
      <c r="D1000">
        <v>2</v>
      </c>
      <c r="E1000" t="s">
        <v>152</v>
      </c>
      <c r="F1000" t="s">
        <v>153</v>
      </c>
      <c r="G1000" t="s">
        <v>154</v>
      </c>
      <c r="H1000">
        <v>1526006686</v>
      </c>
      <c r="I1000">
        <v>1000006964</v>
      </c>
      <c r="L1000" t="s">
        <v>355</v>
      </c>
      <c r="M1000">
        <v>5100001928</v>
      </c>
      <c r="N1000" t="s">
        <v>155</v>
      </c>
      <c r="O1000" t="s">
        <v>156</v>
      </c>
      <c r="P1000">
        <v>4110057393</v>
      </c>
      <c r="Q1000" t="s">
        <v>192</v>
      </c>
      <c r="R1000">
        <v>5000</v>
      </c>
      <c r="S1000" t="s">
        <v>166</v>
      </c>
      <c r="V1000" t="s">
        <v>167</v>
      </c>
      <c r="W1000">
        <v>1502020122</v>
      </c>
      <c r="X1000" t="s">
        <v>70</v>
      </c>
      <c r="Y1000" t="str">
        <f>VLOOKUP(W1000,Sheet4!$A$5:$B$71,2,0)</f>
        <v>MAX UG NEW EV</v>
      </c>
      <c r="Z1000">
        <v>87082900</v>
      </c>
      <c r="AA1000">
        <v>10</v>
      </c>
      <c r="AB1000" t="s">
        <v>159</v>
      </c>
      <c r="AC1000" s="24">
        <v>9566.51</v>
      </c>
      <c r="AD1000" t="s">
        <v>160</v>
      </c>
      <c r="AE1000" s="24">
        <v>95665.1</v>
      </c>
      <c r="AF1000">
        <v>0</v>
      </c>
      <c r="AG1000" s="24">
        <v>95665.1</v>
      </c>
      <c r="AH1000">
        <v>0</v>
      </c>
      <c r="AI1000">
        <v>0</v>
      </c>
      <c r="AJ1000">
        <v>0</v>
      </c>
      <c r="AK1000">
        <v>0</v>
      </c>
      <c r="AL1000" s="24">
        <v>95665.1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 s="24">
        <v>95665.1</v>
      </c>
      <c r="AV1000">
        <v>0</v>
      </c>
      <c r="AW1000">
        <v>0</v>
      </c>
      <c r="AX1000">
        <v>311000</v>
      </c>
      <c r="AY1000" t="s">
        <v>161</v>
      </c>
      <c r="AZ1000">
        <v>0</v>
      </c>
      <c r="BA1000">
        <v>61</v>
      </c>
      <c r="BB1000">
        <v>-61</v>
      </c>
      <c r="BC1000" t="s">
        <v>193</v>
      </c>
      <c r="BD1000">
        <v>1509</v>
      </c>
      <c r="BE1000" t="s">
        <v>169</v>
      </c>
      <c r="BF1000" t="s">
        <v>163</v>
      </c>
      <c r="BG1000" t="s">
        <v>164</v>
      </c>
    </row>
    <row r="1001" spans="1:59">
      <c r="A1001">
        <v>1115</v>
      </c>
      <c r="B1001">
        <v>1115</v>
      </c>
      <c r="C1001">
        <v>10</v>
      </c>
      <c r="D1001">
        <v>2</v>
      </c>
      <c r="E1001" t="s">
        <v>152</v>
      </c>
      <c r="F1001" t="s">
        <v>153</v>
      </c>
      <c r="G1001" t="s">
        <v>154</v>
      </c>
      <c r="H1001">
        <v>1526006685</v>
      </c>
      <c r="I1001">
        <v>1000006962</v>
      </c>
      <c r="L1001" t="s">
        <v>355</v>
      </c>
      <c r="M1001">
        <v>5100001928</v>
      </c>
      <c r="N1001" t="s">
        <v>155</v>
      </c>
      <c r="O1001" t="s">
        <v>156</v>
      </c>
      <c r="P1001">
        <v>4110057393</v>
      </c>
      <c r="Q1001" t="s">
        <v>192</v>
      </c>
      <c r="R1001">
        <v>5000</v>
      </c>
      <c r="S1001" t="s">
        <v>166</v>
      </c>
      <c r="V1001" t="s">
        <v>167</v>
      </c>
      <c r="W1001">
        <v>1502020122</v>
      </c>
      <c r="X1001" t="s">
        <v>70</v>
      </c>
      <c r="Y1001" t="str">
        <f>VLOOKUP(W1001,Sheet4!$A$5:$B$71,2,0)</f>
        <v>MAX UG NEW EV</v>
      </c>
      <c r="Z1001">
        <v>87082900</v>
      </c>
      <c r="AA1001">
        <v>10</v>
      </c>
      <c r="AB1001" t="s">
        <v>159</v>
      </c>
      <c r="AC1001" s="24">
        <v>9566.51</v>
      </c>
      <c r="AD1001" t="s">
        <v>160</v>
      </c>
      <c r="AE1001" s="24">
        <v>95665.1</v>
      </c>
      <c r="AF1001">
        <v>0</v>
      </c>
      <c r="AG1001" s="24">
        <v>95665.1</v>
      </c>
      <c r="AH1001">
        <v>0</v>
      </c>
      <c r="AI1001">
        <v>0</v>
      </c>
      <c r="AJ1001">
        <v>0</v>
      </c>
      <c r="AK1001">
        <v>0</v>
      </c>
      <c r="AL1001" s="24">
        <v>95665.1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 s="24">
        <v>95665.1</v>
      </c>
      <c r="AV1001">
        <v>0</v>
      </c>
      <c r="AW1001">
        <v>0</v>
      </c>
      <c r="AX1001">
        <v>311000</v>
      </c>
      <c r="AY1001" t="s">
        <v>161</v>
      </c>
      <c r="AZ1001">
        <v>0</v>
      </c>
      <c r="BA1001">
        <v>61</v>
      </c>
      <c r="BB1001">
        <v>-61</v>
      </c>
      <c r="BC1001" t="s">
        <v>193</v>
      </c>
      <c r="BD1001">
        <v>1509</v>
      </c>
      <c r="BE1001" t="s">
        <v>169</v>
      </c>
      <c r="BF1001" t="s">
        <v>163</v>
      </c>
      <c r="BG1001" t="s">
        <v>164</v>
      </c>
    </row>
    <row r="1002" spans="1:59">
      <c r="A1002">
        <v>1115</v>
      </c>
      <c r="B1002">
        <v>1115</v>
      </c>
      <c r="C1002">
        <v>10</v>
      </c>
      <c r="D1002">
        <v>2</v>
      </c>
      <c r="E1002" t="s">
        <v>152</v>
      </c>
      <c r="F1002" t="s">
        <v>153</v>
      </c>
      <c r="G1002" t="s">
        <v>154</v>
      </c>
      <c r="H1002">
        <v>1526006681</v>
      </c>
      <c r="I1002">
        <v>1000006959</v>
      </c>
      <c r="L1002" t="s">
        <v>355</v>
      </c>
      <c r="M1002">
        <v>5100001948</v>
      </c>
      <c r="N1002" t="s">
        <v>155</v>
      </c>
      <c r="O1002" t="s">
        <v>156</v>
      </c>
      <c r="P1002">
        <v>4110063856</v>
      </c>
      <c r="Q1002" t="s">
        <v>356</v>
      </c>
      <c r="R1002">
        <v>5000</v>
      </c>
      <c r="S1002" t="s">
        <v>166</v>
      </c>
      <c r="V1002" t="s">
        <v>167</v>
      </c>
      <c r="W1002">
        <v>1502020141</v>
      </c>
      <c r="X1002" t="s">
        <v>357</v>
      </c>
      <c r="Y1002" t="str">
        <f>VLOOKUP(W1002,Sheet4!$A$5:$B$71,2,0)</f>
        <v>RE STYLING</v>
      </c>
      <c r="Z1002">
        <v>87082900</v>
      </c>
      <c r="AA1002">
        <v>15</v>
      </c>
      <c r="AB1002" t="s">
        <v>159</v>
      </c>
      <c r="AC1002" s="24">
        <v>6509.4</v>
      </c>
      <c r="AD1002" t="s">
        <v>160</v>
      </c>
      <c r="AE1002" s="24">
        <v>97641</v>
      </c>
      <c r="AF1002">
        <v>0</v>
      </c>
      <c r="AG1002" s="24">
        <v>97641</v>
      </c>
      <c r="AH1002">
        <v>0</v>
      </c>
      <c r="AI1002">
        <v>0</v>
      </c>
      <c r="AJ1002">
        <v>0</v>
      </c>
      <c r="AK1002">
        <v>0</v>
      </c>
      <c r="AL1002" s="24">
        <v>97641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 s="24">
        <v>97641</v>
      </c>
      <c r="AV1002">
        <v>0</v>
      </c>
      <c r="AW1002">
        <v>0</v>
      </c>
      <c r="AX1002">
        <v>311000</v>
      </c>
      <c r="AY1002" t="s">
        <v>161</v>
      </c>
      <c r="AZ1002">
        <v>53</v>
      </c>
      <c r="BA1002">
        <v>0</v>
      </c>
      <c r="BB1002">
        <v>53</v>
      </c>
      <c r="BC1002" t="s">
        <v>358</v>
      </c>
      <c r="BD1002">
        <v>1509</v>
      </c>
      <c r="BE1002" t="s">
        <v>169</v>
      </c>
      <c r="BF1002" t="s">
        <v>163</v>
      </c>
      <c r="BG1002" t="s">
        <v>164</v>
      </c>
    </row>
    <row r="1003" spans="1:59">
      <c r="A1003">
        <v>1115</v>
      </c>
      <c r="B1003">
        <v>1115</v>
      </c>
      <c r="C1003">
        <v>10</v>
      </c>
      <c r="D1003">
        <v>2</v>
      </c>
      <c r="E1003" t="s">
        <v>152</v>
      </c>
      <c r="F1003" t="s">
        <v>153</v>
      </c>
      <c r="G1003" t="s">
        <v>154</v>
      </c>
      <c r="H1003">
        <v>1526006680</v>
      </c>
      <c r="I1003">
        <v>1000006958</v>
      </c>
      <c r="L1003" t="s">
        <v>355</v>
      </c>
      <c r="M1003">
        <v>5100001948</v>
      </c>
      <c r="N1003" t="s">
        <v>155</v>
      </c>
      <c r="O1003" t="s">
        <v>156</v>
      </c>
      <c r="P1003">
        <v>4110063856</v>
      </c>
      <c r="Q1003" t="s">
        <v>356</v>
      </c>
      <c r="R1003">
        <v>5000</v>
      </c>
      <c r="S1003" t="s">
        <v>166</v>
      </c>
      <c r="V1003" t="s">
        <v>167</v>
      </c>
      <c r="W1003">
        <v>1502020141</v>
      </c>
      <c r="X1003" t="s">
        <v>357</v>
      </c>
      <c r="Y1003" t="str">
        <f>VLOOKUP(W1003,Sheet4!$A$5:$B$71,2,0)</f>
        <v>RE STYLING</v>
      </c>
      <c r="Z1003">
        <v>87082900</v>
      </c>
      <c r="AA1003">
        <v>9</v>
      </c>
      <c r="AB1003" t="s">
        <v>159</v>
      </c>
      <c r="AC1003" s="24">
        <v>6509.4</v>
      </c>
      <c r="AD1003" t="s">
        <v>160</v>
      </c>
      <c r="AE1003" s="24">
        <v>58584.6</v>
      </c>
      <c r="AF1003">
        <v>0</v>
      </c>
      <c r="AG1003" s="24">
        <v>58584.6</v>
      </c>
      <c r="AH1003">
        <v>0</v>
      </c>
      <c r="AI1003">
        <v>0</v>
      </c>
      <c r="AJ1003">
        <v>0</v>
      </c>
      <c r="AK1003">
        <v>0</v>
      </c>
      <c r="AL1003" s="24">
        <v>58584.6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 s="24">
        <v>58584.6</v>
      </c>
      <c r="AV1003">
        <v>0</v>
      </c>
      <c r="AW1003">
        <v>0</v>
      </c>
      <c r="AX1003">
        <v>311000</v>
      </c>
      <c r="AY1003" t="s">
        <v>161</v>
      </c>
      <c r="AZ1003">
        <v>53</v>
      </c>
      <c r="BA1003">
        <v>0</v>
      </c>
      <c r="BB1003">
        <v>53</v>
      </c>
      <c r="BC1003" t="s">
        <v>358</v>
      </c>
      <c r="BD1003">
        <v>1509</v>
      </c>
      <c r="BE1003" t="s">
        <v>169</v>
      </c>
      <c r="BF1003" t="s">
        <v>163</v>
      </c>
      <c r="BG1003" t="s">
        <v>164</v>
      </c>
    </row>
    <row r="1004" spans="1:59">
      <c r="A1004">
        <v>1115</v>
      </c>
      <c r="B1004">
        <v>1115</v>
      </c>
      <c r="C1004">
        <v>10</v>
      </c>
      <c r="D1004">
        <v>2</v>
      </c>
      <c r="E1004" t="s">
        <v>152</v>
      </c>
      <c r="F1004" t="s">
        <v>153</v>
      </c>
      <c r="G1004" t="s">
        <v>154</v>
      </c>
      <c r="H1004">
        <v>1526006679</v>
      </c>
      <c r="I1004">
        <v>1000006957</v>
      </c>
      <c r="L1004" t="s">
        <v>355</v>
      </c>
      <c r="M1004">
        <v>5100001949</v>
      </c>
      <c r="N1004" t="s">
        <v>155</v>
      </c>
      <c r="O1004" t="s">
        <v>156</v>
      </c>
      <c r="P1004">
        <v>4110063766</v>
      </c>
      <c r="Q1004" t="s">
        <v>252</v>
      </c>
      <c r="R1004">
        <v>5000</v>
      </c>
      <c r="S1004" t="s">
        <v>166</v>
      </c>
      <c r="V1004" t="s">
        <v>167</v>
      </c>
      <c r="W1004">
        <v>1502040322</v>
      </c>
      <c r="X1004" t="s">
        <v>250</v>
      </c>
      <c r="Y1004" t="str">
        <f>VLOOKUP(W1004,Sheet4!$A$5:$B$71,2,0)</f>
        <v>DASH BOARD</v>
      </c>
      <c r="Z1004">
        <v>87082900</v>
      </c>
      <c r="AA1004">
        <v>60</v>
      </c>
      <c r="AB1004" t="s">
        <v>159</v>
      </c>
      <c r="AC1004">
        <v>291.27999999999997</v>
      </c>
      <c r="AD1004" t="s">
        <v>160</v>
      </c>
      <c r="AE1004" s="24">
        <v>17476.8</v>
      </c>
      <c r="AF1004">
        <v>0</v>
      </c>
      <c r="AG1004" s="24">
        <v>17476.8</v>
      </c>
      <c r="AH1004">
        <v>0</v>
      </c>
      <c r="AI1004">
        <v>0</v>
      </c>
      <c r="AJ1004">
        <v>0</v>
      </c>
      <c r="AK1004">
        <v>0</v>
      </c>
      <c r="AL1004" s="24">
        <v>17476.8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 s="24">
        <v>17476.8</v>
      </c>
      <c r="AV1004">
        <v>0</v>
      </c>
      <c r="AW1004">
        <v>0</v>
      </c>
      <c r="AX1004">
        <v>311000</v>
      </c>
      <c r="AY1004" t="s">
        <v>161</v>
      </c>
      <c r="AZ1004">
        <v>2.37</v>
      </c>
      <c r="BA1004">
        <v>2.37</v>
      </c>
      <c r="BB1004">
        <v>0</v>
      </c>
      <c r="BC1004" t="s">
        <v>251</v>
      </c>
      <c r="BD1004">
        <v>1511</v>
      </c>
      <c r="BE1004" t="s">
        <v>174</v>
      </c>
      <c r="BF1004" t="s">
        <v>163</v>
      </c>
      <c r="BG1004" t="s">
        <v>164</v>
      </c>
    </row>
    <row r="1005" spans="1:59">
      <c r="A1005">
        <v>1115</v>
      </c>
      <c r="B1005">
        <v>1115</v>
      </c>
      <c r="C1005">
        <v>10</v>
      </c>
      <c r="D1005">
        <v>2</v>
      </c>
      <c r="E1005" t="s">
        <v>152</v>
      </c>
      <c r="F1005" t="s">
        <v>153</v>
      </c>
      <c r="G1005" t="s">
        <v>154</v>
      </c>
      <c r="H1005">
        <v>1526006676</v>
      </c>
      <c r="I1005">
        <v>1000006953</v>
      </c>
      <c r="L1005" t="s">
        <v>355</v>
      </c>
      <c r="M1005">
        <v>5100001919</v>
      </c>
      <c r="N1005" t="s">
        <v>155</v>
      </c>
      <c r="O1005" t="s">
        <v>156</v>
      </c>
      <c r="P1005">
        <v>5500000930</v>
      </c>
      <c r="Q1005" t="s">
        <v>157</v>
      </c>
      <c r="R1005">
        <v>5356</v>
      </c>
      <c r="S1005" t="s">
        <v>158</v>
      </c>
      <c r="W1005">
        <v>1502010011</v>
      </c>
      <c r="X1005" t="s">
        <v>35</v>
      </c>
      <c r="Y1005" t="str">
        <f>VLOOKUP(W1005,Sheet4!$A$5:$B$71,2,0)</f>
        <v>REAR MUDGAURD</v>
      </c>
      <c r="Z1005">
        <v>87082900</v>
      </c>
      <c r="AA1005">
        <v>432</v>
      </c>
      <c r="AB1005" t="s">
        <v>159</v>
      </c>
      <c r="AC1005">
        <v>89.25</v>
      </c>
      <c r="AD1005" t="s">
        <v>160</v>
      </c>
      <c r="AE1005" s="24">
        <v>38556</v>
      </c>
      <c r="AF1005">
        <v>0</v>
      </c>
      <c r="AG1005" s="24">
        <v>38556</v>
      </c>
      <c r="AH1005">
        <v>0</v>
      </c>
      <c r="AI1005">
        <v>0</v>
      </c>
      <c r="AJ1005">
        <v>0</v>
      </c>
      <c r="AK1005">
        <v>0</v>
      </c>
      <c r="AL1005" s="24">
        <v>38556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 s="24">
        <v>38556</v>
      </c>
      <c r="AV1005">
        <v>0</v>
      </c>
      <c r="AW1005">
        <v>0</v>
      </c>
      <c r="AX1005">
        <v>311000</v>
      </c>
      <c r="AY1005" t="s">
        <v>161</v>
      </c>
      <c r="AZ1005">
        <v>1.32</v>
      </c>
      <c r="BA1005">
        <v>0.72399999999999998</v>
      </c>
      <c r="BB1005">
        <v>0.59599999999999997</v>
      </c>
      <c r="BC1005">
        <v>2000001017</v>
      </c>
      <c r="BD1005">
        <v>1508</v>
      </c>
      <c r="BE1005" t="s">
        <v>162</v>
      </c>
      <c r="BF1005" t="s">
        <v>163</v>
      </c>
      <c r="BG1005" t="s">
        <v>164</v>
      </c>
    </row>
    <row r="1006" spans="1:59">
      <c r="A1006">
        <v>1115</v>
      </c>
      <c r="B1006">
        <v>1115</v>
      </c>
      <c r="C1006">
        <v>10</v>
      </c>
      <c r="D1006">
        <v>2</v>
      </c>
      <c r="E1006" t="s">
        <v>152</v>
      </c>
      <c r="F1006" t="s">
        <v>153</v>
      </c>
      <c r="G1006" t="s">
        <v>154</v>
      </c>
      <c r="H1006">
        <v>1526006675</v>
      </c>
      <c r="I1006">
        <v>1000006952</v>
      </c>
      <c r="L1006" t="s">
        <v>355</v>
      </c>
      <c r="M1006">
        <v>5100001919</v>
      </c>
      <c r="N1006" t="s">
        <v>155</v>
      </c>
      <c r="O1006" t="s">
        <v>156</v>
      </c>
      <c r="P1006">
        <v>5500000930</v>
      </c>
      <c r="Q1006" t="s">
        <v>157</v>
      </c>
      <c r="R1006">
        <v>5356</v>
      </c>
      <c r="S1006" t="s">
        <v>158</v>
      </c>
      <c r="W1006">
        <v>1502010011</v>
      </c>
      <c r="X1006" t="s">
        <v>35</v>
      </c>
      <c r="Y1006" t="str">
        <f>VLOOKUP(W1006,Sheet4!$A$5:$B$71,2,0)</f>
        <v>REAR MUDGAURD</v>
      </c>
      <c r="Z1006">
        <v>87082900</v>
      </c>
      <c r="AA1006">
        <v>432</v>
      </c>
      <c r="AB1006" t="s">
        <v>159</v>
      </c>
      <c r="AC1006">
        <v>89.25</v>
      </c>
      <c r="AD1006" t="s">
        <v>160</v>
      </c>
      <c r="AE1006" s="24">
        <v>38556</v>
      </c>
      <c r="AF1006">
        <v>0</v>
      </c>
      <c r="AG1006" s="24">
        <v>38556</v>
      </c>
      <c r="AH1006">
        <v>0</v>
      </c>
      <c r="AI1006">
        <v>0</v>
      </c>
      <c r="AJ1006">
        <v>0</v>
      </c>
      <c r="AK1006">
        <v>0</v>
      </c>
      <c r="AL1006" s="24">
        <v>38556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 s="24">
        <v>38556</v>
      </c>
      <c r="AV1006">
        <v>0</v>
      </c>
      <c r="AW1006">
        <v>0</v>
      </c>
      <c r="AX1006">
        <v>311000</v>
      </c>
      <c r="AY1006" t="s">
        <v>161</v>
      </c>
      <c r="AZ1006">
        <v>1.32</v>
      </c>
      <c r="BA1006">
        <v>0.72399999999999998</v>
      </c>
      <c r="BB1006">
        <v>0.59599999999999997</v>
      </c>
      <c r="BC1006">
        <v>2000001017</v>
      </c>
      <c r="BD1006">
        <v>1508</v>
      </c>
      <c r="BE1006" t="s">
        <v>162</v>
      </c>
      <c r="BF1006" t="s">
        <v>163</v>
      </c>
      <c r="BG1006" t="s">
        <v>164</v>
      </c>
    </row>
    <row r="1007" spans="1:59">
      <c r="A1007">
        <v>1115</v>
      </c>
      <c r="B1007">
        <v>1115</v>
      </c>
      <c r="C1007">
        <v>10</v>
      </c>
      <c r="D1007">
        <v>2</v>
      </c>
      <c r="E1007" t="s">
        <v>152</v>
      </c>
      <c r="F1007" t="s">
        <v>153</v>
      </c>
      <c r="G1007" t="s">
        <v>154</v>
      </c>
      <c r="H1007">
        <v>1526006674</v>
      </c>
      <c r="I1007">
        <v>1000006951</v>
      </c>
      <c r="L1007" t="s">
        <v>355</v>
      </c>
      <c r="M1007">
        <v>5100001919</v>
      </c>
      <c r="N1007" t="s">
        <v>155</v>
      </c>
      <c r="O1007" t="s">
        <v>156</v>
      </c>
      <c r="P1007">
        <v>5500000930</v>
      </c>
      <c r="Q1007" t="s">
        <v>157</v>
      </c>
      <c r="R1007">
        <v>5356</v>
      </c>
      <c r="S1007" t="s">
        <v>158</v>
      </c>
      <c r="W1007">
        <v>1502010011</v>
      </c>
      <c r="X1007" t="s">
        <v>35</v>
      </c>
      <c r="Y1007" t="str">
        <f>VLOOKUP(W1007,Sheet4!$A$5:$B$71,2,0)</f>
        <v>REAR MUDGAURD</v>
      </c>
      <c r="Z1007">
        <v>87082900</v>
      </c>
      <c r="AA1007">
        <v>432</v>
      </c>
      <c r="AB1007" t="s">
        <v>159</v>
      </c>
      <c r="AC1007">
        <v>89.25</v>
      </c>
      <c r="AD1007" t="s">
        <v>160</v>
      </c>
      <c r="AE1007" s="24">
        <v>38556</v>
      </c>
      <c r="AF1007">
        <v>0</v>
      </c>
      <c r="AG1007" s="24">
        <v>38556</v>
      </c>
      <c r="AH1007">
        <v>0</v>
      </c>
      <c r="AI1007">
        <v>0</v>
      </c>
      <c r="AJ1007">
        <v>0</v>
      </c>
      <c r="AK1007">
        <v>0</v>
      </c>
      <c r="AL1007" s="24">
        <v>38556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 s="24">
        <v>38556</v>
      </c>
      <c r="AV1007">
        <v>0</v>
      </c>
      <c r="AW1007">
        <v>0</v>
      </c>
      <c r="AX1007">
        <v>311000</v>
      </c>
      <c r="AY1007" t="s">
        <v>161</v>
      </c>
      <c r="AZ1007">
        <v>1.32</v>
      </c>
      <c r="BA1007">
        <v>0.72399999999999998</v>
      </c>
      <c r="BB1007">
        <v>0.59599999999999997</v>
      </c>
      <c r="BC1007">
        <v>2000001017</v>
      </c>
      <c r="BD1007">
        <v>1508</v>
      </c>
      <c r="BE1007" t="s">
        <v>162</v>
      </c>
      <c r="BF1007" t="s">
        <v>163</v>
      </c>
      <c r="BG1007" t="s">
        <v>164</v>
      </c>
    </row>
    <row r="1008" spans="1:59">
      <c r="A1008">
        <v>1115</v>
      </c>
      <c r="B1008">
        <v>1115</v>
      </c>
      <c r="C1008">
        <v>10</v>
      </c>
      <c r="D1008">
        <v>2</v>
      </c>
      <c r="E1008" t="s">
        <v>152</v>
      </c>
      <c r="F1008" t="s">
        <v>153</v>
      </c>
      <c r="G1008" t="s">
        <v>154</v>
      </c>
      <c r="H1008">
        <v>1526006729</v>
      </c>
      <c r="I1008">
        <v>1000007007</v>
      </c>
      <c r="L1008" t="s">
        <v>355</v>
      </c>
      <c r="M1008">
        <v>5100001939</v>
      </c>
      <c r="N1008" t="s">
        <v>155</v>
      </c>
      <c r="O1008" t="s">
        <v>156</v>
      </c>
      <c r="P1008">
        <v>4110059608</v>
      </c>
      <c r="Q1008" t="s">
        <v>240</v>
      </c>
      <c r="R1008">
        <v>5000</v>
      </c>
      <c r="S1008" t="s">
        <v>166</v>
      </c>
      <c r="V1008" t="s">
        <v>167</v>
      </c>
      <c r="W1008">
        <v>1502020129</v>
      </c>
      <c r="X1008" t="s">
        <v>241</v>
      </c>
      <c r="Y1008" t="str">
        <f>VLOOKUP(W1008,Sheet4!$A$5:$B$71,2,0)</f>
        <v>RE STYLING</v>
      </c>
      <c r="Z1008">
        <v>87082900</v>
      </c>
      <c r="AA1008">
        <v>15</v>
      </c>
      <c r="AB1008" t="s">
        <v>159</v>
      </c>
      <c r="AC1008" s="24">
        <v>6500.18</v>
      </c>
      <c r="AD1008" t="s">
        <v>160</v>
      </c>
      <c r="AE1008" s="24">
        <v>97502.7</v>
      </c>
      <c r="AF1008">
        <v>0</v>
      </c>
      <c r="AG1008" s="24">
        <v>97502.7</v>
      </c>
      <c r="AH1008">
        <v>0</v>
      </c>
      <c r="AI1008">
        <v>0</v>
      </c>
      <c r="AJ1008">
        <v>0</v>
      </c>
      <c r="AK1008">
        <v>0</v>
      </c>
      <c r="AL1008" s="24">
        <v>97502.7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 s="24">
        <v>97502.7</v>
      </c>
      <c r="AV1008">
        <v>0</v>
      </c>
      <c r="AW1008">
        <v>0</v>
      </c>
      <c r="AX1008">
        <v>311000</v>
      </c>
      <c r="AY1008" t="s">
        <v>161</v>
      </c>
      <c r="AZ1008">
        <v>0</v>
      </c>
      <c r="BA1008">
        <v>0</v>
      </c>
      <c r="BB1008">
        <v>0</v>
      </c>
      <c r="BC1008" t="s">
        <v>242</v>
      </c>
      <c r="BD1008">
        <v>1509</v>
      </c>
      <c r="BE1008" t="s">
        <v>169</v>
      </c>
      <c r="BF1008" t="s">
        <v>163</v>
      </c>
      <c r="BG1008" t="s">
        <v>164</v>
      </c>
    </row>
    <row r="1009" spans="1:59">
      <c r="A1009">
        <v>1115</v>
      </c>
      <c r="B1009">
        <v>1115</v>
      </c>
      <c r="C1009">
        <v>10</v>
      </c>
      <c r="D1009">
        <v>2</v>
      </c>
      <c r="E1009" t="s">
        <v>152</v>
      </c>
      <c r="F1009" t="s">
        <v>153</v>
      </c>
      <c r="G1009" t="s">
        <v>154</v>
      </c>
      <c r="H1009">
        <v>1526006773</v>
      </c>
      <c r="I1009">
        <v>1000007052</v>
      </c>
      <c r="L1009" t="s">
        <v>355</v>
      </c>
      <c r="M1009">
        <v>5100001939</v>
      </c>
      <c r="N1009" t="s">
        <v>155</v>
      </c>
      <c r="O1009" t="s">
        <v>156</v>
      </c>
      <c r="P1009">
        <v>4110059608</v>
      </c>
      <c r="Q1009" t="s">
        <v>240</v>
      </c>
      <c r="R1009">
        <v>5000</v>
      </c>
      <c r="S1009" t="s">
        <v>166</v>
      </c>
      <c r="V1009" t="s">
        <v>167</v>
      </c>
      <c r="W1009">
        <v>1502020129</v>
      </c>
      <c r="X1009" t="s">
        <v>241</v>
      </c>
      <c r="Y1009" t="str">
        <f>VLOOKUP(W1009,Sheet4!$A$5:$B$71,2,0)</f>
        <v>RE STYLING</v>
      </c>
      <c r="Z1009">
        <v>87082900</v>
      </c>
      <c r="AA1009">
        <v>15</v>
      </c>
      <c r="AB1009" t="s">
        <v>159</v>
      </c>
      <c r="AC1009" s="24">
        <v>6500.18</v>
      </c>
      <c r="AD1009" t="s">
        <v>160</v>
      </c>
      <c r="AE1009" s="24">
        <v>97502.7</v>
      </c>
      <c r="AF1009">
        <v>0</v>
      </c>
      <c r="AG1009" s="24">
        <v>97502.7</v>
      </c>
      <c r="AH1009">
        <v>0</v>
      </c>
      <c r="AI1009">
        <v>0</v>
      </c>
      <c r="AJ1009">
        <v>0</v>
      </c>
      <c r="AK1009">
        <v>0</v>
      </c>
      <c r="AL1009" s="24">
        <v>97502.7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 s="24">
        <v>97502.7</v>
      </c>
      <c r="AV1009">
        <v>0</v>
      </c>
      <c r="AW1009">
        <v>0</v>
      </c>
      <c r="AX1009">
        <v>311000</v>
      </c>
      <c r="AY1009" t="s">
        <v>161</v>
      </c>
      <c r="AZ1009">
        <v>0</v>
      </c>
      <c r="BA1009">
        <v>0</v>
      </c>
      <c r="BB1009">
        <v>0</v>
      </c>
      <c r="BC1009" t="s">
        <v>242</v>
      </c>
      <c r="BD1009">
        <v>1509</v>
      </c>
      <c r="BE1009" t="s">
        <v>169</v>
      </c>
      <c r="BF1009" t="s">
        <v>163</v>
      </c>
      <c r="BG1009" t="s">
        <v>164</v>
      </c>
    </row>
    <row r="1010" spans="1:59">
      <c r="A1010">
        <v>1115</v>
      </c>
      <c r="B1010">
        <v>1115</v>
      </c>
      <c r="C1010">
        <v>10</v>
      </c>
      <c r="D1010">
        <v>2</v>
      </c>
      <c r="E1010" t="s">
        <v>152</v>
      </c>
      <c r="F1010" t="s">
        <v>153</v>
      </c>
      <c r="G1010" t="s">
        <v>154</v>
      </c>
      <c r="H1010">
        <v>1526006772</v>
      </c>
      <c r="I1010">
        <v>1000007051</v>
      </c>
      <c r="L1010" t="s">
        <v>355</v>
      </c>
      <c r="M1010">
        <v>5100001939</v>
      </c>
      <c r="N1010" t="s">
        <v>155</v>
      </c>
      <c r="O1010" t="s">
        <v>156</v>
      </c>
      <c r="P1010">
        <v>4110059608</v>
      </c>
      <c r="Q1010" t="s">
        <v>240</v>
      </c>
      <c r="R1010">
        <v>5000</v>
      </c>
      <c r="S1010" t="s">
        <v>166</v>
      </c>
      <c r="V1010" t="s">
        <v>167</v>
      </c>
      <c r="W1010">
        <v>1502020129</v>
      </c>
      <c r="X1010" t="s">
        <v>241</v>
      </c>
      <c r="Y1010" t="str">
        <f>VLOOKUP(W1010,Sheet4!$A$5:$B$71,2,0)</f>
        <v>RE STYLING</v>
      </c>
      <c r="Z1010">
        <v>87082900</v>
      </c>
      <c r="AA1010">
        <v>15</v>
      </c>
      <c r="AB1010" t="s">
        <v>159</v>
      </c>
      <c r="AC1010" s="24">
        <v>6500.18</v>
      </c>
      <c r="AD1010" t="s">
        <v>160</v>
      </c>
      <c r="AE1010" s="24">
        <v>97502.7</v>
      </c>
      <c r="AF1010">
        <v>0</v>
      </c>
      <c r="AG1010" s="24">
        <v>97502.7</v>
      </c>
      <c r="AH1010">
        <v>0</v>
      </c>
      <c r="AI1010">
        <v>0</v>
      </c>
      <c r="AJ1010">
        <v>0</v>
      </c>
      <c r="AK1010">
        <v>0</v>
      </c>
      <c r="AL1010" s="24">
        <v>97502.7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 s="24">
        <v>97502.7</v>
      </c>
      <c r="AV1010">
        <v>0</v>
      </c>
      <c r="AW1010">
        <v>0</v>
      </c>
      <c r="AX1010">
        <v>311000</v>
      </c>
      <c r="AY1010" t="s">
        <v>161</v>
      </c>
      <c r="AZ1010">
        <v>0</v>
      </c>
      <c r="BA1010">
        <v>0</v>
      </c>
      <c r="BB1010">
        <v>0</v>
      </c>
      <c r="BC1010" t="s">
        <v>242</v>
      </c>
      <c r="BD1010">
        <v>1509</v>
      </c>
      <c r="BE1010" t="s">
        <v>169</v>
      </c>
      <c r="BF1010" t="s">
        <v>163</v>
      </c>
      <c r="BG1010" t="s">
        <v>164</v>
      </c>
    </row>
    <row r="1011" spans="1:59">
      <c r="A1011">
        <v>1115</v>
      </c>
      <c r="B1011">
        <v>1115</v>
      </c>
      <c r="C1011">
        <v>10</v>
      </c>
      <c r="D1011">
        <v>2</v>
      </c>
      <c r="E1011" t="s">
        <v>152</v>
      </c>
      <c r="F1011" t="s">
        <v>153</v>
      </c>
      <c r="G1011" t="s">
        <v>154</v>
      </c>
      <c r="H1011">
        <v>1526006771</v>
      </c>
      <c r="I1011">
        <v>1000007050</v>
      </c>
      <c r="L1011" t="s">
        <v>355</v>
      </c>
      <c r="M1011">
        <v>5100001939</v>
      </c>
      <c r="N1011" t="s">
        <v>155</v>
      </c>
      <c r="O1011" t="s">
        <v>156</v>
      </c>
      <c r="P1011">
        <v>4110059608</v>
      </c>
      <c r="Q1011" t="s">
        <v>240</v>
      </c>
      <c r="R1011">
        <v>5000</v>
      </c>
      <c r="S1011" t="s">
        <v>166</v>
      </c>
      <c r="V1011" t="s">
        <v>167</v>
      </c>
      <c r="W1011">
        <v>1502020129</v>
      </c>
      <c r="X1011" t="s">
        <v>241</v>
      </c>
      <c r="Y1011" t="str">
        <f>VLOOKUP(W1011,Sheet4!$A$5:$B$71,2,0)</f>
        <v>RE STYLING</v>
      </c>
      <c r="Z1011">
        <v>87082900</v>
      </c>
      <c r="AA1011">
        <v>15</v>
      </c>
      <c r="AB1011" t="s">
        <v>159</v>
      </c>
      <c r="AC1011" s="24">
        <v>6500.18</v>
      </c>
      <c r="AD1011" t="s">
        <v>160</v>
      </c>
      <c r="AE1011" s="24">
        <v>97502.7</v>
      </c>
      <c r="AF1011">
        <v>0</v>
      </c>
      <c r="AG1011" s="24">
        <v>97502.7</v>
      </c>
      <c r="AH1011">
        <v>0</v>
      </c>
      <c r="AI1011">
        <v>0</v>
      </c>
      <c r="AJ1011">
        <v>0</v>
      </c>
      <c r="AK1011">
        <v>0</v>
      </c>
      <c r="AL1011" s="24">
        <v>97502.7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 s="24">
        <v>97502.7</v>
      </c>
      <c r="AV1011">
        <v>0</v>
      </c>
      <c r="AW1011">
        <v>0</v>
      </c>
      <c r="AX1011">
        <v>311000</v>
      </c>
      <c r="AY1011" t="s">
        <v>161</v>
      </c>
      <c r="AZ1011">
        <v>0</v>
      </c>
      <c r="BA1011">
        <v>0</v>
      </c>
      <c r="BB1011">
        <v>0</v>
      </c>
      <c r="BC1011" t="s">
        <v>242</v>
      </c>
      <c r="BD1011">
        <v>1509</v>
      </c>
      <c r="BE1011" t="s">
        <v>169</v>
      </c>
      <c r="BF1011" t="s">
        <v>163</v>
      </c>
      <c r="BG1011" t="s">
        <v>164</v>
      </c>
    </row>
    <row r="1012" spans="1:59">
      <c r="A1012">
        <v>1115</v>
      </c>
      <c r="B1012">
        <v>1115</v>
      </c>
      <c r="C1012">
        <v>10</v>
      </c>
      <c r="D1012">
        <v>2</v>
      </c>
      <c r="E1012" t="s">
        <v>152</v>
      </c>
      <c r="F1012" t="s">
        <v>153</v>
      </c>
      <c r="G1012" t="s">
        <v>154</v>
      </c>
      <c r="H1012">
        <v>1526006770</v>
      </c>
      <c r="I1012">
        <v>1000007049</v>
      </c>
      <c r="L1012" t="s">
        <v>355</v>
      </c>
      <c r="M1012">
        <v>5100001939</v>
      </c>
      <c r="N1012" t="s">
        <v>155</v>
      </c>
      <c r="O1012" t="s">
        <v>156</v>
      </c>
      <c r="P1012">
        <v>4110059608</v>
      </c>
      <c r="Q1012" t="s">
        <v>240</v>
      </c>
      <c r="R1012">
        <v>5000</v>
      </c>
      <c r="S1012" t="s">
        <v>166</v>
      </c>
      <c r="V1012" t="s">
        <v>167</v>
      </c>
      <c r="W1012">
        <v>1502020129</v>
      </c>
      <c r="X1012" t="s">
        <v>241</v>
      </c>
      <c r="Y1012" t="str">
        <f>VLOOKUP(W1012,Sheet4!$A$5:$B$71,2,0)</f>
        <v>RE STYLING</v>
      </c>
      <c r="Z1012">
        <v>87082900</v>
      </c>
      <c r="AA1012">
        <v>15</v>
      </c>
      <c r="AB1012" t="s">
        <v>159</v>
      </c>
      <c r="AC1012" s="24">
        <v>6500.18</v>
      </c>
      <c r="AD1012" t="s">
        <v>160</v>
      </c>
      <c r="AE1012" s="24">
        <v>97502.7</v>
      </c>
      <c r="AF1012">
        <v>0</v>
      </c>
      <c r="AG1012" s="24">
        <v>97502.7</v>
      </c>
      <c r="AH1012">
        <v>0</v>
      </c>
      <c r="AI1012">
        <v>0</v>
      </c>
      <c r="AJ1012">
        <v>0</v>
      </c>
      <c r="AK1012">
        <v>0</v>
      </c>
      <c r="AL1012" s="24">
        <v>97502.7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 s="24">
        <v>97502.7</v>
      </c>
      <c r="AV1012">
        <v>0</v>
      </c>
      <c r="AW1012">
        <v>0</v>
      </c>
      <c r="AX1012">
        <v>311000</v>
      </c>
      <c r="AY1012" t="s">
        <v>161</v>
      </c>
      <c r="AZ1012">
        <v>0</v>
      </c>
      <c r="BA1012">
        <v>0</v>
      </c>
      <c r="BB1012">
        <v>0</v>
      </c>
      <c r="BC1012" t="s">
        <v>242</v>
      </c>
      <c r="BD1012">
        <v>1509</v>
      </c>
      <c r="BE1012" t="s">
        <v>169</v>
      </c>
      <c r="BF1012" t="s">
        <v>163</v>
      </c>
      <c r="BG1012" t="s">
        <v>164</v>
      </c>
    </row>
    <row r="1013" spans="1:59">
      <c r="A1013">
        <v>1115</v>
      </c>
      <c r="B1013">
        <v>1115</v>
      </c>
      <c r="C1013">
        <v>10</v>
      </c>
      <c r="D1013">
        <v>2</v>
      </c>
      <c r="E1013" t="s">
        <v>152</v>
      </c>
      <c r="F1013" t="s">
        <v>153</v>
      </c>
      <c r="G1013" t="s">
        <v>154</v>
      </c>
      <c r="H1013">
        <v>1526006769</v>
      </c>
      <c r="I1013">
        <v>1000007048</v>
      </c>
      <c r="L1013" t="s">
        <v>355</v>
      </c>
      <c r="M1013">
        <v>5100001939</v>
      </c>
      <c r="N1013" t="s">
        <v>155</v>
      </c>
      <c r="O1013" t="s">
        <v>156</v>
      </c>
      <c r="P1013">
        <v>4110059608</v>
      </c>
      <c r="Q1013" t="s">
        <v>240</v>
      </c>
      <c r="R1013">
        <v>5000</v>
      </c>
      <c r="S1013" t="s">
        <v>166</v>
      </c>
      <c r="V1013" t="s">
        <v>167</v>
      </c>
      <c r="W1013">
        <v>1502020129</v>
      </c>
      <c r="X1013" t="s">
        <v>241</v>
      </c>
      <c r="Y1013" t="str">
        <f>VLOOKUP(W1013,Sheet4!$A$5:$B$71,2,0)</f>
        <v>RE STYLING</v>
      </c>
      <c r="Z1013">
        <v>87082900</v>
      </c>
      <c r="AA1013">
        <v>12</v>
      </c>
      <c r="AB1013" t="s">
        <v>159</v>
      </c>
      <c r="AC1013" s="24">
        <v>6500.18</v>
      </c>
      <c r="AD1013" t="s">
        <v>160</v>
      </c>
      <c r="AE1013" s="24">
        <v>78002.16</v>
      </c>
      <c r="AF1013">
        <v>0</v>
      </c>
      <c r="AG1013" s="24">
        <v>78002.16</v>
      </c>
      <c r="AH1013">
        <v>0</v>
      </c>
      <c r="AI1013">
        <v>0</v>
      </c>
      <c r="AJ1013">
        <v>0</v>
      </c>
      <c r="AK1013">
        <v>0</v>
      </c>
      <c r="AL1013" s="24">
        <v>78002.16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 s="24">
        <v>78002.16</v>
      </c>
      <c r="AV1013">
        <v>0</v>
      </c>
      <c r="AW1013">
        <v>0</v>
      </c>
      <c r="AX1013">
        <v>311000</v>
      </c>
      <c r="AY1013" t="s">
        <v>161</v>
      </c>
      <c r="AZ1013">
        <v>0</v>
      </c>
      <c r="BA1013">
        <v>0</v>
      </c>
      <c r="BB1013">
        <v>0</v>
      </c>
      <c r="BC1013" t="s">
        <v>242</v>
      </c>
      <c r="BD1013">
        <v>1509</v>
      </c>
      <c r="BE1013" t="s">
        <v>169</v>
      </c>
      <c r="BF1013" t="s">
        <v>163</v>
      </c>
      <c r="BG1013" t="s">
        <v>164</v>
      </c>
    </row>
    <row r="1014" spans="1:59">
      <c r="A1014">
        <v>1115</v>
      </c>
      <c r="B1014">
        <v>1115</v>
      </c>
      <c r="C1014">
        <v>10</v>
      </c>
      <c r="D1014">
        <v>2</v>
      </c>
      <c r="E1014" t="s">
        <v>152</v>
      </c>
      <c r="F1014" t="s">
        <v>153</v>
      </c>
      <c r="G1014" t="s">
        <v>154</v>
      </c>
      <c r="H1014">
        <v>1526006768</v>
      </c>
      <c r="I1014">
        <v>1000007047</v>
      </c>
      <c r="L1014" t="s">
        <v>355</v>
      </c>
      <c r="M1014">
        <v>5100001949</v>
      </c>
      <c r="N1014" t="s">
        <v>155</v>
      </c>
      <c r="O1014" t="s">
        <v>156</v>
      </c>
      <c r="P1014">
        <v>4110063766</v>
      </c>
      <c r="Q1014" t="s">
        <v>252</v>
      </c>
      <c r="R1014">
        <v>5000</v>
      </c>
      <c r="S1014" t="s">
        <v>166</v>
      </c>
      <c r="V1014" t="s">
        <v>167</v>
      </c>
      <c r="W1014">
        <v>1502040322</v>
      </c>
      <c r="X1014" t="s">
        <v>250</v>
      </c>
      <c r="Y1014" t="str">
        <f>VLOOKUP(W1014,Sheet4!$A$5:$B$71,2,0)</f>
        <v>DASH BOARD</v>
      </c>
      <c r="Z1014">
        <v>87082900</v>
      </c>
      <c r="AA1014">
        <v>60</v>
      </c>
      <c r="AB1014" t="s">
        <v>159</v>
      </c>
      <c r="AC1014">
        <v>291.27999999999997</v>
      </c>
      <c r="AD1014" t="s">
        <v>160</v>
      </c>
      <c r="AE1014" s="24">
        <v>17476.8</v>
      </c>
      <c r="AF1014">
        <v>0</v>
      </c>
      <c r="AG1014" s="24">
        <v>17476.8</v>
      </c>
      <c r="AH1014">
        <v>0</v>
      </c>
      <c r="AI1014">
        <v>0</v>
      </c>
      <c r="AJ1014">
        <v>0</v>
      </c>
      <c r="AK1014">
        <v>0</v>
      </c>
      <c r="AL1014" s="24">
        <v>17476.8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 s="24">
        <v>17476.8</v>
      </c>
      <c r="AV1014">
        <v>0</v>
      </c>
      <c r="AW1014">
        <v>0</v>
      </c>
      <c r="AX1014">
        <v>311000</v>
      </c>
      <c r="AY1014" t="s">
        <v>161</v>
      </c>
      <c r="AZ1014">
        <v>2.37</v>
      </c>
      <c r="BA1014">
        <v>2.37</v>
      </c>
      <c r="BB1014">
        <v>0</v>
      </c>
      <c r="BC1014" t="s">
        <v>251</v>
      </c>
      <c r="BD1014">
        <v>1511</v>
      </c>
      <c r="BE1014" t="s">
        <v>174</v>
      </c>
      <c r="BF1014" t="s">
        <v>163</v>
      </c>
      <c r="BG1014" t="s">
        <v>164</v>
      </c>
    </row>
    <row r="1015" spans="1:59">
      <c r="A1015">
        <v>1115</v>
      </c>
      <c r="B1015">
        <v>1115</v>
      </c>
      <c r="C1015">
        <v>10</v>
      </c>
      <c r="D1015">
        <v>2</v>
      </c>
      <c r="E1015" t="s">
        <v>152</v>
      </c>
      <c r="F1015" t="s">
        <v>153</v>
      </c>
      <c r="G1015" t="s">
        <v>154</v>
      </c>
      <c r="H1015">
        <v>1526006767</v>
      </c>
      <c r="I1015">
        <v>1000007046</v>
      </c>
      <c r="L1015" t="s">
        <v>355</v>
      </c>
      <c r="M1015">
        <v>5100001939</v>
      </c>
      <c r="N1015" t="s">
        <v>155</v>
      </c>
      <c r="O1015" t="s">
        <v>156</v>
      </c>
      <c r="P1015">
        <v>4110059608</v>
      </c>
      <c r="Q1015" t="s">
        <v>240</v>
      </c>
      <c r="R1015">
        <v>5000</v>
      </c>
      <c r="S1015" t="s">
        <v>166</v>
      </c>
      <c r="V1015" t="s">
        <v>167</v>
      </c>
      <c r="W1015">
        <v>1502020129</v>
      </c>
      <c r="X1015" t="s">
        <v>241</v>
      </c>
      <c r="Y1015" t="str">
        <f>VLOOKUP(W1015,Sheet4!$A$5:$B$71,2,0)</f>
        <v>RE STYLING</v>
      </c>
      <c r="Z1015">
        <v>87082900</v>
      </c>
      <c r="AA1015">
        <v>60</v>
      </c>
      <c r="AB1015" t="s">
        <v>159</v>
      </c>
      <c r="AC1015" s="24">
        <v>6500.18</v>
      </c>
      <c r="AD1015" t="s">
        <v>160</v>
      </c>
      <c r="AE1015" s="24">
        <v>390010.8</v>
      </c>
      <c r="AF1015">
        <v>0</v>
      </c>
      <c r="AG1015" s="24">
        <v>390010.8</v>
      </c>
      <c r="AH1015">
        <v>0</v>
      </c>
      <c r="AI1015">
        <v>0</v>
      </c>
      <c r="AJ1015">
        <v>0</v>
      </c>
      <c r="AK1015">
        <v>0</v>
      </c>
      <c r="AL1015" s="24">
        <v>390010.8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 s="24">
        <v>390010.8</v>
      </c>
      <c r="AV1015">
        <v>0</v>
      </c>
      <c r="AW1015">
        <v>0</v>
      </c>
      <c r="AX1015">
        <v>311000</v>
      </c>
      <c r="AY1015" t="s">
        <v>161</v>
      </c>
      <c r="AZ1015">
        <v>0</v>
      </c>
      <c r="BA1015">
        <v>0</v>
      </c>
      <c r="BB1015">
        <v>0</v>
      </c>
      <c r="BC1015" t="s">
        <v>242</v>
      </c>
      <c r="BD1015">
        <v>1509</v>
      </c>
      <c r="BE1015" t="s">
        <v>169</v>
      </c>
      <c r="BF1015" t="s">
        <v>163</v>
      </c>
      <c r="BG1015" t="s">
        <v>164</v>
      </c>
    </row>
    <row r="1016" spans="1:59">
      <c r="A1016">
        <v>1115</v>
      </c>
      <c r="B1016">
        <v>1115</v>
      </c>
      <c r="C1016">
        <v>10</v>
      </c>
      <c r="D1016">
        <v>2</v>
      </c>
      <c r="E1016" t="s">
        <v>152</v>
      </c>
      <c r="F1016" t="s">
        <v>153</v>
      </c>
      <c r="G1016" t="s">
        <v>154</v>
      </c>
      <c r="H1016">
        <v>1526006766</v>
      </c>
      <c r="I1016">
        <v>1000007045</v>
      </c>
      <c r="L1016" t="s">
        <v>355</v>
      </c>
      <c r="M1016">
        <v>5100001925</v>
      </c>
      <c r="N1016" t="s">
        <v>155</v>
      </c>
      <c r="O1016" t="s">
        <v>156</v>
      </c>
      <c r="P1016">
        <v>4110055667</v>
      </c>
      <c r="Q1016" t="s">
        <v>185</v>
      </c>
      <c r="R1016">
        <v>5000</v>
      </c>
      <c r="S1016" t="s">
        <v>166</v>
      </c>
      <c r="V1016" t="s">
        <v>167</v>
      </c>
      <c r="W1016">
        <v>1502040318</v>
      </c>
      <c r="X1016" t="s">
        <v>72</v>
      </c>
      <c r="Y1016" t="str">
        <f>VLOOKUP(W1016,Sheet4!$A$5:$B$71,2,0)</f>
        <v>Re Side Door</v>
      </c>
      <c r="Z1016">
        <v>87082900</v>
      </c>
      <c r="AA1016">
        <v>120</v>
      </c>
      <c r="AB1016" t="s">
        <v>159</v>
      </c>
      <c r="AC1016">
        <v>506.59</v>
      </c>
      <c r="AD1016" t="s">
        <v>160</v>
      </c>
      <c r="AE1016" s="24">
        <v>60790.8</v>
      </c>
      <c r="AF1016">
        <v>0</v>
      </c>
      <c r="AG1016" s="24">
        <v>60790.8</v>
      </c>
      <c r="AH1016">
        <v>0</v>
      </c>
      <c r="AI1016">
        <v>0</v>
      </c>
      <c r="AJ1016">
        <v>0</v>
      </c>
      <c r="AK1016">
        <v>0</v>
      </c>
      <c r="AL1016" s="24">
        <v>60790.8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 s="24">
        <v>60790.8</v>
      </c>
      <c r="AV1016">
        <v>0</v>
      </c>
      <c r="AW1016">
        <v>0</v>
      </c>
      <c r="AX1016">
        <v>311000</v>
      </c>
      <c r="AY1016" t="s">
        <v>161</v>
      </c>
      <c r="AZ1016">
        <v>2.27</v>
      </c>
      <c r="BA1016">
        <v>2.27</v>
      </c>
      <c r="BB1016">
        <v>0</v>
      </c>
      <c r="BC1016" t="s">
        <v>187</v>
      </c>
      <c r="BD1016">
        <v>1511</v>
      </c>
      <c r="BE1016" t="s">
        <v>174</v>
      </c>
      <c r="BF1016" t="s">
        <v>163</v>
      </c>
      <c r="BG1016" t="s">
        <v>164</v>
      </c>
    </row>
    <row r="1017" spans="1:59">
      <c r="A1017">
        <v>1115</v>
      </c>
      <c r="B1017">
        <v>1115</v>
      </c>
      <c r="C1017">
        <v>10</v>
      </c>
      <c r="D1017">
        <v>2</v>
      </c>
      <c r="E1017" t="s">
        <v>152</v>
      </c>
      <c r="F1017" t="s">
        <v>153</v>
      </c>
      <c r="G1017" t="s">
        <v>154</v>
      </c>
      <c r="H1017">
        <v>1526006765</v>
      </c>
      <c r="I1017">
        <v>1000007044</v>
      </c>
      <c r="L1017" t="s">
        <v>355</v>
      </c>
      <c r="M1017">
        <v>5100001925</v>
      </c>
      <c r="N1017" t="s">
        <v>155</v>
      </c>
      <c r="O1017" t="s">
        <v>156</v>
      </c>
      <c r="P1017">
        <v>4110055667</v>
      </c>
      <c r="Q1017" t="s">
        <v>185</v>
      </c>
      <c r="R1017">
        <v>5000</v>
      </c>
      <c r="S1017" t="s">
        <v>166</v>
      </c>
      <c r="V1017" t="s">
        <v>167</v>
      </c>
      <c r="W1017">
        <v>1502040317</v>
      </c>
      <c r="X1017" t="s">
        <v>73</v>
      </c>
      <c r="Y1017" t="str">
        <f>VLOOKUP(W1017,Sheet4!$A$5:$B$71,2,0)</f>
        <v>Re Side Door</v>
      </c>
      <c r="Z1017">
        <v>87082900</v>
      </c>
      <c r="AA1017">
        <v>120</v>
      </c>
      <c r="AB1017" t="s">
        <v>159</v>
      </c>
      <c r="AC1017">
        <v>506.59</v>
      </c>
      <c r="AD1017" t="s">
        <v>160</v>
      </c>
      <c r="AE1017" s="24">
        <v>60790.8</v>
      </c>
      <c r="AF1017">
        <v>0</v>
      </c>
      <c r="AG1017" s="24">
        <v>60790.8</v>
      </c>
      <c r="AH1017">
        <v>0</v>
      </c>
      <c r="AI1017">
        <v>0</v>
      </c>
      <c r="AJ1017">
        <v>0</v>
      </c>
      <c r="AK1017">
        <v>0</v>
      </c>
      <c r="AL1017" s="24">
        <v>60790.8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 s="24">
        <v>60790.8</v>
      </c>
      <c r="AV1017">
        <v>0</v>
      </c>
      <c r="AW1017">
        <v>0</v>
      </c>
      <c r="AX1017">
        <v>311000</v>
      </c>
      <c r="AY1017" t="s">
        <v>161</v>
      </c>
      <c r="AZ1017">
        <v>2.27</v>
      </c>
      <c r="BA1017">
        <v>2.27</v>
      </c>
      <c r="BB1017">
        <v>0</v>
      </c>
      <c r="BC1017" t="s">
        <v>186</v>
      </c>
      <c r="BD1017">
        <v>1511</v>
      </c>
      <c r="BE1017" t="s">
        <v>174</v>
      </c>
      <c r="BF1017" t="s">
        <v>163</v>
      </c>
      <c r="BG1017" t="s">
        <v>164</v>
      </c>
    </row>
    <row r="1018" spans="1:59">
      <c r="A1018">
        <v>1115</v>
      </c>
      <c r="B1018">
        <v>1115</v>
      </c>
      <c r="C1018">
        <v>10</v>
      </c>
      <c r="D1018">
        <v>2</v>
      </c>
      <c r="E1018" t="s">
        <v>152</v>
      </c>
      <c r="F1018" t="s">
        <v>153</v>
      </c>
      <c r="G1018" t="s">
        <v>154</v>
      </c>
      <c r="H1018">
        <v>1526006764</v>
      </c>
      <c r="I1018">
        <v>1000007043</v>
      </c>
      <c r="L1018" t="s">
        <v>355</v>
      </c>
      <c r="M1018">
        <v>5100001928</v>
      </c>
      <c r="N1018" t="s">
        <v>155</v>
      </c>
      <c r="O1018" t="s">
        <v>156</v>
      </c>
      <c r="P1018">
        <v>4110057393</v>
      </c>
      <c r="Q1018" t="s">
        <v>192</v>
      </c>
      <c r="R1018">
        <v>5000</v>
      </c>
      <c r="S1018" t="s">
        <v>166</v>
      </c>
      <c r="V1018" t="s">
        <v>167</v>
      </c>
      <c r="W1018">
        <v>1502020122</v>
      </c>
      <c r="X1018" t="s">
        <v>70</v>
      </c>
      <c r="Y1018" t="str">
        <f>VLOOKUP(W1018,Sheet4!$A$5:$B$71,2,0)</f>
        <v>MAX UG NEW EV</v>
      </c>
      <c r="Z1018">
        <v>87082900</v>
      </c>
      <c r="AA1018">
        <v>10</v>
      </c>
      <c r="AB1018" t="s">
        <v>159</v>
      </c>
      <c r="AC1018" s="24">
        <v>9566.51</v>
      </c>
      <c r="AD1018" t="s">
        <v>160</v>
      </c>
      <c r="AE1018" s="24">
        <v>95665.1</v>
      </c>
      <c r="AF1018">
        <v>0</v>
      </c>
      <c r="AG1018" s="24">
        <v>95665.1</v>
      </c>
      <c r="AH1018">
        <v>0</v>
      </c>
      <c r="AI1018">
        <v>0</v>
      </c>
      <c r="AJ1018">
        <v>0</v>
      </c>
      <c r="AK1018">
        <v>0</v>
      </c>
      <c r="AL1018" s="24">
        <v>95665.1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 s="24">
        <v>95665.1</v>
      </c>
      <c r="AV1018">
        <v>0</v>
      </c>
      <c r="AW1018">
        <v>0</v>
      </c>
      <c r="AX1018">
        <v>311000</v>
      </c>
      <c r="AY1018" t="s">
        <v>161</v>
      </c>
      <c r="AZ1018">
        <v>0</v>
      </c>
      <c r="BA1018">
        <v>61</v>
      </c>
      <c r="BB1018">
        <v>-61</v>
      </c>
      <c r="BC1018" t="s">
        <v>193</v>
      </c>
      <c r="BD1018">
        <v>1509</v>
      </c>
      <c r="BE1018" t="s">
        <v>169</v>
      </c>
      <c r="BF1018" t="s">
        <v>163</v>
      </c>
      <c r="BG1018" t="s">
        <v>164</v>
      </c>
    </row>
    <row r="1019" spans="1:59">
      <c r="A1019">
        <v>1115</v>
      </c>
      <c r="B1019">
        <v>1115</v>
      </c>
      <c r="C1019">
        <v>10</v>
      </c>
      <c r="D1019">
        <v>2</v>
      </c>
      <c r="E1019" t="s">
        <v>152</v>
      </c>
      <c r="F1019" t="s">
        <v>153</v>
      </c>
      <c r="G1019" t="s">
        <v>154</v>
      </c>
      <c r="H1019">
        <v>1526006763</v>
      </c>
      <c r="I1019">
        <v>1000007042</v>
      </c>
      <c r="L1019" t="s">
        <v>355</v>
      </c>
      <c r="M1019">
        <v>5100001928</v>
      </c>
      <c r="N1019" t="s">
        <v>155</v>
      </c>
      <c r="O1019" t="s">
        <v>156</v>
      </c>
      <c r="P1019">
        <v>4110057393</v>
      </c>
      <c r="Q1019" t="s">
        <v>192</v>
      </c>
      <c r="R1019">
        <v>5000</v>
      </c>
      <c r="S1019" t="s">
        <v>166</v>
      </c>
      <c r="V1019" t="s">
        <v>167</v>
      </c>
      <c r="W1019">
        <v>1502020122</v>
      </c>
      <c r="X1019" t="s">
        <v>70</v>
      </c>
      <c r="Y1019" t="str">
        <f>VLOOKUP(W1019,Sheet4!$A$5:$B$71,2,0)</f>
        <v>MAX UG NEW EV</v>
      </c>
      <c r="Z1019">
        <v>87082900</v>
      </c>
      <c r="AA1019">
        <v>10</v>
      </c>
      <c r="AB1019" t="s">
        <v>159</v>
      </c>
      <c r="AC1019" s="24">
        <v>9566.51</v>
      </c>
      <c r="AD1019" t="s">
        <v>160</v>
      </c>
      <c r="AE1019" s="24">
        <v>95665.1</v>
      </c>
      <c r="AF1019">
        <v>0</v>
      </c>
      <c r="AG1019" s="24">
        <v>95665.1</v>
      </c>
      <c r="AH1019">
        <v>0</v>
      </c>
      <c r="AI1019">
        <v>0</v>
      </c>
      <c r="AJ1019">
        <v>0</v>
      </c>
      <c r="AK1019">
        <v>0</v>
      </c>
      <c r="AL1019" s="24">
        <v>95665.1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 s="24">
        <v>95665.1</v>
      </c>
      <c r="AV1019">
        <v>0</v>
      </c>
      <c r="AW1019">
        <v>0</v>
      </c>
      <c r="AX1019">
        <v>311000</v>
      </c>
      <c r="AY1019" t="s">
        <v>161</v>
      </c>
      <c r="AZ1019">
        <v>0</v>
      </c>
      <c r="BA1019">
        <v>61</v>
      </c>
      <c r="BB1019">
        <v>-61</v>
      </c>
      <c r="BC1019" t="s">
        <v>193</v>
      </c>
      <c r="BD1019">
        <v>1509</v>
      </c>
      <c r="BE1019" t="s">
        <v>169</v>
      </c>
      <c r="BF1019" t="s">
        <v>163</v>
      </c>
      <c r="BG1019" t="s">
        <v>164</v>
      </c>
    </row>
    <row r="1020" spans="1:59">
      <c r="A1020">
        <v>1115</v>
      </c>
      <c r="B1020">
        <v>1115</v>
      </c>
      <c r="C1020">
        <v>10</v>
      </c>
      <c r="D1020">
        <v>2</v>
      </c>
      <c r="E1020" t="s">
        <v>152</v>
      </c>
      <c r="F1020" t="s">
        <v>153</v>
      </c>
      <c r="G1020" t="s">
        <v>154</v>
      </c>
      <c r="H1020">
        <v>1526006762</v>
      </c>
      <c r="I1020">
        <v>1000007041</v>
      </c>
      <c r="L1020" t="s">
        <v>355</v>
      </c>
      <c r="M1020">
        <v>5100001928</v>
      </c>
      <c r="N1020" t="s">
        <v>155</v>
      </c>
      <c r="O1020" t="s">
        <v>156</v>
      </c>
      <c r="P1020">
        <v>4110057393</v>
      </c>
      <c r="Q1020" t="s">
        <v>192</v>
      </c>
      <c r="R1020">
        <v>5000</v>
      </c>
      <c r="S1020" t="s">
        <v>166</v>
      </c>
      <c r="V1020" t="s">
        <v>167</v>
      </c>
      <c r="W1020">
        <v>1502020122</v>
      </c>
      <c r="X1020" t="s">
        <v>70</v>
      </c>
      <c r="Y1020" t="str">
        <f>VLOOKUP(W1020,Sheet4!$A$5:$B$71,2,0)</f>
        <v>MAX UG NEW EV</v>
      </c>
      <c r="Z1020">
        <v>87082900</v>
      </c>
      <c r="AA1020">
        <v>10</v>
      </c>
      <c r="AB1020" t="s">
        <v>159</v>
      </c>
      <c r="AC1020" s="24">
        <v>9566.51</v>
      </c>
      <c r="AD1020" t="s">
        <v>160</v>
      </c>
      <c r="AE1020" s="24">
        <v>95665.1</v>
      </c>
      <c r="AF1020">
        <v>0</v>
      </c>
      <c r="AG1020" s="24">
        <v>95665.1</v>
      </c>
      <c r="AH1020">
        <v>0</v>
      </c>
      <c r="AI1020">
        <v>0</v>
      </c>
      <c r="AJ1020">
        <v>0</v>
      </c>
      <c r="AK1020">
        <v>0</v>
      </c>
      <c r="AL1020" s="24">
        <v>95665.1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 s="24">
        <v>95665.1</v>
      </c>
      <c r="AV1020">
        <v>0</v>
      </c>
      <c r="AW1020">
        <v>0</v>
      </c>
      <c r="AX1020">
        <v>311000</v>
      </c>
      <c r="AY1020" t="s">
        <v>161</v>
      </c>
      <c r="AZ1020">
        <v>0</v>
      </c>
      <c r="BA1020">
        <v>61</v>
      </c>
      <c r="BB1020">
        <v>-61</v>
      </c>
      <c r="BC1020" t="s">
        <v>193</v>
      </c>
      <c r="BD1020">
        <v>1509</v>
      </c>
      <c r="BE1020" t="s">
        <v>169</v>
      </c>
      <c r="BF1020" t="s">
        <v>163</v>
      </c>
      <c r="BG1020" t="s">
        <v>164</v>
      </c>
    </row>
    <row r="1021" spans="1:59">
      <c r="A1021">
        <v>1115</v>
      </c>
      <c r="B1021">
        <v>1115</v>
      </c>
      <c r="C1021">
        <v>10</v>
      </c>
      <c r="D1021">
        <v>2</v>
      </c>
      <c r="E1021" t="s">
        <v>152</v>
      </c>
      <c r="F1021" t="s">
        <v>153</v>
      </c>
      <c r="G1021" t="s">
        <v>154</v>
      </c>
      <c r="H1021">
        <v>1526006761</v>
      </c>
      <c r="I1021">
        <v>1000007040</v>
      </c>
      <c r="L1021" t="s">
        <v>355</v>
      </c>
      <c r="M1021">
        <v>5100001928</v>
      </c>
      <c r="N1021" t="s">
        <v>155</v>
      </c>
      <c r="O1021" t="s">
        <v>156</v>
      </c>
      <c r="P1021">
        <v>4110057393</v>
      </c>
      <c r="Q1021" t="s">
        <v>192</v>
      </c>
      <c r="R1021">
        <v>5000</v>
      </c>
      <c r="S1021" t="s">
        <v>166</v>
      </c>
      <c r="V1021" t="s">
        <v>167</v>
      </c>
      <c r="W1021">
        <v>1502020122</v>
      </c>
      <c r="X1021" t="s">
        <v>70</v>
      </c>
      <c r="Y1021" t="str">
        <f>VLOOKUP(W1021,Sheet4!$A$5:$B$71,2,0)</f>
        <v>MAX UG NEW EV</v>
      </c>
      <c r="Z1021">
        <v>87082900</v>
      </c>
      <c r="AA1021">
        <v>10</v>
      </c>
      <c r="AB1021" t="s">
        <v>159</v>
      </c>
      <c r="AC1021" s="24">
        <v>9566.51</v>
      </c>
      <c r="AD1021" t="s">
        <v>160</v>
      </c>
      <c r="AE1021" s="24">
        <v>95665.1</v>
      </c>
      <c r="AF1021">
        <v>0</v>
      </c>
      <c r="AG1021" s="24">
        <v>95665.1</v>
      </c>
      <c r="AH1021">
        <v>0</v>
      </c>
      <c r="AI1021">
        <v>0</v>
      </c>
      <c r="AJ1021">
        <v>0</v>
      </c>
      <c r="AK1021">
        <v>0</v>
      </c>
      <c r="AL1021" s="24">
        <v>95665.1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 s="24">
        <v>95665.1</v>
      </c>
      <c r="AV1021">
        <v>0</v>
      </c>
      <c r="AW1021">
        <v>0</v>
      </c>
      <c r="AX1021">
        <v>311000</v>
      </c>
      <c r="AY1021" t="s">
        <v>161</v>
      </c>
      <c r="AZ1021">
        <v>0</v>
      </c>
      <c r="BA1021">
        <v>61</v>
      </c>
      <c r="BB1021">
        <v>-61</v>
      </c>
      <c r="BC1021" t="s">
        <v>193</v>
      </c>
      <c r="BD1021">
        <v>1509</v>
      </c>
      <c r="BE1021" t="s">
        <v>169</v>
      </c>
      <c r="BF1021" t="s">
        <v>163</v>
      </c>
      <c r="BG1021" t="s">
        <v>164</v>
      </c>
    </row>
    <row r="1022" spans="1:59">
      <c r="A1022">
        <v>1115</v>
      </c>
      <c r="B1022">
        <v>1115</v>
      </c>
      <c r="C1022">
        <v>10</v>
      </c>
      <c r="D1022">
        <v>2</v>
      </c>
      <c r="E1022" t="s">
        <v>152</v>
      </c>
      <c r="F1022" t="s">
        <v>153</v>
      </c>
      <c r="G1022" t="s">
        <v>154</v>
      </c>
      <c r="H1022">
        <v>1526006760</v>
      </c>
      <c r="I1022">
        <v>1000007039</v>
      </c>
      <c r="L1022" t="s">
        <v>355</v>
      </c>
      <c r="M1022">
        <v>5100001928</v>
      </c>
      <c r="N1022" t="s">
        <v>155</v>
      </c>
      <c r="O1022" t="s">
        <v>156</v>
      </c>
      <c r="P1022">
        <v>4110057393</v>
      </c>
      <c r="Q1022" t="s">
        <v>192</v>
      </c>
      <c r="R1022">
        <v>5000</v>
      </c>
      <c r="S1022" t="s">
        <v>166</v>
      </c>
      <c r="V1022" t="s">
        <v>167</v>
      </c>
      <c r="W1022">
        <v>1502020122</v>
      </c>
      <c r="X1022" t="s">
        <v>70</v>
      </c>
      <c r="Y1022" t="str">
        <f>VLOOKUP(W1022,Sheet4!$A$5:$B$71,2,0)</f>
        <v>MAX UG NEW EV</v>
      </c>
      <c r="Z1022">
        <v>87082900</v>
      </c>
      <c r="AA1022">
        <v>10</v>
      </c>
      <c r="AB1022" t="s">
        <v>159</v>
      </c>
      <c r="AC1022" s="24">
        <v>9566.51</v>
      </c>
      <c r="AD1022" t="s">
        <v>160</v>
      </c>
      <c r="AE1022" s="24">
        <v>95665.1</v>
      </c>
      <c r="AF1022">
        <v>0</v>
      </c>
      <c r="AG1022" s="24">
        <v>95665.1</v>
      </c>
      <c r="AH1022">
        <v>0</v>
      </c>
      <c r="AI1022">
        <v>0</v>
      </c>
      <c r="AJ1022">
        <v>0</v>
      </c>
      <c r="AK1022">
        <v>0</v>
      </c>
      <c r="AL1022" s="24">
        <v>95665.1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 s="24">
        <v>95665.1</v>
      </c>
      <c r="AV1022">
        <v>0</v>
      </c>
      <c r="AW1022">
        <v>0</v>
      </c>
      <c r="AX1022">
        <v>311000</v>
      </c>
      <c r="AY1022" t="s">
        <v>161</v>
      </c>
      <c r="AZ1022">
        <v>0</v>
      </c>
      <c r="BA1022">
        <v>61</v>
      </c>
      <c r="BB1022">
        <v>-61</v>
      </c>
      <c r="BC1022" t="s">
        <v>193</v>
      </c>
      <c r="BD1022">
        <v>1509</v>
      </c>
      <c r="BE1022" t="s">
        <v>169</v>
      </c>
      <c r="BF1022" t="s">
        <v>163</v>
      </c>
      <c r="BG1022" t="s">
        <v>164</v>
      </c>
    </row>
    <row r="1023" spans="1:59">
      <c r="A1023">
        <v>1115</v>
      </c>
      <c r="B1023">
        <v>1115</v>
      </c>
      <c r="C1023">
        <v>10</v>
      </c>
      <c r="D1023">
        <v>2</v>
      </c>
      <c r="E1023" t="s">
        <v>152</v>
      </c>
      <c r="F1023" t="s">
        <v>153</v>
      </c>
      <c r="G1023" t="s">
        <v>154</v>
      </c>
      <c r="H1023">
        <v>1526006759</v>
      </c>
      <c r="I1023">
        <v>1000007038</v>
      </c>
      <c r="L1023" t="s">
        <v>355</v>
      </c>
      <c r="M1023">
        <v>5100001636</v>
      </c>
      <c r="N1023" t="s">
        <v>155</v>
      </c>
      <c r="O1023" t="s">
        <v>156</v>
      </c>
      <c r="P1023">
        <v>4110026445</v>
      </c>
      <c r="Q1023" t="s">
        <v>170</v>
      </c>
      <c r="R1023">
        <v>5000</v>
      </c>
      <c r="S1023" t="s">
        <v>166</v>
      </c>
      <c r="V1023" t="s">
        <v>167</v>
      </c>
      <c r="W1023">
        <v>1502020104</v>
      </c>
      <c r="X1023" t="s">
        <v>26</v>
      </c>
      <c r="Y1023" t="str">
        <f>VLOOKUP(W1023,Sheet4!$A$5:$B$71,2,0)</f>
        <v>RE STYLING</v>
      </c>
      <c r="Z1023">
        <v>87082900</v>
      </c>
      <c r="AA1023">
        <v>15</v>
      </c>
      <c r="AB1023" t="s">
        <v>159</v>
      </c>
      <c r="AC1023" s="24">
        <v>6585.55</v>
      </c>
      <c r="AD1023" t="s">
        <v>160</v>
      </c>
      <c r="AE1023" s="24">
        <v>98783.25</v>
      </c>
      <c r="AF1023">
        <v>0</v>
      </c>
      <c r="AG1023" s="24">
        <v>98783.25</v>
      </c>
      <c r="AH1023">
        <v>0</v>
      </c>
      <c r="AI1023">
        <v>0</v>
      </c>
      <c r="AJ1023">
        <v>0</v>
      </c>
      <c r="AK1023">
        <v>0</v>
      </c>
      <c r="AL1023" s="24">
        <v>98783.25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 s="24">
        <v>98783.25</v>
      </c>
      <c r="AV1023">
        <v>0</v>
      </c>
      <c r="AW1023">
        <v>0</v>
      </c>
      <c r="AX1023">
        <v>311000</v>
      </c>
      <c r="AY1023" t="s">
        <v>161</v>
      </c>
      <c r="AZ1023">
        <v>49.75</v>
      </c>
      <c r="BA1023">
        <v>49.75</v>
      </c>
      <c r="BB1023">
        <v>0</v>
      </c>
      <c r="BC1023" t="s">
        <v>171</v>
      </c>
      <c r="BD1023">
        <v>1509</v>
      </c>
      <c r="BE1023" t="s">
        <v>169</v>
      </c>
      <c r="BF1023" t="s">
        <v>163</v>
      </c>
      <c r="BG1023" t="s">
        <v>164</v>
      </c>
    </row>
    <row r="1024" spans="1:59">
      <c r="A1024">
        <v>1115</v>
      </c>
      <c r="B1024">
        <v>1115</v>
      </c>
      <c r="C1024">
        <v>10</v>
      </c>
      <c r="D1024">
        <v>2</v>
      </c>
      <c r="E1024" t="s">
        <v>152</v>
      </c>
      <c r="F1024" t="s">
        <v>153</v>
      </c>
      <c r="G1024" t="s">
        <v>154</v>
      </c>
      <c r="H1024">
        <v>1526006758</v>
      </c>
      <c r="I1024">
        <v>1000007037</v>
      </c>
      <c r="L1024" t="s">
        <v>355</v>
      </c>
      <c r="M1024">
        <v>5100001636</v>
      </c>
      <c r="N1024" t="s">
        <v>155</v>
      </c>
      <c r="O1024" t="s">
        <v>156</v>
      </c>
      <c r="P1024">
        <v>4110026445</v>
      </c>
      <c r="Q1024" t="s">
        <v>170</v>
      </c>
      <c r="R1024">
        <v>5000</v>
      </c>
      <c r="S1024" t="s">
        <v>166</v>
      </c>
      <c r="V1024" t="s">
        <v>167</v>
      </c>
      <c r="W1024">
        <v>1502020104</v>
      </c>
      <c r="X1024" t="s">
        <v>26</v>
      </c>
      <c r="Y1024" t="str">
        <f>VLOOKUP(W1024,Sheet4!$A$5:$B$71,2,0)</f>
        <v>RE STYLING</v>
      </c>
      <c r="Z1024">
        <v>87082900</v>
      </c>
      <c r="AA1024">
        <v>15</v>
      </c>
      <c r="AB1024" t="s">
        <v>159</v>
      </c>
      <c r="AC1024" s="24">
        <v>6585.55</v>
      </c>
      <c r="AD1024" t="s">
        <v>160</v>
      </c>
      <c r="AE1024" s="24">
        <v>98783.25</v>
      </c>
      <c r="AF1024">
        <v>0</v>
      </c>
      <c r="AG1024" s="24">
        <v>98783.25</v>
      </c>
      <c r="AH1024">
        <v>0</v>
      </c>
      <c r="AI1024">
        <v>0</v>
      </c>
      <c r="AJ1024">
        <v>0</v>
      </c>
      <c r="AK1024">
        <v>0</v>
      </c>
      <c r="AL1024" s="24">
        <v>98783.25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 s="24">
        <v>98783.25</v>
      </c>
      <c r="AV1024">
        <v>0</v>
      </c>
      <c r="AW1024">
        <v>0</v>
      </c>
      <c r="AX1024">
        <v>311000</v>
      </c>
      <c r="AY1024" t="s">
        <v>161</v>
      </c>
      <c r="AZ1024">
        <v>49.75</v>
      </c>
      <c r="BA1024">
        <v>49.75</v>
      </c>
      <c r="BB1024">
        <v>0</v>
      </c>
      <c r="BC1024" t="s">
        <v>171</v>
      </c>
      <c r="BD1024">
        <v>1509</v>
      </c>
      <c r="BE1024" t="s">
        <v>169</v>
      </c>
      <c r="BF1024" t="s">
        <v>163</v>
      </c>
      <c r="BG1024" t="s">
        <v>164</v>
      </c>
    </row>
    <row r="1025" spans="1:59">
      <c r="A1025">
        <v>1115</v>
      </c>
      <c r="B1025">
        <v>1115</v>
      </c>
      <c r="C1025">
        <v>10</v>
      </c>
      <c r="D1025">
        <v>2</v>
      </c>
      <c r="E1025" t="s">
        <v>152</v>
      </c>
      <c r="F1025" t="s">
        <v>153</v>
      </c>
      <c r="G1025" t="s">
        <v>154</v>
      </c>
      <c r="H1025">
        <v>1526006757</v>
      </c>
      <c r="I1025">
        <v>1000007036</v>
      </c>
      <c r="L1025" t="s">
        <v>355</v>
      </c>
      <c r="M1025">
        <v>5100001636</v>
      </c>
      <c r="N1025" t="s">
        <v>155</v>
      </c>
      <c r="O1025" t="s">
        <v>156</v>
      </c>
      <c r="P1025">
        <v>4110026445</v>
      </c>
      <c r="Q1025" t="s">
        <v>170</v>
      </c>
      <c r="R1025">
        <v>5000</v>
      </c>
      <c r="S1025" t="s">
        <v>166</v>
      </c>
      <c r="V1025" t="s">
        <v>167</v>
      </c>
      <c r="W1025">
        <v>1502020104</v>
      </c>
      <c r="X1025" t="s">
        <v>26</v>
      </c>
      <c r="Y1025" t="str">
        <f>VLOOKUP(W1025,Sheet4!$A$5:$B$71,2,0)</f>
        <v>RE STYLING</v>
      </c>
      <c r="Z1025">
        <v>87082900</v>
      </c>
      <c r="AA1025">
        <v>15</v>
      </c>
      <c r="AB1025" t="s">
        <v>159</v>
      </c>
      <c r="AC1025" s="24">
        <v>6585.55</v>
      </c>
      <c r="AD1025" t="s">
        <v>160</v>
      </c>
      <c r="AE1025" s="24">
        <v>98783.25</v>
      </c>
      <c r="AF1025">
        <v>0</v>
      </c>
      <c r="AG1025" s="24">
        <v>98783.25</v>
      </c>
      <c r="AH1025">
        <v>0</v>
      </c>
      <c r="AI1025">
        <v>0</v>
      </c>
      <c r="AJ1025">
        <v>0</v>
      </c>
      <c r="AK1025">
        <v>0</v>
      </c>
      <c r="AL1025" s="24">
        <v>98783.25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 s="24">
        <v>98783.25</v>
      </c>
      <c r="AV1025">
        <v>0</v>
      </c>
      <c r="AW1025">
        <v>0</v>
      </c>
      <c r="AX1025">
        <v>311000</v>
      </c>
      <c r="AY1025" t="s">
        <v>161</v>
      </c>
      <c r="AZ1025">
        <v>49.75</v>
      </c>
      <c r="BA1025">
        <v>49.75</v>
      </c>
      <c r="BB1025">
        <v>0</v>
      </c>
      <c r="BC1025" t="s">
        <v>171</v>
      </c>
      <c r="BD1025">
        <v>1509</v>
      </c>
      <c r="BE1025" t="s">
        <v>169</v>
      </c>
      <c r="BF1025" t="s">
        <v>163</v>
      </c>
      <c r="BG1025" t="s">
        <v>164</v>
      </c>
    </row>
    <row r="1026" spans="1:59">
      <c r="A1026">
        <v>1115</v>
      </c>
      <c r="B1026">
        <v>1115</v>
      </c>
      <c r="C1026">
        <v>10</v>
      </c>
      <c r="D1026">
        <v>2</v>
      </c>
      <c r="E1026" t="s">
        <v>152</v>
      </c>
      <c r="F1026" t="s">
        <v>153</v>
      </c>
      <c r="G1026" t="s">
        <v>154</v>
      </c>
      <c r="H1026">
        <v>1526006756</v>
      </c>
      <c r="I1026">
        <v>1000007035</v>
      </c>
      <c r="L1026" t="s">
        <v>355</v>
      </c>
      <c r="M1026">
        <v>5100001636</v>
      </c>
      <c r="N1026" t="s">
        <v>155</v>
      </c>
      <c r="O1026" t="s">
        <v>156</v>
      </c>
      <c r="P1026">
        <v>4110026445</v>
      </c>
      <c r="Q1026" t="s">
        <v>170</v>
      </c>
      <c r="R1026">
        <v>5000</v>
      </c>
      <c r="S1026" t="s">
        <v>166</v>
      </c>
      <c r="V1026" t="s">
        <v>167</v>
      </c>
      <c r="W1026">
        <v>1502020104</v>
      </c>
      <c r="X1026" t="s">
        <v>26</v>
      </c>
      <c r="Y1026" t="str">
        <f>VLOOKUP(W1026,Sheet4!$A$5:$B$71,2,0)</f>
        <v>RE STYLING</v>
      </c>
      <c r="Z1026">
        <v>87082900</v>
      </c>
      <c r="AA1026">
        <v>15</v>
      </c>
      <c r="AB1026" t="s">
        <v>159</v>
      </c>
      <c r="AC1026" s="24">
        <v>6585.55</v>
      </c>
      <c r="AD1026" t="s">
        <v>160</v>
      </c>
      <c r="AE1026" s="24">
        <v>98783.25</v>
      </c>
      <c r="AF1026">
        <v>0</v>
      </c>
      <c r="AG1026" s="24">
        <v>98783.25</v>
      </c>
      <c r="AH1026">
        <v>0</v>
      </c>
      <c r="AI1026">
        <v>0</v>
      </c>
      <c r="AJ1026">
        <v>0</v>
      </c>
      <c r="AK1026">
        <v>0</v>
      </c>
      <c r="AL1026" s="24">
        <v>98783.25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 s="24">
        <v>98783.25</v>
      </c>
      <c r="AV1026">
        <v>0</v>
      </c>
      <c r="AW1026">
        <v>0</v>
      </c>
      <c r="AX1026">
        <v>311000</v>
      </c>
      <c r="AY1026" t="s">
        <v>161</v>
      </c>
      <c r="AZ1026">
        <v>49.75</v>
      </c>
      <c r="BA1026">
        <v>49.75</v>
      </c>
      <c r="BB1026">
        <v>0</v>
      </c>
      <c r="BC1026" t="s">
        <v>171</v>
      </c>
      <c r="BD1026">
        <v>1509</v>
      </c>
      <c r="BE1026" t="s">
        <v>169</v>
      </c>
      <c r="BF1026" t="s">
        <v>163</v>
      </c>
      <c r="BG1026" t="s">
        <v>164</v>
      </c>
    </row>
    <row r="1027" spans="1:59">
      <c r="A1027">
        <v>1115</v>
      </c>
      <c r="B1027">
        <v>1115</v>
      </c>
      <c r="C1027">
        <v>10</v>
      </c>
      <c r="D1027">
        <v>2</v>
      </c>
      <c r="E1027" t="s">
        <v>152</v>
      </c>
      <c r="F1027" t="s">
        <v>153</v>
      </c>
      <c r="G1027" t="s">
        <v>154</v>
      </c>
      <c r="H1027">
        <v>1526006755</v>
      </c>
      <c r="I1027">
        <v>1000007034</v>
      </c>
      <c r="L1027" t="s">
        <v>355</v>
      </c>
      <c r="M1027">
        <v>5100001935</v>
      </c>
      <c r="N1027" t="s">
        <v>155</v>
      </c>
      <c r="O1027" t="s">
        <v>156</v>
      </c>
      <c r="P1027">
        <v>4110059361</v>
      </c>
      <c r="Q1027" t="s">
        <v>243</v>
      </c>
      <c r="R1027">
        <v>5000</v>
      </c>
      <c r="S1027" t="s">
        <v>166</v>
      </c>
      <c r="V1027" t="s">
        <v>167</v>
      </c>
      <c r="W1027">
        <v>1502020125</v>
      </c>
      <c r="X1027" t="s">
        <v>244</v>
      </c>
      <c r="Y1027" t="str">
        <f>VLOOKUP(W1027,Sheet4!$A$5:$B$71,2,0)</f>
        <v>RE STYLING</v>
      </c>
      <c r="Z1027">
        <v>87082900</v>
      </c>
      <c r="AA1027">
        <v>15</v>
      </c>
      <c r="AB1027" t="s">
        <v>159</v>
      </c>
      <c r="AC1027" s="24">
        <v>6435.33</v>
      </c>
      <c r="AD1027" t="s">
        <v>160</v>
      </c>
      <c r="AE1027" s="24">
        <v>96529.95</v>
      </c>
      <c r="AF1027">
        <v>0</v>
      </c>
      <c r="AG1027" s="24">
        <v>96529.95</v>
      </c>
      <c r="AH1027">
        <v>0</v>
      </c>
      <c r="AI1027">
        <v>0</v>
      </c>
      <c r="AJ1027">
        <v>0</v>
      </c>
      <c r="AK1027">
        <v>0</v>
      </c>
      <c r="AL1027" s="24">
        <v>96529.95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 s="24">
        <v>96529.95</v>
      </c>
      <c r="AV1027">
        <v>0</v>
      </c>
      <c r="AW1027">
        <v>0</v>
      </c>
      <c r="AX1027">
        <v>311000</v>
      </c>
      <c r="AY1027" t="s">
        <v>161</v>
      </c>
      <c r="AZ1027">
        <v>0</v>
      </c>
      <c r="BA1027">
        <v>0</v>
      </c>
      <c r="BB1027">
        <v>0</v>
      </c>
      <c r="BC1027" t="s">
        <v>245</v>
      </c>
      <c r="BD1027">
        <v>1509</v>
      </c>
      <c r="BE1027" t="s">
        <v>169</v>
      </c>
      <c r="BF1027" t="s">
        <v>163</v>
      </c>
      <c r="BG1027" t="s">
        <v>164</v>
      </c>
    </row>
    <row r="1028" spans="1:59">
      <c r="A1028">
        <v>1115</v>
      </c>
      <c r="B1028">
        <v>1115</v>
      </c>
      <c r="C1028">
        <v>10</v>
      </c>
      <c r="D1028">
        <v>2</v>
      </c>
      <c r="E1028" t="s">
        <v>152</v>
      </c>
      <c r="F1028" t="s">
        <v>153</v>
      </c>
      <c r="G1028" t="s">
        <v>154</v>
      </c>
      <c r="H1028">
        <v>1526006754</v>
      </c>
      <c r="I1028">
        <v>1000007033</v>
      </c>
      <c r="L1028" t="s">
        <v>355</v>
      </c>
      <c r="M1028">
        <v>5100001603</v>
      </c>
      <c r="N1028" t="s">
        <v>155</v>
      </c>
      <c r="O1028" t="s">
        <v>156</v>
      </c>
      <c r="P1028">
        <v>4110025468</v>
      </c>
      <c r="Q1028" t="s">
        <v>165</v>
      </c>
      <c r="R1028">
        <v>5000</v>
      </c>
      <c r="S1028" t="s">
        <v>166</v>
      </c>
      <c r="V1028" t="s">
        <v>167</v>
      </c>
      <c r="W1028">
        <v>1502020102</v>
      </c>
      <c r="X1028" t="s">
        <v>58</v>
      </c>
      <c r="Y1028" t="str">
        <f>VLOOKUP(W1028,Sheet4!$A$5:$B$71,2,0)</f>
        <v>MAXIMA HD</v>
      </c>
      <c r="Z1028">
        <v>87082900</v>
      </c>
      <c r="AA1028">
        <v>8</v>
      </c>
      <c r="AB1028" t="s">
        <v>159</v>
      </c>
      <c r="AC1028" s="24">
        <v>8593.51</v>
      </c>
      <c r="AD1028" t="s">
        <v>160</v>
      </c>
      <c r="AE1028" s="24">
        <v>68748.08</v>
      </c>
      <c r="AF1028">
        <v>0</v>
      </c>
      <c r="AG1028" s="24">
        <v>68748.08</v>
      </c>
      <c r="AH1028">
        <v>0</v>
      </c>
      <c r="AI1028">
        <v>0</v>
      </c>
      <c r="AJ1028">
        <v>0</v>
      </c>
      <c r="AK1028">
        <v>0</v>
      </c>
      <c r="AL1028" s="24">
        <v>68748.08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 s="24">
        <v>68748.08</v>
      </c>
      <c r="AV1028">
        <v>0</v>
      </c>
      <c r="AW1028">
        <v>0</v>
      </c>
      <c r="AX1028">
        <v>311000</v>
      </c>
      <c r="AY1028" t="s">
        <v>161</v>
      </c>
      <c r="AZ1028">
        <v>93.34</v>
      </c>
      <c r="BA1028">
        <v>75.430000000000007</v>
      </c>
      <c r="BB1028">
        <v>17.91</v>
      </c>
      <c r="BC1028" t="s">
        <v>168</v>
      </c>
      <c r="BD1028">
        <v>1509</v>
      </c>
      <c r="BE1028" t="s">
        <v>169</v>
      </c>
      <c r="BF1028" t="s">
        <v>163</v>
      </c>
      <c r="BG1028" t="s">
        <v>164</v>
      </c>
    </row>
    <row r="1029" spans="1:59">
      <c r="A1029">
        <v>1115</v>
      </c>
      <c r="B1029">
        <v>1115</v>
      </c>
      <c r="C1029">
        <v>10</v>
      </c>
      <c r="D1029">
        <v>2</v>
      </c>
      <c r="E1029" t="s">
        <v>152</v>
      </c>
      <c r="F1029" t="s">
        <v>153</v>
      </c>
      <c r="G1029" t="s">
        <v>154</v>
      </c>
      <c r="H1029">
        <v>1526006753</v>
      </c>
      <c r="I1029">
        <v>1000007032</v>
      </c>
      <c r="L1029" t="s">
        <v>355</v>
      </c>
      <c r="M1029">
        <v>5100001603</v>
      </c>
      <c r="N1029" t="s">
        <v>155</v>
      </c>
      <c r="O1029" t="s">
        <v>156</v>
      </c>
      <c r="P1029">
        <v>4110025468</v>
      </c>
      <c r="Q1029" t="s">
        <v>165</v>
      </c>
      <c r="R1029">
        <v>5000</v>
      </c>
      <c r="S1029" t="s">
        <v>166</v>
      </c>
      <c r="V1029" t="s">
        <v>167</v>
      </c>
      <c r="W1029">
        <v>1502020102</v>
      </c>
      <c r="X1029" t="s">
        <v>58</v>
      </c>
      <c r="Y1029" t="str">
        <f>VLOOKUP(W1029,Sheet4!$A$5:$B$71,2,0)</f>
        <v>MAXIMA HD</v>
      </c>
      <c r="Z1029">
        <v>87082900</v>
      </c>
      <c r="AA1029">
        <v>8</v>
      </c>
      <c r="AB1029" t="s">
        <v>159</v>
      </c>
      <c r="AC1029" s="24">
        <v>8593.51</v>
      </c>
      <c r="AD1029" t="s">
        <v>160</v>
      </c>
      <c r="AE1029" s="24">
        <v>68748.08</v>
      </c>
      <c r="AF1029">
        <v>0</v>
      </c>
      <c r="AG1029" s="24">
        <v>68748.08</v>
      </c>
      <c r="AH1029">
        <v>0</v>
      </c>
      <c r="AI1029">
        <v>0</v>
      </c>
      <c r="AJ1029">
        <v>0</v>
      </c>
      <c r="AK1029">
        <v>0</v>
      </c>
      <c r="AL1029" s="24">
        <v>68748.08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 s="24">
        <v>68748.08</v>
      </c>
      <c r="AV1029">
        <v>0</v>
      </c>
      <c r="AW1029">
        <v>0</v>
      </c>
      <c r="AX1029">
        <v>311000</v>
      </c>
      <c r="AY1029" t="s">
        <v>161</v>
      </c>
      <c r="AZ1029">
        <v>93.34</v>
      </c>
      <c r="BA1029">
        <v>75.430000000000007</v>
      </c>
      <c r="BB1029">
        <v>17.91</v>
      </c>
      <c r="BC1029" t="s">
        <v>168</v>
      </c>
      <c r="BD1029">
        <v>1509</v>
      </c>
      <c r="BE1029" t="s">
        <v>169</v>
      </c>
      <c r="BF1029" t="s">
        <v>163</v>
      </c>
      <c r="BG1029" t="s">
        <v>164</v>
      </c>
    </row>
    <row r="1030" spans="1:59">
      <c r="A1030">
        <v>1115</v>
      </c>
      <c r="B1030">
        <v>1115</v>
      </c>
      <c r="C1030">
        <v>10</v>
      </c>
      <c r="D1030">
        <v>2</v>
      </c>
      <c r="E1030" t="s">
        <v>152</v>
      </c>
      <c r="F1030" t="s">
        <v>153</v>
      </c>
      <c r="G1030" t="s">
        <v>154</v>
      </c>
      <c r="H1030">
        <v>1526006752</v>
      </c>
      <c r="I1030">
        <v>1000007031</v>
      </c>
      <c r="L1030" t="s">
        <v>355</v>
      </c>
      <c r="M1030">
        <v>5100001636</v>
      </c>
      <c r="N1030" t="s">
        <v>155</v>
      </c>
      <c r="O1030" t="s">
        <v>156</v>
      </c>
      <c r="P1030">
        <v>4110026445</v>
      </c>
      <c r="Q1030" t="s">
        <v>170</v>
      </c>
      <c r="R1030">
        <v>5000</v>
      </c>
      <c r="S1030" t="s">
        <v>166</v>
      </c>
      <c r="V1030" t="s">
        <v>167</v>
      </c>
      <c r="W1030">
        <v>1502020104</v>
      </c>
      <c r="X1030" t="s">
        <v>26</v>
      </c>
      <c r="Y1030" t="str">
        <f>VLOOKUP(W1030,Sheet4!$A$5:$B$71,2,0)</f>
        <v>RE STYLING</v>
      </c>
      <c r="Z1030">
        <v>87082900</v>
      </c>
      <c r="AA1030">
        <v>15</v>
      </c>
      <c r="AB1030" t="s">
        <v>159</v>
      </c>
      <c r="AC1030" s="24">
        <v>6585.55</v>
      </c>
      <c r="AD1030" t="s">
        <v>160</v>
      </c>
      <c r="AE1030" s="24">
        <v>98783.25</v>
      </c>
      <c r="AF1030">
        <v>0</v>
      </c>
      <c r="AG1030" s="24">
        <v>98783.25</v>
      </c>
      <c r="AH1030">
        <v>0</v>
      </c>
      <c r="AI1030">
        <v>0</v>
      </c>
      <c r="AJ1030">
        <v>0</v>
      </c>
      <c r="AK1030">
        <v>0</v>
      </c>
      <c r="AL1030" s="24">
        <v>98783.25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 s="24">
        <v>98783.25</v>
      </c>
      <c r="AV1030">
        <v>0</v>
      </c>
      <c r="AW1030">
        <v>0</v>
      </c>
      <c r="AX1030">
        <v>311000</v>
      </c>
      <c r="AY1030" t="s">
        <v>161</v>
      </c>
      <c r="AZ1030">
        <v>49.75</v>
      </c>
      <c r="BA1030">
        <v>49.75</v>
      </c>
      <c r="BB1030">
        <v>0</v>
      </c>
      <c r="BC1030" t="s">
        <v>171</v>
      </c>
      <c r="BD1030">
        <v>1509</v>
      </c>
      <c r="BE1030" t="s">
        <v>169</v>
      </c>
      <c r="BF1030" t="s">
        <v>163</v>
      </c>
      <c r="BG1030" t="s">
        <v>164</v>
      </c>
    </row>
    <row r="1031" spans="1:59">
      <c r="A1031">
        <v>1115</v>
      </c>
      <c r="B1031">
        <v>1115</v>
      </c>
      <c r="C1031">
        <v>10</v>
      </c>
      <c r="D1031">
        <v>2</v>
      </c>
      <c r="E1031" t="s">
        <v>152</v>
      </c>
      <c r="F1031" t="s">
        <v>153</v>
      </c>
      <c r="G1031" t="s">
        <v>154</v>
      </c>
      <c r="H1031">
        <v>1526006751</v>
      </c>
      <c r="I1031">
        <v>1000007030</v>
      </c>
      <c r="L1031" t="s">
        <v>355</v>
      </c>
      <c r="M1031">
        <v>5100001636</v>
      </c>
      <c r="N1031" t="s">
        <v>155</v>
      </c>
      <c r="O1031" t="s">
        <v>156</v>
      </c>
      <c r="P1031">
        <v>4110026445</v>
      </c>
      <c r="Q1031" t="s">
        <v>170</v>
      </c>
      <c r="R1031">
        <v>5000</v>
      </c>
      <c r="S1031" t="s">
        <v>166</v>
      </c>
      <c r="V1031" t="s">
        <v>167</v>
      </c>
      <c r="W1031">
        <v>1502020104</v>
      </c>
      <c r="X1031" t="s">
        <v>26</v>
      </c>
      <c r="Y1031" t="str">
        <f>VLOOKUP(W1031,Sheet4!$A$5:$B$71,2,0)</f>
        <v>RE STYLING</v>
      </c>
      <c r="Z1031">
        <v>87082900</v>
      </c>
      <c r="AA1031">
        <v>15</v>
      </c>
      <c r="AB1031" t="s">
        <v>159</v>
      </c>
      <c r="AC1031" s="24">
        <v>6585.55</v>
      </c>
      <c r="AD1031" t="s">
        <v>160</v>
      </c>
      <c r="AE1031" s="24">
        <v>98783.25</v>
      </c>
      <c r="AF1031">
        <v>0</v>
      </c>
      <c r="AG1031" s="24">
        <v>98783.25</v>
      </c>
      <c r="AH1031">
        <v>0</v>
      </c>
      <c r="AI1031">
        <v>0</v>
      </c>
      <c r="AJ1031">
        <v>0</v>
      </c>
      <c r="AK1031">
        <v>0</v>
      </c>
      <c r="AL1031" s="24">
        <v>98783.25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 s="24">
        <v>98783.25</v>
      </c>
      <c r="AV1031">
        <v>0</v>
      </c>
      <c r="AW1031">
        <v>0</v>
      </c>
      <c r="AX1031">
        <v>311000</v>
      </c>
      <c r="AY1031" t="s">
        <v>161</v>
      </c>
      <c r="AZ1031">
        <v>49.75</v>
      </c>
      <c r="BA1031">
        <v>49.75</v>
      </c>
      <c r="BB1031">
        <v>0</v>
      </c>
      <c r="BC1031" t="s">
        <v>171</v>
      </c>
      <c r="BD1031">
        <v>1509</v>
      </c>
      <c r="BE1031" t="s">
        <v>169</v>
      </c>
      <c r="BF1031" t="s">
        <v>163</v>
      </c>
      <c r="BG1031" t="s">
        <v>164</v>
      </c>
    </row>
    <row r="1032" spans="1:59">
      <c r="A1032">
        <v>1115</v>
      </c>
      <c r="B1032">
        <v>1115</v>
      </c>
      <c r="C1032">
        <v>10</v>
      </c>
      <c r="D1032">
        <v>2</v>
      </c>
      <c r="E1032" t="s">
        <v>152</v>
      </c>
      <c r="F1032" t="s">
        <v>153</v>
      </c>
      <c r="G1032" t="s">
        <v>154</v>
      </c>
      <c r="H1032">
        <v>1526006750</v>
      </c>
      <c r="I1032">
        <v>1000007029</v>
      </c>
      <c r="L1032" t="s">
        <v>355</v>
      </c>
      <c r="M1032">
        <v>5100001934</v>
      </c>
      <c r="N1032" t="s">
        <v>155</v>
      </c>
      <c r="O1032" t="s">
        <v>156</v>
      </c>
      <c r="P1032">
        <v>4110058649</v>
      </c>
      <c r="Q1032" t="s">
        <v>196</v>
      </c>
      <c r="R1032">
        <v>5000</v>
      </c>
      <c r="S1032" t="s">
        <v>166</v>
      </c>
      <c r="V1032" t="s">
        <v>167</v>
      </c>
      <c r="W1032">
        <v>1502040217</v>
      </c>
      <c r="X1032" t="s">
        <v>197</v>
      </c>
      <c r="Y1032" t="str">
        <f>VLOOKUP(W1032,Sheet4!$A$5:$B$71,2,0)</f>
        <v>FRONT MUDGARD GOGO</v>
      </c>
      <c r="Z1032">
        <v>87082900</v>
      </c>
      <c r="AA1032">
        <v>120</v>
      </c>
      <c r="AB1032" t="s">
        <v>159</v>
      </c>
      <c r="AC1032">
        <v>380.93</v>
      </c>
      <c r="AD1032" t="s">
        <v>160</v>
      </c>
      <c r="AE1032" s="24">
        <v>45711.6</v>
      </c>
      <c r="AF1032">
        <v>0</v>
      </c>
      <c r="AG1032" s="24">
        <v>45711.6</v>
      </c>
      <c r="AH1032">
        <v>0</v>
      </c>
      <c r="AI1032">
        <v>0</v>
      </c>
      <c r="AJ1032">
        <v>0</v>
      </c>
      <c r="AK1032">
        <v>0</v>
      </c>
      <c r="AL1032" s="24">
        <v>45711.6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 s="24">
        <v>45711.6</v>
      </c>
      <c r="AV1032">
        <v>0</v>
      </c>
      <c r="AW1032">
        <v>0</v>
      </c>
      <c r="AX1032">
        <v>311000</v>
      </c>
      <c r="AY1032" t="s">
        <v>161</v>
      </c>
      <c r="AZ1032">
        <v>2.13</v>
      </c>
      <c r="BA1032">
        <v>2.13</v>
      </c>
      <c r="BB1032">
        <v>0</v>
      </c>
      <c r="BC1032" t="s">
        <v>198</v>
      </c>
      <c r="BD1032">
        <v>1511</v>
      </c>
      <c r="BE1032" t="s">
        <v>174</v>
      </c>
      <c r="BF1032" t="s">
        <v>163</v>
      </c>
      <c r="BG1032" t="s">
        <v>164</v>
      </c>
    </row>
    <row r="1033" spans="1:59">
      <c r="A1033">
        <v>1115</v>
      </c>
      <c r="B1033">
        <v>1115</v>
      </c>
      <c r="C1033">
        <v>10</v>
      </c>
      <c r="D1033">
        <v>2</v>
      </c>
      <c r="E1033" t="s">
        <v>152</v>
      </c>
      <c r="F1033" t="s">
        <v>153</v>
      </c>
      <c r="G1033" t="s">
        <v>154</v>
      </c>
      <c r="H1033">
        <v>1526006749</v>
      </c>
      <c r="I1033">
        <v>1000007028</v>
      </c>
      <c r="L1033" t="s">
        <v>355</v>
      </c>
      <c r="M1033">
        <v>5100001943</v>
      </c>
      <c r="N1033" t="s">
        <v>155</v>
      </c>
      <c r="O1033" t="s">
        <v>156</v>
      </c>
      <c r="P1033">
        <v>4110061540</v>
      </c>
      <c r="Q1033" t="s">
        <v>349</v>
      </c>
      <c r="R1033">
        <v>5000</v>
      </c>
      <c r="S1033" t="s">
        <v>166</v>
      </c>
      <c r="V1033" t="s">
        <v>167</v>
      </c>
      <c r="W1033">
        <v>1502020117</v>
      </c>
      <c r="X1033" t="s">
        <v>210</v>
      </c>
      <c r="Y1033" t="str">
        <f>VLOOKUP(W1033,Sheet4!$A$5:$B$71,2,0)</f>
        <v>MAXIMA HD</v>
      </c>
      <c r="Z1033">
        <v>87082900</v>
      </c>
      <c r="AA1033">
        <v>8</v>
      </c>
      <c r="AB1033" t="s">
        <v>159</v>
      </c>
      <c r="AC1033" s="24">
        <v>8350.51</v>
      </c>
      <c r="AD1033" t="s">
        <v>160</v>
      </c>
      <c r="AE1033" s="24">
        <v>66804.08</v>
      </c>
      <c r="AF1033">
        <v>0</v>
      </c>
      <c r="AG1033" s="24">
        <v>66804.08</v>
      </c>
      <c r="AH1033">
        <v>0</v>
      </c>
      <c r="AI1033">
        <v>0</v>
      </c>
      <c r="AJ1033">
        <v>0</v>
      </c>
      <c r="AK1033">
        <v>0</v>
      </c>
      <c r="AL1033" s="24">
        <v>66804.08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 s="24">
        <v>66804.08</v>
      </c>
      <c r="AV1033">
        <v>0</v>
      </c>
      <c r="AW1033">
        <v>0</v>
      </c>
      <c r="AX1033">
        <v>311000</v>
      </c>
      <c r="AY1033" t="s">
        <v>161</v>
      </c>
      <c r="AZ1033">
        <v>63</v>
      </c>
      <c r="BA1033">
        <v>63</v>
      </c>
      <c r="BB1033">
        <v>0</v>
      </c>
      <c r="BC1033" t="s">
        <v>350</v>
      </c>
      <c r="BD1033">
        <v>1509</v>
      </c>
      <c r="BE1033" t="s">
        <v>169</v>
      </c>
      <c r="BF1033" t="s">
        <v>163</v>
      </c>
      <c r="BG1033" t="s">
        <v>164</v>
      </c>
    </row>
    <row r="1034" spans="1:59">
      <c r="A1034">
        <v>1115</v>
      </c>
      <c r="B1034">
        <v>1115</v>
      </c>
      <c r="C1034">
        <v>10</v>
      </c>
      <c r="D1034">
        <v>2</v>
      </c>
      <c r="E1034" t="s">
        <v>152</v>
      </c>
      <c r="F1034" t="s">
        <v>153</v>
      </c>
      <c r="G1034" t="s">
        <v>154</v>
      </c>
      <c r="H1034">
        <v>1526006748</v>
      </c>
      <c r="I1034">
        <v>1000007027</v>
      </c>
      <c r="L1034" t="s">
        <v>355</v>
      </c>
      <c r="M1034">
        <v>5100001943</v>
      </c>
      <c r="N1034" t="s">
        <v>155</v>
      </c>
      <c r="O1034" t="s">
        <v>156</v>
      </c>
      <c r="P1034">
        <v>4110061540</v>
      </c>
      <c r="Q1034" t="s">
        <v>349</v>
      </c>
      <c r="R1034">
        <v>5000</v>
      </c>
      <c r="S1034" t="s">
        <v>166</v>
      </c>
      <c r="V1034" t="s">
        <v>167</v>
      </c>
      <c r="W1034">
        <v>1502020117</v>
      </c>
      <c r="X1034" t="s">
        <v>210</v>
      </c>
      <c r="Y1034" t="str">
        <f>VLOOKUP(W1034,Sheet4!$A$5:$B$71,2,0)</f>
        <v>MAXIMA HD</v>
      </c>
      <c r="Z1034">
        <v>87082900</v>
      </c>
      <c r="AA1034">
        <v>8</v>
      </c>
      <c r="AB1034" t="s">
        <v>159</v>
      </c>
      <c r="AC1034" s="24">
        <v>8350.51</v>
      </c>
      <c r="AD1034" t="s">
        <v>160</v>
      </c>
      <c r="AE1034" s="24">
        <v>66804.08</v>
      </c>
      <c r="AF1034">
        <v>0</v>
      </c>
      <c r="AG1034" s="24">
        <v>66804.08</v>
      </c>
      <c r="AH1034">
        <v>0</v>
      </c>
      <c r="AI1034">
        <v>0</v>
      </c>
      <c r="AJ1034">
        <v>0</v>
      </c>
      <c r="AK1034">
        <v>0</v>
      </c>
      <c r="AL1034" s="24">
        <v>66804.08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 s="24">
        <v>66804.08</v>
      </c>
      <c r="AV1034">
        <v>0</v>
      </c>
      <c r="AW1034">
        <v>0</v>
      </c>
      <c r="AX1034">
        <v>311000</v>
      </c>
      <c r="AY1034" t="s">
        <v>161</v>
      </c>
      <c r="AZ1034">
        <v>63</v>
      </c>
      <c r="BA1034">
        <v>63</v>
      </c>
      <c r="BB1034">
        <v>0</v>
      </c>
      <c r="BC1034" t="s">
        <v>350</v>
      </c>
      <c r="BD1034">
        <v>1509</v>
      </c>
      <c r="BE1034" t="s">
        <v>169</v>
      </c>
      <c r="BF1034" t="s">
        <v>163</v>
      </c>
      <c r="BG1034" t="s">
        <v>164</v>
      </c>
    </row>
    <row r="1035" spans="1:59">
      <c r="A1035">
        <v>1115</v>
      </c>
      <c r="B1035">
        <v>1115</v>
      </c>
      <c r="C1035">
        <v>10</v>
      </c>
      <c r="D1035">
        <v>2</v>
      </c>
      <c r="E1035" t="s">
        <v>152</v>
      </c>
      <c r="F1035" t="s">
        <v>153</v>
      </c>
      <c r="G1035" t="s">
        <v>154</v>
      </c>
      <c r="H1035">
        <v>1526006747</v>
      </c>
      <c r="I1035">
        <v>1000007026</v>
      </c>
      <c r="L1035" t="s">
        <v>355</v>
      </c>
      <c r="M1035">
        <v>5100001943</v>
      </c>
      <c r="N1035" t="s">
        <v>155</v>
      </c>
      <c r="O1035" t="s">
        <v>156</v>
      </c>
      <c r="P1035">
        <v>4110061540</v>
      </c>
      <c r="Q1035" t="s">
        <v>349</v>
      </c>
      <c r="R1035">
        <v>5000</v>
      </c>
      <c r="S1035" t="s">
        <v>166</v>
      </c>
      <c r="V1035" t="s">
        <v>167</v>
      </c>
      <c r="W1035">
        <v>1502020117</v>
      </c>
      <c r="X1035" t="s">
        <v>210</v>
      </c>
      <c r="Y1035" t="str">
        <f>VLOOKUP(W1035,Sheet4!$A$5:$B$71,2,0)</f>
        <v>MAXIMA HD</v>
      </c>
      <c r="Z1035">
        <v>87082900</v>
      </c>
      <c r="AA1035">
        <v>8</v>
      </c>
      <c r="AB1035" t="s">
        <v>159</v>
      </c>
      <c r="AC1035" s="24">
        <v>8350.51</v>
      </c>
      <c r="AD1035" t="s">
        <v>160</v>
      </c>
      <c r="AE1035" s="24">
        <v>66804.08</v>
      </c>
      <c r="AF1035">
        <v>0</v>
      </c>
      <c r="AG1035" s="24">
        <v>66804.08</v>
      </c>
      <c r="AH1035">
        <v>0</v>
      </c>
      <c r="AI1035">
        <v>0</v>
      </c>
      <c r="AJ1035">
        <v>0</v>
      </c>
      <c r="AK1035">
        <v>0</v>
      </c>
      <c r="AL1035" s="24">
        <v>66804.08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 s="24">
        <v>66804.08</v>
      </c>
      <c r="AV1035">
        <v>0</v>
      </c>
      <c r="AW1035">
        <v>0</v>
      </c>
      <c r="AX1035">
        <v>311000</v>
      </c>
      <c r="AY1035" t="s">
        <v>161</v>
      </c>
      <c r="AZ1035">
        <v>63</v>
      </c>
      <c r="BA1035">
        <v>63</v>
      </c>
      <c r="BB1035">
        <v>0</v>
      </c>
      <c r="BC1035" t="s">
        <v>350</v>
      </c>
      <c r="BD1035">
        <v>1509</v>
      </c>
      <c r="BE1035" t="s">
        <v>169</v>
      </c>
      <c r="BF1035" t="s">
        <v>163</v>
      </c>
      <c r="BG1035" t="s">
        <v>164</v>
      </c>
    </row>
    <row r="1036" spans="1:59">
      <c r="A1036">
        <v>1115</v>
      </c>
      <c r="B1036">
        <v>1115</v>
      </c>
      <c r="C1036">
        <v>10</v>
      </c>
      <c r="D1036">
        <v>2</v>
      </c>
      <c r="E1036" t="s">
        <v>152</v>
      </c>
      <c r="F1036" t="s">
        <v>153</v>
      </c>
      <c r="G1036" t="s">
        <v>154</v>
      </c>
      <c r="H1036">
        <v>1526006744</v>
      </c>
      <c r="I1036">
        <v>1000007024</v>
      </c>
      <c r="L1036" t="s">
        <v>355</v>
      </c>
      <c r="M1036">
        <v>5100001949</v>
      </c>
      <c r="N1036" t="s">
        <v>155</v>
      </c>
      <c r="O1036" t="s">
        <v>156</v>
      </c>
      <c r="P1036">
        <v>4110063766</v>
      </c>
      <c r="Q1036" t="s">
        <v>252</v>
      </c>
      <c r="R1036">
        <v>5000</v>
      </c>
      <c r="S1036" t="s">
        <v>166</v>
      </c>
      <c r="V1036" t="s">
        <v>167</v>
      </c>
      <c r="W1036">
        <v>1502040322</v>
      </c>
      <c r="X1036" t="s">
        <v>250</v>
      </c>
      <c r="Y1036" t="str">
        <f>VLOOKUP(W1036,Sheet4!$A$5:$B$71,2,0)</f>
        <v>DASH BOARD</v>
      </c>
      <c r="Z1036">
        <v>87082900</v>
      </c>
      <c r="AA1036">
        <v>60</v>
      </c>
      <c r="AB1036" t="s">
        <v>159</v>
      </c>
      <c r="AC1036">
        <v>291.27999999999997</v>
      </c>
      <c r="AD1036" t="s">
        <v>160</v>
      </c>
      <c r="AE1036" s="24">
        <v>17476.8</v>
      </c>
      <c r="AF1036">
        <v>0</v>
      </c>
      <c r="AG1036" s="24">
        <v>17476.8</v>
      </c>
      <c r="AH1036">
        <v>0</v>
      </c>
      <c r="AI1036">
        <v>0</v>
      </c>
      <c r="AJ1036">
        <v>0</v>
      </c>
      <c r="AK1036">
        <v>0</v>
      </c>
      <c r="AL1036" s="24">
        <v>17476.8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 s="24">
        <v>17476.8</v>
      </c>
      <c r="AV1036">
        <v>0</v>
      </c>
      <c r="AW1036">
        <v>0</v>
      </c>
      <c r="AX1036">
        <v>311000</v>
      </c>
      <c r="AY1036" t="s">
        <v>161</v>
      </c>
      <c r="AZ1036">
        <v>2.37</v>
      </c>
      <c r="BA1036">
        <v>2.37</v>
      </c>
      <c r="BB1036">
        <v>0</v>
      </c>
      <c r="BC1036" t="s">
        <v>251</v>
      </c>
      <c r="BD1036">
        <v>1511</v>
      </c>
      <c r="BE1036" t="s">
        <v>174</v>
      </c>
      <c r="BF1036" t="s">
        <v>163</v>
      </c>
      <c r="BG1036" t="s">
        <v>164</v>
      </c>
    </row>
    <row r="1037" spans="1:59">
      <c r="A1037">
        <v>1115</v>
      </c>
      <c r="B1037">
        <v>1115</v>
      </c>
      <c r="C1037">
        <v>10</v>
      </c>
      <c r="D1037">
        <v>2</v>
      </c>
      <c r="E1037" t="s">
        <v>152</v>
      </c>
      <c r="F1037" t="s">
        <v>153</v>
      </c>
      <c r="G1037" t="s">
        <v>154</v>
      </c>
      <c r="H1037">
        <v>1526006743</v>
      </c>
      <c r="I1037">
        <v>1000007023</v>
      </c>
      <c r="L1037" t="s">
        <v>355</v>
      </c>
      <c r="M1037">
        <v>5100001899</v>
      </c>
      <c r="N1037" t="s">
        <v>155</v>
      </c>
      <c r="O1037" t="s">
        <v>156</v>
      </c>
      <c r="P1037">
        <v>4110041854</v>
      </c>
      <c r="Q1037" t="s">
        <v>172</v>
      </c>
      <c r="R1037">
        <v>5000</v>
      </c>
      <c r="S1037" t="s">
        <v>166</v>
      </c>
      <c r="V1037" t="s">
        <v>167</v>
      </c>
      <c r="W1037">
        <v>1502040267</v>
      </c>
      <c r="X1037" t="s">
        <v>63</v>
      </c>
      <c r="Y1037" t="str">
        <f>VLOOKUP(W1037,Sheet4!$A$5:$B$71,2,0)</f>
        <v>DASH BOARD</v>
      </c>
      <c r="Z1037">
        <v>87082900</v>
      </c>
      <c r="AA1037">
        <v>448</v>
      </c>
      <c r="AB1037" t="s">
        <v>159</v>
      </c>
      <c r="AC1037">
        <v>290.89999999999998</v>
      </c>
      <c r="AD1037" t="s">
        <v>160</v>
      </c>
      <c r="AE1037" s="24">
        <v>130323.2</v>
      </c>
      <c r="AF1037">
        <v>0</v>
      </c>
      <c r="AG1037" s="24">
        <v>130323.2</v>
      </c>
      <c r="AH1037">
        <v>0</v>
      </c>
      <c r="AI1037">
        <v>0</v>
      </c>
      <c r="AJ1037">
        <v>0</v>
      </c>
      <c r="AK1037">
        <v>0</v>
      </c>
      <c r="AL1037" s="24">
        <v>130323.2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 s="24">
        <v>130323.2</v>
      </c>
      <c r="AV1037">
        <v>0</v>
      </c>
      <c r="AW1037">
        <v>0</v>
      </c>
      <c r="AX1037">
        <v>311000</v>
      </c>
      <c r="AY1037" t="s">
        <v>161</v>
      </c>
      <c r="AZ1037">
        <v>4.5</v>
      </c>
      <c r="BA1037">
        <v>4.5</v>
      </c>
      <c r="BB1037">
        <v>0</v>
      </c>
      <c r="BC1037" t="s">
        <v>173</v>
      </c>
      <c r="BD1037">
        <v>1511</v>
      </c>
      <c r="BE1037" t="s">
        <v>174</v>
      </c>
      <c r="BF1037" t="s">
        <v>163</v>
      </c>
      <c r="BG1037" t="s">
        <v>164</v>
      </c>
    </row>
    <row r="1038" spans="1:59">
      <c r="A1038">
        <v>1115</v>
      </c>
      <c r="B1038">
        <v>1115</v>
      </c>
      <c r="C1038">
        <v>10</v>
      </c>
      <c r="D1038">
        <v>2</v>
      </c>
      <c r="E1038" t="s">
        <v>152</v>
      </c>
      <c r="F1038" t="s">
        <v>153</v>
      </c>
      <c r="G1038" t="s">
        <v>154</v>
      </c>
      <c r="H1038">
        <v>1526006742</v>
      </c>
      <c r="I1038">
        <v>1000007022</v>
      </c>
      <c r="L1038" t="s">
        <v>355</v>
      </c>
      <c r="M1038">
        <v>5100001943</v>
      </c>
      <c r="N1038" t="s">
        <v>155</v>
      </c>
      <c r="O1038" t="s">
        <v>156</v>
      </c>
      <c r="P1038">
        <v>4110061540</v>
      </c>
      <c r="Q1038" t="s">
        <v>349</v>
      </c>
      <c r="R1038">
        <v>5000</v>
      </c>
      <c r="S1038" t="s">
        <v>166</v>
      </c>
      <c r="V1038" t="s">
        <v>167</v>
      </c>
      <c r="W1038">
        <v>1502020117</v>
      </c>
      <c r="X1038" t="s">
        <v>210</v>
      </c>
      <c r="Y1038" t="str">
        <f>VLOOKUP(W1038,Sheet4!$A$5:$B$71,2,0)</f>
        <v>MAXIMA HD</v>
      </c>
      <c r="Z1038">
        <v>87082900</v>
      </c>
      <c r="AA1038">
        <v>8</v>
      </c>
      <c r="AB1038" t="s">
        <v>159</v>
      </c>
      <c r="AC1038" s="24">
        <v>8350.51</v>
      </c>
      <c r="AD1038" t="s">
        <v>160</v>
      </c>
      <c r="AE1038" s="24">
        <v>66804.08</v>
      </c>
      <c r="AF1038">
        <v>0</v>
      </c>
      <c r="AG1038" s="24">
        <v>66804.08</v>
      </c>
      <c r="AH1038">
        <v>0</v>
      </c>
      <c r="AI1038">
        <v>0</v>
      </c>
      <c r="AJ1038">
        <v>0</v>
      </c>
      <c r="AK1038">
        <v>0</v>
      </c>
      <c r="AL1038" s="24">
        <v>66804.08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 s="24">
        <v>66804.08</v>
      </c>
      <c r="AV1038">
        <v>0</v>
      </c>
      <c r="AW1038">
        <v>0</v>
      </c>
      <c r="AX1038">
        <v>311000</v>
      </c>
      <c r="AY1038" t="s">
        <v>161</v>
      </c>
      <c r="AZ1038">
        <v>63</v>
      </c>
      <c r="BA1038">
        <v>63</v>
      </c>
      <c r="BB1038">
        <v>0</v>
      </c>
      <c r="BC1038" t="s">
        <v>350</v>
      </c>
      <c r="BD1038">
        <v>1509</v>
      </c>
      <c r="BE1038" t="s">
        <v>169</v>
      </c>
      <c r="BF1038" t="s">
        <v>163</v>
      </c>
      <c r="BG1038" t="s">
        <v>164</v>
      </c>
    </row>
    <row r="1039" spans="1:59">
      <c r="A1039">
        <v>1115</v>
      </c>
      <c r="B1039">
        <v>1115</v>
      </c>
      <c r="C1039">
        <v>10</v>
      </c>
      <c r="D1039">
        <v>2</v>
      </c>
      <c r="E1039" t="s">
        <v>152</v>
      </c>
      <c r="F1039" t="s">
        <v>153</v>
      </c>
      <c r="G1039" t="s">
        <v>154</v>
      </c>
      <c r="H1039">
        <v>1526006741</v>
      </c>
      <c r="I1039">
        <v>1000007021</v>
      </c>
      <c r="L1039" t="s">
        <v>355</v>
      </c>
      <c r="M1039">
        <v>5100001939</v>
      </c>
      <c r="N1039" t="s">
        <v>155</v>
      </c>
      <c r="O1039" t="s">
        <v>156</v>
      </c>
      <c r="P1039">
        <v>4110059608</v>
      </c>
      <c r="Q1039" t="s">
        <v>240</v>
      </c>
      <c r="R1039">
        <v>5000</v>
      </c>
      <c r="S1039" t="s">
        <v>166</v>
      </c>
      <c r="V1039" t="s">
        <v>167</v>
      </c>
      <c r="W1039">
        <v>1502020129</v>
      </c>
      <c r="X1039" t="s">
        <v>241</v>
      </c>
      <c r="Y1039" t="str">
        <f>VLOOKUP(W1039,Sheet4!$A$5:$B$71,2,0)</f>
        <v>RE STYLING</v>
      </c>
      <c r="Z1039">
        <v>87082900</v>
      </c>
      <c r="AA1039">
        <v>6</v>
      </c>
      <c r="AB1039" t="s">
        <v>159</v>
      </c>
      <c r="AC1039" s="24">
        <v>6500.18</v>
      </c>
      <c r="AD1039" t="s">
        <v>160</v>
      </c>
      <c r="AE1039" s="24">
        <v>39001.08</v>
      </c>
      <c r="AF1039">
        <v>0</v>
      </c>
      <c r="AG1039" s="24">
        <v>39001.08</v>
      </c>
      <c r="AH1039">
        <v>0</v>
      </c>
      <c r="AI1039">
        <v>0</v>
      </c>
      <c r="AJ1039">
        <v>0</v>
      </c>
      <c r="AK1039">
        <v>0</v>
      </c>
      <c r="AL1039" s="24">
        <v>39001.08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 s="24">
        <v>39001.08</v>
      </c>
      <c r="AV1039">
        <v>0</v>
      </c>
      <c r="AW1039">
        <v>0</v>
      </c>
      <c r="AX1039">
        <v>311000</v>
      </c>
      <c r="AY1039" t="s">
        <v>161</v>
      </c>
      <c r="AZ1039">
        <v>0</v>
      </c>
      <c r="BA1039">
        <v>0</v>
      </c>
      <c r="BB1039">
        <v>0</v>
      </c>
      <c r="BC1039" t="s">
        <v>242</v>
      </c>
      <c r="BD1039">
        <v>1509</v>
      </c>
      <c r="BE1039" t="s">
        <v>169</v>
      </c>
      <c r="BF1039" t="s">
        <v>163</v>
      </c>
      <c r="BG1039" t="s">
        <v>164</v>
      </c>
    </row>
    <row r="1040" spans="1:59">
      <c r="A1040">
        <v>1115</v>
      </c>
      <c r="B1040">
        <v>1115</v>
      </c>
      <c r="C1040">
        <v>10</v>
      </c>
      <c r="D1040">
        <v>2</v>
      </c>
      <c r="E1040" t="s">
        <v>152</v>
      </c>
      <c r="F1040" t="s">
        <v>153</v>
      </c>
      <c r="G1040" t="s">
        <v>154</v>
      </c>
      <c r="H1040">
        <v>1526006740</v>
      </c>
      <c r="I1040">
        <v>1000007020</v>
      </c>
      <c r="L1040" t="s">
        <v>355</v>
      </c>
      <c r="M1040">
        <v>5100001948</v>
      </c>
      <c r="N1040" t="s">
        <v>155</v>
      </c>
      <c r="O1040" t="s">
        <v>156</v>
      </c>
      <c r="P1040">
        <v>4110063856</v>
      </c>
      <c r="Q1040" t="s">
        <v>356</v>
      </c>
      <c r="R1040">
        <v>5000</v>
      </c>
      <c r="S1040" t="s">
        <v>166</v>
      </c>
      <c r="V1040" t="s">
        <v>167</v>
      </c>
      <c r="W1040">
        <v>1502020141</v>
      </c>
      <c r="X1040" t="s">
        <v>357</v>
      </c>
      <c r="Y1040" t="str">
        <f>VLOOKUP(W1040,Sheet4!$A$5:$B$71,2,0)</f>
        <v>RE STYLING</v>
      </c>
      <c r="Z1040">
        <v>87082900</v>
      </c>
      <c r="AA1040">
        <v>9</v>
      </c>
      <c r="AB1040" t="s">
        <v>159</v>
      </c>
      <c r="AC1040" s="24">
        <v>6509.4</v>
      </c>
      <c r="AD1040" t="s">
        <v>160</v>
      </c>
      <c r="AE1040" s="24">
        <v>58584.6</v>
      </c>
      <c r="AF1040">
        <v>0</v>
      </c>
      <c r="AG1040" s="24">
        <v>58584.6</v>
      </c>
      <c r="AH1040">
        <v>0</v>
      </c>
      <c r="AI1040">
        <v>0</v>
      </c>
      <c r="AJ1040">
        <v>0</v>
      </c>
      <c r="AK1040">
        <v>0</v>
      </c>
      <c r="AL1040" s="24">
        <v>58584.6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 s="24">
        <v>58584.6</v>
      </c>
      <c r="AV1040">
        <v>0</v>
      </c>
      <c r="AW1040">
        <v>0</v>
      </c>
      <c r="AX1040">
        <v>311000</v>
      </c>
      <c r="AY1040" t="s">
        <v>161</v>
      </c>
      <c r="AZ1040">
        <v>53</v>
      </c>
      <c r="BA1040">
        <v>0</v>
      </c>
      <c r="BB1040">
        <v>53</v>
      </c>
      <c r="BC1040" t="s">
        <v>358</v>
      </c>
      <c r="BD1040">
        <v>1509</v>
      </c>
      <c r="BE1040" t="s">
        <v>169</v>
      </c>
      <c r="BF1040" t="s">
        <v>163</v>
      </c>
      <c r="BG1040" t="s">
        <v>164</v>
      </c>
    </row>
    <row r="1041" spans="1:59">
      <c r="A1041">
        <v>1115</v>
      </c>
      <c r="B1041">
        <v>1115</v>
      </c>
      <c r="C1041">
        <v>10</v>
      </c>
      <c r="D1041">
        <v>2</v>
      </c>
      <c r="E1041" t="s">
        <v>152</v>
      </c>
      <c r="F1041" t="s">
        <v>153</v>
      </c>
      <c r="G1041" t="s">
        <v>154</v>
      </c>
      <c r="H1041">
        <v>1526006739</v>
      </c>
      <c r="I1041">
        <v>1000007019</v>
      </c>
      <c r="L1041" t="s">
        <v>355</v>
      </c>
      <c r="M1041">
        <v>5100001955</v>
      </c>
      <c r="N1041" t="s">
        <v>155</v>
      </c>
      <c r="O1041" t="s">
        <v>156</v>
      </c>
      <c r="P1041">
        <v>5500001432</v>
      </c>
      <c r="Q1041" t="s">
        <v>320</v>
      </c>
      <c r="R1041">
        <v>5356</v>
      </c>
      <c r="S1041" t="s">
        <v>158</v>
      </c>
      <c r="W1041">
        <v>1104040829</v>
      </c>
      <c r="X1041" t="s">
        <v>321</v>
      </c>
      <c r="Y1041" t="s">
        <v>339</v>
      </c>
      <c r="Z1041">
        <v>87141090</v>
      </c>
      <c r="AA1041">
        <v>210</v>
      </c>
      <c r="AB1041" t="s">
        <v>159</v>
      </c>
      <c r="AC1041">
        <v>136.6</v>
      </c>
      <c r="AD1041" t="s">
        <v>160</v>
      </c>
      <c r="AE1041" s="24">
        <v>28686</v>
      </c>
      <c r="AF1041">
        <v>0</v>
      </c>
      <c r="AG1041" s="24">
        <v>28686</v>
      </c>
      <c r="AH1041">
        <v>0</v>
      </c>
      <c r="AI1041">
        <v>0</v>
      </c>
      <c r="AJ1041">
        <v>0</v>
      </c>
      <c r="AK1041">
        <v>0</v>
      </c>
      <c r="AL1041" s="24">
        <v>28686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 s="24">
        <v>28686</v>
      </c>
      <c r="AV1041">
        <v>0</v>
      </c>
      <c r="AW1041">
        <v>0</v>
      </c>
      <c r="AX1041">
        <v>311003</v>
      </c>
      <c r="AY1041" t="s">
        <v>322</v>
      </c>
      <c r="AZ1041">
        <v>2.62</v>
      </c>
      <c r="BA1041">
        <v>2.62</v>
      </c>
      <c r="BB1041">
        <v>0</v>
      </c>
      <c r="BC1041">
        <v>2000000894</v>
      </c>
      <c r="BD1041">
        <v>1123</v>
      </c>
      <c r="BE1041" t="s">
        <v>323</v>
      </c>
      <c r="BF1041" t="s">
        <v>163</v>
      </c>
      <c r="BG1041" t="s">
        <v>164</v>
      </c>
    </row>
    <row r="1042" spans="1:59">
      <c r="A1042">
        <v>1115</v>
      </c>
      <c r="B1042">
        <v>1115</v>
      </c>
      <c r="C1042">
        <v>10</v>
      </c>
      <c r="D1042">
        <v>2</v>
      </c>
      <c r="E1042" t="s">
        <v>152</v>
      </c>
      <c r="F1042" t="s">
        <v>153</v>
      </c>
      <c r="G1042" t="s">
        <v>154</v>
      </c>
      <c r="H1042">
        <v>1526006738</v>
      </c>
      <c r="I1042">
        <v>1000007017</v>
      </c>
      <c r="L1042" t="s">
        <v>355</v>
      </c>
      <c r="M1042">
        <v>5100001636</v>
      </c>
      <c r="N1042" t="s">
        <v>155</v>
      </c>
      <c r="O1042" t="s">
        <v>156</v>
      </c>
      <c r="P1042">
        <v>4110026445</v>
      </c>
      <c r="Q1042" t="s">
        <v>170</v>
      </c>
      <c r="R1042">
        <v>5000</v>
      </c>
      <c r="S1042" t="s">
        <v>166</v>
      </c>
      <c r="V1042" t="s">
        <v>167</v>
      </c>
      <c r="W1042">
        <v>1502020104</v>
      </c>
      <c r="X1042" t="s">
        <v>26</v>
      </c>
      <c r="Y1042" t="str">
        <f>VLOOKUP(W1042,Sheet4!$A$5:$B$71,2,0)</f>
        <v>RE STYLING</v>
      </c>
      <c r="Z1042">
        <v>87082900</v>
      </c>
      <c r="AA1042">
        <v>15</v>
      </c>
      <c r="AB1042" t="s">
        <v>159</v>
      </c>
      <c r="AC1042" s="24">
        <v>6585.55</v>
      </c>
      <c r="AD1042" t="s">
        <v>160</v>
      </c>
      <c r="AE1042" s="24">
        <v>98783.25</v>
      </c>
      <c r="AF1042">
        <v>0</v>
      </c>
      <c r="AG1042" s="24">
        <v>98783.25</v>
      </c>
      <c r="AH1042">
        <v>0</v>
      </c>
      <c r="AI1042">
        <v>0</v>
      </c>
      <c r="AJ1042">
        <v>0</v>
      </c>
      <c r="AK1042">
        <v>0</v>
      </c>
      <c r="AL1042" s="24">
        <v>98783.25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 s="24">
        <v>98783.25</v>
      </c>
      <c r="AV1042">
        <v>0</v>
      </c>
      <c r="AW1042">
        <v>0</v>
      </c>
      <c r="AX1042">
        <v>311000</v>
      </c>
      <c r="AY1042" t="s">
        <v>161</v>
      </c>
      <c r="AZ1042">
        <v>49.75</v>
      </c>
      <c r="BA1042">
        <v>49.75</v>
      </c>
      <c r="BB1042">
        <v>0</v>
      </c>
      <c r="BC1042" t="s">
        <v>171</v>
      </c>
      <c r="BD1042">
        <v>1509</v>
      </c>
      <c r="BE1042" t="s">
        <v>169</v>
      </c>
      <c r="BF1042" t="s">
        <v>163</v>
      </c>
      <c r="BG1042" t="s">
        <v>164</v>
      </c>
    </row>
    <row r="1043" spans="1:59">
      <c r="A1043">
        <v>1115</v>
      </c>
      <c r="B1043">
        <v>1115</v>
      </c>
      <c r="C1043">
        <v>10</v>
      </c>
      <c r="D1043">
        <v>2</v>
      </c>
      <c r="E1043" t="s">
        <v>152</v>
      </c>
      <c r="F1043" t="s">
        <v>153</v>
      </c>
      <c r="G1043" t="s">
        <v>154</v>
      </c>
      <c r="H1043">
        <v>1526006737</v>
      </c>
      <c r="I1043">
        <v>1000007016</v>
      </c>
      <c r="L1043" t="s">
        <v>355</v>
      </c>
      <c r="M1043">
        <v>5100001636</v>
      </c>
      <c r="N1043" t="s">
        <v>155</v>
      </c>
      <c r="O1043" t="s">
        <v>156</v>
      </c>
      <c r="P1043">
        <v>4110026445</v>
      </c>
      <c r="Q1043" t="s">
        <v>170</v>
      </c>
      <c r="R1043">
        <v>5000</v>
      </c>
      <c r="S1043" t="s">
        <v>166</v>
      </c>
      <c r="V1043" t="s">
        <v>167</v>
      </c>
      <c r="W1043">
        <v>1502020104</v>
      </c>
      <c r="X1043" t="s">
        <v>26</v>
      </c>
      <c r="Y1043" t="str">
        <f>VLOOKUP(W1043,Sheet4!$A$5:$B$71,2,0)</f>
        <v>RE STYLING</v>
      </c>
      <c r="Z1043">
        <v>87082900</v>
      </c>
      <c r="AA1043">
        <v>15</v>
      </c>
      <c r="AB1043" t="s">
        <v>159</v>
      </c>
      <c r="AC1043" s="24">
        <v>6585.55</v>
      </c>
      <c r="AD1043" t="s">
        <v>160</v>
      </c>
      <c r="AE1043" s="24">
        <v>98783.25</v>
      </c>
      <c r="AF1043">
        <v>0</v>
      </c>
      <c r="AG1043" s="24">
        <v>98783.25</v>
      </c>
      <c r="AH1043">
        <v>0</v>
      </c>
      <c r="AI1043">
        <v>0</v>
      </c>
      <c r="AJ1043">
        <v>0</v>
      </c>
      <c r="AK1043">
        <v>0</v>
      </c>
      <c r="AL1043" s="24">
        <v>98783.25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 s="24">
        <v>98783.25</v>
      </c>
      <c r="AV1043">
        <v>0</v>
      </c>
      <c r="AW1043">
        <v>0</v>
      </c>
      <c r="AX1043">
        <v>311000</v>
      </c>
      <c r="AY1043" t="s">
        <v>161</v>
      </c>
      <c r="AZ1043">
        <v>49.75</v>
      </c>
      <c r="BA1043">
        <v>49.75</v>
      </c>
      <c r="BB1043">
        <v>0</v>
      </c>
      <c r="BC1043" t="s">
        <v>171</v>
      </c>
      <c r="BD1043">
        <v>1509</v>
      </c>
      <c r="BE1043" t="s">
        <v>169</v>
      </c>
      <c r="BF1043" t="s">
        <v>163</v>
      </c>
      <c r="BG1043" t="s">
        <v>164</v>
      </c>
    </row>
    <row r="1044" spans="1:59">
      <c r="A1044">
        <v>1115</v>
      </c>
      <c r="B1044">
        <v>1115</v>
      </c>
      <c r="C1044">
        <v>10</v>
      </c>
      <c r="D1044">
        <v>2</v>
      </c>
      <c r="E1044" t="s">
        <v>152</v>
      </c>
      <c r="F1044" t="s">
        <v>153</v>
      </c>
      <c r="G1044" t="s">
        <v>154</v>
      </c>
      <c r="H1044">
        <v>1526006736</v>
      </c>
      <c r="I1044">
        <v>1000007015</v>
      </c>
      <c r="L1044" t="s">
        <v>355</v>
      </c>
      <c r="M1044">
        <v>5100001636</v>
      </c>
      <c r="N1044" t="s">
        <v>155</v>
      </c>
      <c r="O1044" t="s">
        <v>156</v>
      </c>
      <c r="P1044">
        <v>4110026445</v>
      </c>
      <c r="Q1044" t="s">
        <v>170</v>
      </c>
      <c r="R1044">
        <v>5000</v>
      </c>
      <c r="S1044" t="s">
        <v>166</v>
      </c>
      <c r="V1044" t="s">
        <v>167</v>
      </c>
      <c r="W1044">
        <v>1502020104</v>
      </c>
      <c r="X1044" t="s">
        <v>26</v>
      </c>
      <c r="Y1044" t="str">
        <f>VLOOKUP(W1044,Sheet4!$A$5:$B$71,2,0)</f>
        <v>RE STYLING</v>
      </c>
      <c r="Z1044">
        <v>87082900</v>
      </c>
      <c r="AA1044">
        <v>15</v>
      </c>
      <c r="AB1044" t="s">
        <v>159</v>
      </c>
      <c r="AC1044" s="24">
        <v>6585.55</v>
      </c>
      <c r="AD1044" t="s">
        <v>160</v>
      </c>
      <c r="AE1044" s="24">
        <v>98783.25</v>
      </c>
      <c r="AF1044">
        <v>0</v>
      </c>
      <c r="AG1044" s="24">
        <v>98783.25</v>
      </c>
      <c r="AH1044">
        <v>0</v>
      </c>
      <c r="AI1044">
        <v>0</v>
      </c>
      <c r="AJ1044">
        <v>0</v>
      </c>
      <c r="AK1044">
        <v>0</v>
      </c>
      <c r="AL1044" s="24">
        <v>98783.25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 s="24">
        <v>98783.25</v>
      </c>
      <c r="AV1044">
        <v>0</v>
      </c>
      <c r="AW1044">
        <v>0</v>
      </c>
      <c r="AX1044">
        <v>311000</v>
      </c>
      <c r="AY1044" t="s">
        <v>161</v>
      </c>
      <c r="AZ1044">
        <v>49.75</v>
      </c>
      <c r="BA1044">
        <v>49.75</v>
      </c>
      <c r="BB1044">
        <v>0</v>
      </c>
      <c r="BC1044" t="s">
        <v>171</v>
      </c>
      <c r="BD1044">
        <v>1509</v>
      </c>
      <c r="BE1044" t="s">
        <v>169</v>
      </c>
      <c r="BF1044" t="s">
        <v>163</v>
      </c>
      <c r="BG1044" t="s">
        <v>164</v>
      </c>
    </row>
    <row r="1045" spans="1:59">
      <c r="A1045">
        <v>1115</v>
      </c>
      <c r="B1045">
        <v>1115</v>
      </c>
      <c r="C1045">
        <v>10</v>
      </c>
      <c r="D1045">
        <v>2</v>
      </c>
      <c r="E1045" t="s">
        <v>152</v>
      </c>
      <c r="F1045" t="s">
        <v>153</v>
      </c>
      <c r="G1045" t="s">
        <v>154</v>
      </c>
      <c r="H1045">
        <v>1526006735</v>
      </c>
      <c r="I1045">
        <v>1000007013</v>
      </c>
      <c r="L1045" t="s">
        <v>355</v>
      </c>
      <c r="M1045">
        <v>5100001924</v>
      </c>
      <c r="N1045" t="s">
        <v>155</v>
      </c>
      <c r="O1045" t="s">
        <v>156</v>
      </c>
      <c r="P1045">
        <v>4110055642</v>
      </c>
      <c r="Q1045" t="s">
        <v>199</v>
      </c>
      <c r="R1045">
        <v>5000</v>
      </c>
      <c r="S1045" t="s">
        <v>166</v>
      </c>
      <c r="V1045" t="s">
        <v>167</v>
      </c>
      <c r="W1045">
        <v>1502040314</v>
      </c>
      <c r="X1045" t="s">
        <v>248</v>
      </c>
      <c r="Y1045" t="str">
        <f>VLOOKUP(W1045,Sheet4!$A$5:$B$71,2,0)</f>
        <v>Re Side Door</v>
      </c>
      <c r="Z1045">
        <v>87082900</v>
      </c>
      <c r="AA1045">
        <v>120</v>
      </c>
      <c r="AB1045" t="s">
        <v>159</v>
      </c>
      <c r="AC1045">
        <v>504.46</v>
      </c>
      <c r="AD1045" t="s">
        <v>160</v>
      </c>
      <c r="AE1045" s="24">
        <v>60535.199999999997</v>
      </c>
      <c r="AF1045">
        <v>0</v>
      </c>
      <c r="AG1045" s="24">
        <v>60535.199999999997</v>
      </c>
      <c r="AH1045">
        <v>0</v>
      </c>
      <c r="AI1045">
        <v>0</v>
      </c>
      <c r="AJ1045">
        <v>0</v>
      </c>
      <c r="AK1045">
        <v>0</v>
      </c>
      <c r="AL1045" s="24">
        <v>60535.199999999997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 s="24">
        <v>60535.199999999997</v>
      </c>
      <c r="AV1045">
        <v>0</v>
      </c>
      <c r="AW1045">
        <v>0</v>
      </c>
      <c r="AX1045">
        <v>311000</v>
      </c>
      <c r="AY1045" t="s">
        <v>161</v>
      </c>
      <c r="AZ1045">
        <v>2.27</v>
      </c>
      <c r="BA1045">
        <v>2.27</v>
      </c>
      <c r="BB1045">
        <v>0</v>
      </c>
      <c r="BC1045" t="s">
        <v>249</v>
      </c>
      <c r="BD1045">
        <v>1511</v>
      </c>
      <c r="BE1045" t="s">
        <v>174</v>
      </c>
      <c r="BF1045" t="s">
        <v>163</v>
      </c>
      <c r="BG1045" t="s">
        <v>164</v>
      </c>
    </row>
    <row r="1046" spans="1:59">
      <c r="A1046">
        <v>1115</v>
      </c>
      <c r="B1046">
        <v>1115</v>
      </c>
      <c r="C1046">
        <v>10</v>
      </c>
      <c r="D1046">
        <v>2</v>
      </c>
      <c r="E1046" t="s">
        <v>152</v>
      </c>
      <c r="F1046" t="s">
        <v>153</v>
      </c>
      <c r="G1046" t="s">
        <v>154</v>
      </c>
      <c r="H1046">
        <v>1526006734</v>
      </c>
      <c r="I1046">
        <v>1000007012</v>
      </c>
      <c r="L1046" t="s">
        <v>355</v>
      </c>
      <c r="M1046">
        <v>5100001924</v>
      </c>
      <c r="N1046" t="s">
        <v>155</v>
      </c>
      <c r="O1046" t="s">
        <v>156</v>
      </c>
      <c r="P1046">
        <v>4110055642</v>
      </c>
      <c r="Q1046" t="s">
        <v>199</v>
      </c>
      <c r="R1046">
        <v>5000</v>
      </c>
      <c r="S1046" t="s">
        <v>166</v>
      </c>
      <c r="V1046" t="s">
        <v>167</v>
      </c>
      <c r="W1046">
        <v>1502040313</v>
      </c>
      <c r="X1046" t="s">
        <v>246</v>
      </c>
      <c r="Y1046" t="str">
        <f>VLOOKUP(W1046,Sheet4!$A$5:$B$71,2,0)</f>
        <v>Re Side Door</v>
      </c>
      <c r="Z1046">
        <v>87082900</v>
      </c>
      <c r="AA1046">
        <v>120</v>
      </c>
      <c r="AB1046" t="s">
        <v>159</v>
      </c>
      <c r="AC1046">
        <v>504.46</v>
      </c>
      <c r="AD1046" t="s">
        <v>160</v>
      </c>
      <c r="AE1046" s="24">
        <v>60535.199999999997</v>
      </c>
      <c r="AF1046">
        <v>0</v>
      </c>
      <c r="AG1046" s="24">
        <v>60535.199999999997</v>
      </c>
      <c r="AH1046">
        <v>0</v>
      </c>
      <c r="AI1046">
        <v>0</v>
      </c>
      <c r="AJ1046">
        <v>0</v>
      </c>
      <c r="AK1046">
        <v>0</v>
      </c>
      <c r="AL1046" s="24">
        <v>60535.199999999997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 s="24">
        <v>60535.199999999997</v>
      </c>
      <c r="AV1046">
        <v>0</v>
      </c>
      <c r="AW1046">
        <v>0</v>
      </c>
      <c r="AX1046">
        <v>311000</v>
      </c>
      <c r="AY1046" t="s">
        <v>161</v>
      </c>
      <c r="AZ1046">
        <v>2.27</v>
      </c>
      <c r="BA1046">
        <v>2.27</v>
      </c>
      <c r="BB1046">
        <v>0</v>
      </c>
      <c r="BC1046" t="s">
        <v>247</v>
      </c>
      <c r="BD1046">
        <v>1511</v>
      </c>
      <c r="BE1046" t="s">
        <v>174</v>
      </c>
      <c r="BF1046" t="s">
        <v>163</v>
      </c>
      <c r="BG1046" t="s">
        <v>164</v>
      </c>
    </row>
    <row r="1047" spans="1:59">
      <c r="A1047">
        <v>1115</v>
      </c>
      <c r="B1047">
        <v>1115</v>
      </c>
      <c r="C1047">
        <v>10</v>
      </c>
      <c r="D1047">
        <v>2</v>
      </c>
      <c r="E1047" t="s">
        <v>152</v>
      </c>
      <c r="F1047" t="s">
        <v>153</v>
      </c>
      <c r="G1047" t="s">
        <v>154</v>
      </c>
      <c r="H1047">
        <v>1526006733</v>
      </c>
      <c r="I1047">
        <v>1000007011</v>
      </c>
      <c r="L1047" t="s">
        <v>355</v>
      </c>
      <c r="M1047">
        <v>5100001943</v>
      </c>
      <c r="N1047" t="s">
        <v>155</v>
      </c>
      <c r="O1047" t="s">
        <v>156</v>
      </c>
      <c r="P1047">
        <v>4110061540</v>
      </c>
      <c r="Q1047" t="s">
        <v>349</v>
      </c>
      <c r="R1047">
        <v>5000</v>
      </c>
      <c r="S1047" t="s">
        <v>166</v>
      </c>
      <c r="V1047" t="s">
        <v>167</v>
      </c>
      <c r="W1047">
        <v>1502020117</v>
      </c>
      <c r="X1047" t="s">
        <v>210</v>
      </c>
      <c r="Y1047" t="str">
        <f>VLOOKUP(W1047,Sheet4!$A$5:$B$71,2,0)</f>
        <v>MAXIMA HD</v>
      </c>
      <c r="Z1047">
        <v>87082900</v>
      </c>
      <c r="AA1047">
        <v>8</v>
      </c>
      <c r="AB1047" t="s">
        <v>159</v>
      </c>
      <c r="AC1047" s="24">
        <v>8350.51</v>
      </c>
      <c r="AD1047" t="s">
        <v>160</v>
      </c>
      <c r="AE1047" s="24">
        <v>66804.08</v>
      </c>
      <c r="AF1047">
        <v>0</v>
      </c>
      <c r="AG1047" s="24">
        <v>66804.08</v>
      </c>
      <c r="AH1047">
        <v>0</v>
      </c>
      <c r="AI1047">
        <v>0</v>
      </c>
      <c r="AJ1047">
        <v>0</v>
      </c>
      <c r="AK1047">
        <v>0</v>
      </c>
      <c r="AL1047" s="24">
        <v>66804.08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 s="24">
        <v>66804.08</v>
      </c>
      <c r="AV1047">
        <v>0</v>
      </c>
      <c r="AW1047">
        <v>0</v>
      </c>
      <c r="AX1047">
        <v>311000</v>
      </c>
      <c r="AY1047" t="s">
        <v>161</v>
      </c>
      <c r="AZ1047">
        <v>63</v>
      </c>
      <c r="BA1047">
        <v>63</v>
      </c>
      <c r="BB1047">
        <v>0</v>
      </c>
      <c r="BC1047" t="s">
        <v>350</v>
      </c>
      <c r="BD1047">
        <v>1509</v>
      </c>
      <c r="BE1047" t="s">
        <v>169</v>
      </c>
      <c r="BF1047" t="s">
        <v>163</v>
      </c>
      <c r="BG1047" t="s">
        <v>164</v>
      </c>
    </row>
    <row r="1048" spans="1:59">
      <c r="A1048">
        <v>1115</v>
      </c>
      <c r="B1048">
        <v>1115</v>
      </c>
      <c r="C1048">
        <v>10</v>
      </c>
      <c r="D1048">
        <v>2</v>
      </c>
      <c r="E1048" t="s">
        <v>152</v>
      </c>
      <c r="F1048" t="s">
        <v>153</v>
      </c>
      <c r="G1048" t="s">
        <v>154</v>
      </c>
      <c r="H1048">
        <v>1526006731</v>
      </c>
      <c r="I1048">
        <v>1000007009</v>
      </c>
      <c r="L1048" t="s">
        <v>355</v>
      </c>
      <c r="M1048">
        <v>5100001939</v>
      </c>
      <c r="N1048" t="s">
        <v>155</v>
      </c>
      <c r="O1048" t="s">
        <v>156</v>
      </c>
      <c r="P1048">
        <v>4110059608</v>
      </c>
      <c r="Q1048" t="s">
        <v>240</v>
      </c>
      <c r="R1048">
        <v>5000</v>
      </c>
      <c r="S1048" t="s">
        <v>166</v>
      </c>
      <c r="V1048" t="s">
        <v>167</v>
      </c>
      <c r="W1048">
        <v>1502020129</v>
      </c>
      <c r="X1048" t="s">
        <v>241</v>
      </c>
      <c r="Y1048" t="str">
        <f>VLOOKUP(W1048,Sheet4!$A$5:$B$71,2,0)</f>
        <v>RE STYLING</v>
      </c>
      <c r="Z1048">
        <v>87082900</v>
      </c>
      <c r="AA1048">
        <v>15</v>
      </c>
      <c r="AB1048" t="s">
        <v>159</v>
      </c>
      <c r="AC1048" s="24">
        <v>6500.18</v>
      </c>
      <c r="AD1048" t="s">
        <v>160</v>
      </c>
      <c r="AE1048" s="24">
        <v>97502.7</v>
      </c>
      <c r="AF1048">
        <v>0</v>
      </c>
      <c r="AG1048" s="24">
        <v>97502.7</v>
      </c>
      <c r="AH1048">
        <v>0</v>
      </c>
      <c r="AI1048">
        <v>0</v>
      </c>
      <c r="AJ1048">
        <v>0</v>
      </c>
      <c r="AK1048">
        <v>0</v>
      </c>
      <c r="AL1048" s="24">
        <v>97502.7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 s="24">
        <v>97502.7</v>
      </c>
      <c r="AV1048">
        <v>0</v>
      </c>
      <c r="AW1048">
        <v>0</v>
      </c>
      <c r="AX1048">
        <v>311000</v>
      </c>
      <c r="AY1048" t="s">
        <v>161</v>
      </c>
      <c r="AZ1048">
        <v>0</v>
      </c>
      <c r="BA1048">
        <v>0</v>
      </c>
      <c r="BB1048">
        <v>0</v>
      </c>
      <c r="BC1048" t="s">
        <v>242</v>
      </c>
      <c r="BD1048">
        <v>1509</v>
      </c>
      <c r="BE1048" t="s">
        <v>169</v>
      </c>
      <c r="BF1048" t="s">
        <v>163</v>
      </c>
      <c r="BG1048" t="s">
        <v>164</v>
      </c>
    </row>
    <row r="1049" spans="1:59">
      <c r="A1049">
        <v>1115</v>
      </c>
      <c r="B1049">
        <v>1115</v>
      </c>
      <c r="C1049">
        <v>10</v>
      </c>
      <c r="D1049">
        <v>2</v>
      </c>
      <c r="E1049" t="s">
        <v>152</v>
      </c>
      <c r="F1049" t="s">
        <v>153</v>
      </c>
      <c r="G1049" t="s">
        <v>154</v>
      </c>
      <c r="H1049">
        <v>1526006730</v>
      </c>
      <c r="I1049">
        <v>1000007008</v>
      </c>
      <c r="L1049" t="s">
        <v>355</v>
      </c>
      <c r="M1049">
        <v>5100001939</v>
      </c>
      <c r="N1049" t="s">
        <v>155</v>
      </c>
      <c r="O1049" t="s">
        <v>156</v>
      </c>
      <c r="P1049">
        <v>4110059608</v>
      </c>
      <c r="Q1049" t="s">
        <v>240</v>
      </c>
      <c r="R1049">
        <v>5000</v>
      </c>
      <c r="S1049" t="s">
        <v>166</v>
      </c>
      <c r="V1049" t="s">
        <v>167</v>
      </c>
      <c r="W1049">
        <v>1502020129</v>
      </c>
      <c r="X1049" t="s">
        <v>241</v>
      </c>
      <c r="Y1049" t="str">
        <f>VLOOKUP(W1049,Sheet4!$A$5:$B$71,2,0)</f>
        <v>RE STYLING</v>
      </c>
      <c r="Z1049">
        <v>87082900</v>
      </c>
      <c r="AA1049">
        <v>15</v>
      </c>
      <c r="AB1049" t="s">
        <v>159</v>
      </c>
      <c r="AC1049" s="24">
        <v>6500.18</v>
      </c>
      <c r="AD1049" t="s">
        <v>160</v>
      </c>
      <c r="AE1049" s="24">
        <v>97502.7</v>
      </c>
      <c r="AF1049">
        <v>0</v>
      </c>
      <c r="AG1049" s="24">
        <v>97502.7</v>
      </c>
      <c r="AH1049">
        <v>0</v>
      </c>
      <c r="AI1049">
        <v>0</v>
      </c>
      <c r="AJ1049">
        <v>0</v>
      </c>
      <c r="AK1049">
        <v>0</v>
      </c>
      <c r="AL1049" s="24">
        <v>97502.7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 s="24">
        <v>97502.7</v>
      </c>
      <c r="AV1049">
        <v>0</v>
      </c>
      <c r="AW1049">
        <v>0</v>
      </c>
      <c r="AX1049">
        <v>311000</v>
      </c>
      <c r="AY1049" t="s">
        <v>161</v>
      </c>
      <c r="AZ1049">
        <v>0</v>
      </c>
      <c r="BA1049">
        <v>0</v>
      </c>
      <c r="BB1049">
        <v>0</v>
      </c>
      <c r="BC1049" t="s">
        <v>242</v>
      </c>
      <c r="BD1049">
        <v>1509</v>
      </c>
      <c r="BE1049" t="s">
        <v>169</v>
      </c>
      <c r="BF1049" t="s">
        <v>163</v>
      </c>
      <c r="BG1049" t="s">
        <v>164</v>
      </c>
    </row>
    <row r="1050" spans="1:59">
      <c r="A1050">
        <v>1115</v>
      </c>
      <c r="B1050">
        <v>1115</v>
      </c>
      <c r="C1050">
        <v>10</v>
      </c>
      <c r="D1050">
        <v>2</v>
      </c>
      <c r="E1050" t="s">
        <v>152</v>
      </c>
      <c r="F1050" t="s">
        <v>153</v>
      </c>
      <c r="G1050" t="s">
        <v>154</v>
      </c>
      <c r="H1050">
        <v>1526006673</v>
      </c>
      <c r="I1050">
        <v>1000006950</v>
      </c>
      <c r="L1050" t="s">
        <v>355</v>
      </c>
      <c r="M1050">
        <v>5100001919</v>
      </c>
      <c r="N1050" t="s">
        <v>155</v>
      </c>
      <c r="O1050" t="s">
        <v>156</v>
      </c>
      <c r="P1050">
        <v>5500000930</v>
      </c>
      <c r="Q1050" t="s">
        <v>157</v>
      </c>
      <c r="R1050">
        <v>5356</v>
      </c>
      <c r="S1050" t="s">
        <v>158</v>
      </c>
      <c r="W1050">
        <v>1502010011</v>
      </c>
      <c r="X1050" t="s">
        <v>35</v>
      </c>
      <c r="Y1050" t="str">
        <f>VLOOKUP(W1050,Sheet4!$A$5:$B$71,2,0)</f>
        <v>REAR MUDGAURD</v>
      </c>
      <c r="Z1050">
        <v>87082900</v>
      </c>
      <c r="AA1050">
        <v>432</v>
      </c>
      <c r="AB1050" t="s">
        <v>159</v>
      </c>
      <c r="AC1050">
        <v>89.25</v>
      </c>
      <c r="AD1050" t="s">
        <v>160</v>
      </c>
      <c r="AE1050" s="24">
        <v>38556</v>
      </c>
      <c r="AF1050">
        <v>0</v>
      </c>
      <c r="AG1050" s="24">
        <v>38556</v>
      </c>
      <c r="AH1050">
        <v>0</v>
      </c>
      <c r="AI1050">
        <v>0</v>
      </c>
      <c r="AJ1050">
        <v>0</v>
      </c>
      <c r="AK1050">
        <v>0</v>
      </c>
      <c r="AL1050" s="24">
        <v>38556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 s="24">
        <v>38556</v>
      </c>
      <c r="AV1050">
        <v>0</v>
      </c>
      <c r="AW1050">
        <v>0</v>
      </c>
      <c r="AX1050">
        <v>311000</v>
      </c>
      <c r="AY1050" t="s">
        <v>161</v>
      </c>
      <c r="AZ1050">
        <v>1.32</v>
      </c>
      <c r="BA1050">
        <v>0.72399999999999998</v>
      </c>
      <c r="BB1050">
        <v>0.59599999999999997</v>
      </c>
      <c r="BC1050">
        <v>2000001017</v>
      </c>
      <c r="BD1050">
        <v>1508</v>
      </c>
      <c r="BE1050" t="s">
        <v>162</v>
      </c>
      <c r="BF1050" t="s">
        <v>163</v>
      </c>
      <c r="BG1050" t="s">
        <v>164</v>
      </c>
    </row>
    <row r="1051" spans="1:59">
      <c r="A1051">
        <v>1115</v>
      </c>
      <c r="B1051">
        <v>1115</v>
      </c>
      <c r="C1051">
        <v>10</v>
      </c>
      <c r="D1051">
        <v>2</v>
      </c>
      <c r="E1051" t="s">
        <v>152</v>
      </c>
      <c r="F1051" t="s">
        <v>153</v>
      </c>
      <c r="G1051" t="s">
        <v>154</v>
      </c>
      <c r="H1051">
        <v>1526006622</v>
      </c>
      <c r="I1051">
        <v>1000006897</v>
      </c>
      <c r="L1051" t="s">
        <v>355</v>
      </c>
      <c r="M1051">
        <v>5100001227</v>
      </c>
      <c r="N1051" t="s">
        <v>155</v>
      </c>
      <c r="O1051" t="s">
        <v>156</v>
      </c>
      <c r="P1051">
        <v>4110011319</v>
      </c>
      <c r="Q1051" t="s">
        <v>175</v>
      </c>
      <c r="R1051">
        <v>5000</v>
      </c>
      <c r="S1051" t="s">
        <v>166</v>
      </c>
      <c r="V1051" t="s">
        <v>167</v>
      </c>
      <c r="W1051">
        <v>1502020074</v>
      </c>
      <c r="X1051" t="s">
        <v>28</v>
      </c>
      <c r="Y1051" t="str">
        <f>VLOOKUP(W1051,Sheet4!$A$5:$B$71,2,0)</f>
        <v>MAX UG NEW</v>
      </c>
      <c r="Z1051">
        <v>87082900</v>
      </c>
      <c r="AA1051">
        <v>10</v>
      </c>
      <c r="AB1051" t="s">
        <v>159</v>
      </c>
      <c r="AC1051" s="24">
        <v>9397.5</v>
      </c>
      <c r="AD1051" t="s">
        <v>160</v>
      </c>
      <c r="AE1051" s="24">
        <v>93975</v>
      </c>
      <c r="AF1051">
        <v>0</v>
      </c>
      <c r="AG1051" s="24">
        <v>93975</v>
      </c>
      <c r="AH1051">
        <v>0</v>
      </c>
      <c r="AI1051">
        <v>0</v>
      </c>
      <c r="AJ1051">
        <v>0</v>
      </c>
      <c r="AK1051">
        <v>0</v>
      </c>
      <c r="AL1051" s="24">
        <v>93975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 s="24">
        <v>93975</v>
      </c>
      <c r="AV1051">
        <v>0</v>
      </c>
      <c r="AW1051">
        <v>0</v>
      </c>
      <c r="AX1051">
        <v>311000</v>
      </c>
      <c r="AY1051" t="s">
        <v>161</v>
      </c>
      <c r="AZ1051">
        <v>69.5</v>
      </c>
      <c r="BA1051">
        <v>69.5</v>
      </c>
      <c r="BB1051">
        <v>0</v>
      </c>
      <c r="BC1051" t="s">
        <v>176</v>
      </c>
      <c r="BD1051">
        <v>1509</v>
      </c>
      <c r="BE1051" t="s">
        <v>169</v>
      </c>
      <c r="BF1051" t="s">
        <v>163</v>
      </c>
      <c r="BG1051" t="s">
        <v>164</v>
      </c>
    </row>
    <row r="1052" spans="1:59">
      <c r="A1052">
        <v>1115</v>
      </c>
      <c r="B1052">
        <v>1115</v>
      </c>
      <c r="C1052">
        <v>10</v>
      </c>
      <c r="D1052">
        <v>2</v>
      </c>
      <c r="E1052" t="s">
        <v>152</v>
      </c>
      <c r="F1052" t="s">
        <v>153</v>
      </c>
      <c r="G1052" t="s">
        <v>154</v>
      </c>
      <c r="H1052">
        <v>1526006621</v>
      </c>
      <c r="I1052">
        <v>1000006896</v>
      </c>
      <c r="L1052" t="s">
        <v>355</v>
      </c>
      <c r="M1052">
        <v>5100001928</v>
      </c>
      <c r="N1052" t="s">
        <v>155</v>
      </c>
      <c r="O1052" t="s">
        <v>156</v>
      </c>
      <c r="P1052">
        <v>4110057393</v>
      </c>
      <c r="Q1052" t="s">
        <v>192</v>
      </c>
      <c r="R1052">
        <v>5000</v>
      </c>
      <c r="S1052" t="s">
        <v>166</v>
      </c>
      <c r="V1052" t="s">
        <v>167</v>
      </c>
      <c r="W1052">
        <v>1502020122</v>
      </c>
      <c r="X1052" t="s">
        <v>70</v>
      </c>
      <c r="Y1052" t="str">
        <f>VLOOKUP(W1052,Sheet4!$A$5:$B$71,2,0)</f>
        <v>MAX UG NEW EV</v>
      </c>
      <c r="Z1052">
        <v>87082900</v>
      </c>
      <c r="AA1052">
        <v>10</v>
      </c>
      <c r="AB1052" t="s">
        <v>159</v>
      </c>
      <c r="AC1052" s="24">
        <v>9566.51</v>
      </c>
      <c r="AD1052" t="s">
        <v>160</v>
      </c>
      <c r="AE1052" s="24">
        <v>95665.1</v>
      </c>
      <c r="AF1052">
        <v>0</v>
      </c>
      <c r="AG1052" s="24">
        <v>95665.1</v>
      </c>
      <c r="AH1052">
        <v>0</v>
      </c>
      <c r="AI1052">
        <v>0</v>
      </c>
      <c r="AJ1052">
        <v>0</v>
      </c>
      <c r="AK1052">
        <v>0</v>
      </c>
      <c r="AL1052" s="24">
        <v>95665.1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 s="24">
        <v>95665.1</v>
      </c>
      <c r="AV1052">
        <v>0</v>
      </c>
      <c r="AW1052">
        <v>0</v>
      </c>
      <c r="AX1052">
        <v>311000</v>
      </c>
      <c r="AY1052" t="s">
        <v>161</v>
      </c>
      <c r="AZ1052">
        <v>0</v>
      </c>
      <c r="BA1052">
        <v>61</v>
      </c>
      <c r="BB1052">
        <v>-61</v>
      </c>
      <c r="BC1052" t="s">
        <v>193</v>
      </c>
      <c r="BD1052">
        <v>1509</v>
      </c>
      <c r="BE1052" t="s">
        <v>169</v>
      </c>
      <c r="BF1052" t="s">
        <v>163</v>
      </c>
      <c r="BG1052" t="s">
        <v>164</v>
      </c>
    </row>
    <row r="1053" spans="1:59">
      <c r="A1053">
        <v>1115</v>
      </c>
      <c r="B1053">
        <v>1115</v>
      </c>
      <c r="C1053">
        <v>10</v>
      </c>
      <c r="D1053">
        <v>2</v>
      </c>
      <c r="E1053" t="s">
        <v>152</v>
      </c>
      <c r="F1053" t="s">
        <v>153</v>
      </c>
      <c r="G1053" t="s">
        <v>154</v>
      </c>
      <c r="H1053">
        <v>1526006620</v>
      </c>
      <c r="I1053">
        <v>1000006895</v>
      </c>
      <c r="L1053" t="s">
        <v>355</v>
      </c>
      <c r="M1053">
        <v>5100001928</v>
      </c>
      <c r="N1053" t="s">
        <v>155</v>
      </c>
      <c r="O1053" t="s">
        <v>156</v>
      </c>
      <c r="P1053">
        <v>4110057393</v>
      </c>
      <c r="Q1053" t="s">
        <v>192</v>
      </c>
      <c r="R1053">
        <v>5000</v>
      </c>
      <c r="S1053" t="s">
        <v>166</v>
      </c>
      <c r="V1053" t="s">
        <v>167</v>
      </c>
      <c r="W1053">
        <v>1502020122</v>
      </c>
      <c r="X1053" t="s">
        <v>70</v>
      </c>
      <c r="Y1053" t="str">
        <f>VLOOKUP(W1053,Sheet4!$A$5:$B$71,2,0)</f>
        <v>MAX UG NEW EV</v>
      </c>
      <c r="Z1053">
        <v>87082900</v>
      </c>
      <c r="AA1053">
        <v>10</v>
      </c>
      <c r="AB1053" t="s">
        <v>159</v>
      </c>
      <c r="AC1053" s="24">
        <v>9566.51</v>
      </c>
      <c r="AD1053" t="s">
        <v>160</v>
      </c>
      <c r="AE1053" s="24">
        <v>95665.1</v>
      </c>
      <c r="AF1053">
        <v>0</v>
      </c>
      <c r="AG1053" s="24">
        <v>95665.1</v>
      </c>
      <c r="AH1053">
        <v>0</v>
      </c>
      <c r="AI1053">
        <v>0</v>
      </c>
      <c r="AJ1053">
        <v>0</v>
      </c>
      <c r="AK1053">
        <v>0</v>
      </c>
      <c r="AL1053" s="24">
        <v>95665.1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 s="24">
        <v>95665.1</v>
      </c>
      <c r="AV1053">
        <v>0</v>
      </c>
      <c r="AW1053">
        <v>0</v>
      </c>
      <c r="AX1053">
        <v>311000</v>
      </c>
      <c r="AY1053" t="s">
        <v>161</v>
      </c>
      <c r="AZ1053">
        <v>0</v>
      </c>
      <c r="BA1053">
        <v>61</v>
      </c>
      <c r="BB1053">
        <v>-61</v>
      </c>
      <c r="BC1053" t="s">
        <v>193</v>
      </c>
      <c r="BD1053">
        <v>1509</v>
      </c>
      <c r="BE1053" t="s">
        <v>169</v>
      </c>
      <c r="BF1053" t="s">
        <v>163</v>
      </c>
      <c r="BG1053" t="s">
        <v>164</v>
      </c>
    </row>
    <row r="1054" spans="1:59">
      <c r="A1054">
        <v>1115</v>
      </c>
      <c r="B1054">
        <v>1115</v>
      </c>
      <c r="C1054">
        <v>10</v>
      </c>
      <c r="D1054">
        <v>2</v>
      </c>
      <c r="E1054" t="s">
        <v>152</v>
      </c>
      <c r="F1054" t="s">
        <v>153</v>
      </c>
      <c r="G1054" t="s">
        <v>154</v>
      </c>
      <c r="H1054">
        <v>1526006619</v>
      </c>
      <c r="I1054">
        <v>1000006894</v>
      </c>
      <c r="L1054" t="s">
        <v>355</v>
      </c>
      <c r="M1054">
        <v>5100001928</v>
      </c>
      <c r="N1054" t="s">
        <v>155</v>
      </c>
      <c r="O1054" t="s">
        <v>156</v>
      </c>
      <c r="P1054">
        <v>4110057393</v>
      </c>
      <c r="Q1054" t="s">
        <v>192</v>
      </c>
      <c r="R1054">
        <v>5000</v>
      </c>
      <c r="S1054" t="s">
        <v>166</v>
      </c>
      <c r="V1054" t="s">
        <v>167</v>
      </c>
      <c r="W1054">
        <v>1502020122</v>
      </c>
      <c r="X1054" t="s">
        <v>70</v>
      </c>
      <c r="Y1054" t="str">
        <f>VLOOKUP(W1054,Sheet4!$A$5:$B$71,2,0)</f>
        <v>MAX UG NEW EV</v>
      </c>
      <c r="Z1054">
        <v>87082900</v>
      </c>
      <c r="AA1054">
        <v>10</v>
      </c>
      <c r="AB1054" t="s">
        <v>159</v>
      </c>
      <c r="AC1054" s="24">
        <v>9566.51</v>
      </c>
      <c r="AD1054" t="s">
        <v>160</v>
      </c>
      <c r="AE1054" s="24">
        <v>95665.1</v>
      </c>
      <c r="AF1054">
        <v>0</v>
      </c>
      <c r="AG1054" s="24">
        <v>95665.1</v>
      </c>
      <c r="AH1054">
        <v>0</v>
      </c>
      <c r="AI1054">
        <v>0</v>
      </c>
      <c r="AJ1054">
        <v>0</v>
      </c>
      <c r="AK1054">
        <v>0</v>
      </c>
      <c r="AL1054" s="24">
        <v>95665.1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 s="24">
        <v>95665.1</v>
      </c>
      <c r="AV1054">
        <v>0</v>
      </c>
      <c r="AW1054">
        <v>0</v>
      </c>
      <c r="AX1054">
        <v>311000</v>
      </c>
      <c r="AY1054" t="s">
        <v>161</v>
      </c>
      <c r="AZ1054">
        <v>0</v>
      </c>
      <c r="BA1054">
        <v>61</v>
      </c>
      <c r="BB1054">
        <v>-61</v>
      </c>
      <c r="BC1054" t="s">
        <v>193</v>
      </c>
      <c r="BD1054">
        <v>1509</v>
      </c>
      <c r="BE1054" t="s">
        <v>169</v>
      </c>
      <c r="BF1054" t="s">
        <v>163</v>
      </c>
      <c r="BG1054" t="s">
        <v>164</v>
      </c>
    </row>
    <row r="1055" spans="1:59">
      <c r="A1055">
        <v>1115</v>
      </c>
      <c r="B1055">
        <v>1115</v>
      </c>
      <c r="C1055">
        <v>10</v>
      </c>
      <c r="D1055">
        <v>2</v>
      </c>
      <c r="E1055" t="s">
        <v>152</v>
      </c>
      <c r="F1055" t="s">
        <v>153</v>
      </c>
      <c r="G1055" t="s">
        <v>154</v>
      </c>
      <c r="H1055">
        <v>1526006618</v>
      </c>
      <c r="I1055">
        <v>1000006893</v>
      </c>
      <c r="L1055" t="s">
        <v>355</v>
      </c>
      <c r="M1055">
        <v>5100001928</v>
      </c>
      <c r="N1055" t="s">
        <v>155</v>
      </c>
      <c r="O1055" t="s">
        <v>156</v>
      </c>
      <c r="P1055">
        <v>4110057393</v>
      </c>
      <c r="Q1055" t="s">
        <v>192</v>
      </c>
      <c r="R1055">
        <v>5000</v>
      </c>
      <c r="S1055" t="s">
        <v>166</v>
      </c>
      <c r="V1055" t="s">
        <v>167</v>
      </c>
      <c r="W1055">
        <v>1502020122</v>
      </c>
      <c r="X1055" t="s">
        <v>70</v>
      </c>
      <c r="Y1055" t="str">
        <f>VLOOKUP(W1055,Sheet4!$A$5:$B$71,2,0)</f>
        <v>MAX UG NEW EV</v>
      </c>
      <c r="Z1055">
        <v>87082900</v>
      </c>
      <c r="AA1055">
        <v>10</v>
      </c>
      <c r="AB1055" t="s">
        <v>159</v>
      </c>
      <c r="AC1055" s="24">
        <v>9566.51</v>
      </c>
      <c r="AD1055" t="s">
        <v>160</v>
      </c>
      <c r="AE1055" s="24">
        <v>95665.1</v>
      </c>
      <c r="AF1055">
        <v>0</v>
      </c>
      <c r="AG1055" s="24">
        <v>95665.1</v>
      </c>
      <c r="AH1055">
        <v>0</v>
      </c>
      <c r="AI1055">
        <v>0</v>
      </c>
      <c r="AJ1055">
        <v>0</v>
      </c>
      <c r="AK1055">
        <v>0</v>
      </c>
      <c r="AL1055" s="24">
        <v>95665.1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 s="24">
        <v>95665.1</v>
      </c>
      <c r="AV1055">
        <v>0</v>
      </c>
      <c r="AW1055">
        <v>0</v>
      </c>
      <c r="AX1055">
        <v>311000</v>
      </c>
      <c r="AY1055" t="s">
        <v>161</v>
      </c>
      <c r="AZ1055">
        <v>0</v>
      </c>
      <c r="BA1055">
        <v>61</v>
      </c>
      <c r="BB1055">
        <v>-61</v>
      </c>
      <c r="BC1055" t="s">
        <v>193</v>
      </c>
      <c r="BD1055">
        <v>1509</v>
      </c>
      <c r="BE1055" t="s">
        <v>169</v>
      </c>
      <c r="BF1055" t="s">
        <v>163</v>
      </c>
      <c r="BG1055" t="s">
        <v>164</v>
      </c>
    </row>
    <row r="1056" spans="1:59">
      <c r="A1056">
        <v>1115</v>
      </c>
      <c r="B1056">
        <v>1115</v>
      </c>
      <c r="C1056">
        <v>10</v>
      </c>
      <c r="D1056">
        <v>2</v>
      </c>
      <c r="E1056" t="s">
        <v>152</v>
      </c>
      <c r="F1056" t="s">
        <v>153</v>
      </c>
      <c r="G1056" t="s">
        <v>154</v>
      </c>
      <c r="H1056">
        <v>1526006617</v>
      </c>
      <c r="I1056">
        <v>1000006892</v>
      </c>
      <c r="L1056" t="s">
        <v>355</v>
      </c>
      <c r="M1056">
        <v>5100001928</v>
      </c>
      <c r="N1056" t="s">
        <v>155</v>
      </c>
      <c r="O1056" t="s">
        <v>156</v>
      </c>
      <c r="P1056">
        <v>4110057393</v>
      </c>
      <c r="Q1056" t="s">
        <v>192</v>
      </c>
      <c r="R1056">
        <v>5000</v>
      </c>
      <c r="S1056" t="s">
        <v>166</v>
      </c>
      <c r="V1056" t="s">
        <v>167</v>
      </c>
      <c r="W1056">
        <v>1502020122</v>
      </c>
      <c r="X1056" t="s">
        <v>70</v>
      </c>
      <c r="Y1056" t="str">
        <f>VLOOKUP(W1056,Sheet4!$A$5:$B$71,2,0)</f>
        <v>MAX UG NEW EV</v>
      </c>
      <c r="Z1056">
        <v>87082900</v>
      </c>
      <c r="AA1056">
        <v>10</v>
      </c>
      <c r="AB1056" t="s">
        <v>159</v>
      </c>
      <c r="AC1056" s="24">
        <v>9566.51</v>
      </c>
      <c r="AD1056" t="s">
        <v>160</v>
      </c>
      <c r="AE1056" s="24">
        <v>95665.1</v>
      </c>
      <c r="AF1056">
        <v>0</v>
      </c>
      <c r="AG1056" s="24">
        <v>95665.1</v>
      </c>
      <c r="AH1056">
        <v>0</v>
      </c>
      <c r="AI1056">
        <v>0</v>
      </c>
      <c r="AJ1056">
        <v>0</v>
      </c>
      <c r="AK1056">
        <v>0</v>
      </c>
      <c r="AL1056" s="24">
        <v>95665.1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 s="24">
        <v>95665.1</v>
      </c>
      <c r="AV1056">
        <v>0</v>
      </c>
      <c r="AW1056">
        <v>0</v>
      </c>
      <c r="AX1056">
        <v>311000</v>
      </c>
      <c r="AY1056" t="s">
        <v>161</v>
      </c>
      <c r="AZ1056">
        <v>0</v>
      </c>
      <c r="BA1056">
        <v>61</v>
      </c>
      <c r="BB1056">
        <v>-61</v>
      </c>
      <c r="BC1056" t="s">
        <v>193</v>
      </c>
      <c r="BD1056">
        <v>1509</v>
      </c>
      <c r="BE1056" t="s">
        <v>169</v>
      </c>
      <c r="BF1056" t="s">
        <v>163</v>
      </c>
      <c r="BG1056" t="s">
        <v>164</v>
      </c>
    </row>
    <row r="1057" spans="1:59">
      <c r="A1057">
        <v>1115</v>
      </c>
      <c r="B1057">
        <v>1115</v>
      </c>
      <c r="C1057">
        <v>10</v>
      </c>
      <c r="D1057">
        <v>2</v>
      </c>
      <c r="E1057" t="s">
        <v>152</v>
      </c>
      <c r="F1057" t="s">
        <v>153</v>
      </c>
      <c r="G1057" t="s">
        <v>154</v>
      </c>
      <c r="H1057">
        <v>1526006615</v>
      </c>
      <c r="I1057">
        <v>1000006890</v>
      </c>
      <c r="L1057" t="s">
        <v>355</v>
      </c>
      <c r="M1057">
        <v>5100001588</v>
      </c>
      <c r="N1057" t="s">
        <v>155</v>
      </c>
      <c r="O1057" t="s">
        <v>156</v>
      </c>
      <c r="P1057">
        <v>4110025058</v>
      </c>
      <c r="Q1057" t="s">
        <v>180</v>
      </c>
      <c r="R1057">
        <v>5000</v>
      </c>
      <c r="S1057" t="s">
        <v>166</v>
      </c>
      <c r="V1057" t="s">
        <v>167</v>
      </c>
      <c r="W1057">
        <v>1502040235</v>
      </c>
      <c r="X1057" t="s">
        <v>47</v>
      </c>
      <c r="Y1057" t="str">
        <f>VLOOKUP(W1057,Sheet4!$A$5:$B$71,2,0)</f>
        <v>STARTING HANDLE</v>
      </c>
      <c r="Z1057">
        <v>87082900</v>
      </c>
      <c r="AA1057">
        <v>540</v>
      </c>
      <c r="AB1057" t="s">
        <v>159</v>
      </c>
      <c r="AC1057">
        <v>217.33</v>
      </c>
      <c r="AD1057" t="s">
        <v>160</v>
      </c>
      <c r="AE1057" s="24">
        <v>117358.2</v>
      </c>
      <c r="AF1057">
        <v>0</v>
      </c>
      <c r="AG1057" s="24">
        <v>117358.2</v>
      </c>
      <c r="AH1057">
        <v>0</v>
      </c>
      <c r="AI1057">
        <v>0</v>
      </c>
      <c r="AJ1057">
        <v>0</v>
      </c>
      <c r="AK1057">
        <v>0</v>
      </c>
      <c r="AL1057" s="24">
        <v>117358.2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 s="24">
        <v>117358.2</v>
      </c>
      <c r="AV1057">
        <v>0</v>
      </c>
      <c r="AW1057">
        <v>0</v>
      </c>
      <c r="AX1057">
        <v>311000</v>
      </c>
      <c r="AY1057" t="s">
        <v>161</v>
      </c>
      <c r="AZ1057">
        <v>1.19</v>
      </c>
      <c r="BA1057">
        <v>1.19</v>
      </c>
      <c r="BB1057">
        <v>0</v>
      </c>
      <c r="BC1057" t="s">
        <v>181</v>
      </c>
      <c r="BD1057">
        <v>1511</v>
      </c>
      <c r="BE1057" t="s">
        <v>174</v>
      </c>
      <c r="BF1057" t="s">
        <v>163</v>
      </c>
      <c r="BG1057" t="s">
        <v>164</v>
      </c>
    </row>
    <row r="1058" spans="1:59">
      <c r="A1058">
        <v>1115</v>
      </c>
      <c r="B1058">
        <v>1115</v>
      </c>
      <c r="C1058">
        <v>10</v>
      </c>
      <c r="D1058">
        <v>2</v>
      </c>
      <c r="E1058" t="s">
        <v>152</v>
      </c>
      <c r="F1058" t="s">
        <v>153</v>
      </c>
      <c r="G1058" t="s">
        <v>154</v>
      </c>
      <c r="H1058">
        <v>1526006614</v>
      </c>
      <c r="I1058">
        <v>1000006889</v>
      </c>
      <c r="L1058" t="s">
        <v>355</v>
      </c>
      <c r="M1058">
        <v>5100001588</v>
      </c>
      <c r="N1058" t="s">
        <v>155</v>
      </c>
      <c r="O1058" t="s">
        <v>156</v>
      </c>
      <c r="P1058">
        <v>4110025058</v>
      </c>
      <c r="Q1058" t="s">
        <v>180</v>
      </c>
      <c r="R1058">
        <v>5000</v>
      </c>
      <c r="S1058" t="s">
        <v>166</v>
      </c>
      <c r="V1058" t="s">
        <v>167</v>
      </c>
      <c r="W1058">
        <v>1502040235</v>
      </c>
      <c r="X1058" t="s">
        <v>47</v>
      </c>
      <c r="Y1058" t="str">
        <f>VLOOKUP(W1058,Sheet4!$A$5:$B$71,2,0)</f>
        <v>STARTING HANDLE</v>
      </c>
      <c r="Z1058">
        <v>87082900</v>
      </c>
      <c r="AA1058">
        <v>270</v>
      </c>
      <c r="AB1058" t="s">
        <v>159</v>
      </c>
      <c r="AC1058">
        <v>217.33</v>
      </c>
      <c r="AD1058" t="s">
        <v>160</v>
      </c>
      <c r="AE1058" s="24">
        <v>58679.1</v>
      </c>
      <c r="AF1058">
        <v>0</v>
      </c>
      <c r="AG1058" s="24">
        <v>58679.1</v>
      </c>
      <c r="AH1058">
        <v>0</v>
      </c>
      <c r="AI1058">
        <v>0</v>
      </c>
      <c r="AJ1058">
        <v>0</v>
      </c>
      <c r="AK1058">
        <v>0</v>
      </c>
      <c r="AL1058" s="24">
        <v>58679.1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 s="24">
        <v>58679.1</v>
      </c>
      <c r="AV1058">
        <v>0</v>
      </c>
      <c r="AW1058">
        <v>0</v>
      </c>
      <c r="AX1058">
        <v>311000</v>
      </c>
      <c r="AY1058" t="s">
        <v>161</v>
      </c>
      <c r="AZ1058">
        <v>1.19</v>
      </c>
      <c r="BA1058">
        <v>1.19</v>
      </c>
      <c r="BB1058">
        <v>0</v>
      </c>
      <c r="BC1058" t="s">
        <v>181</v>
      </c>
      <c r="BD1058">
        <v>1511</v>
      </c>
      <c r="BE1058" t="s">
        <v>174</v>
      </c>
      <c r="BF1058" t="s">
        <v>163</v>
      </c>
      <c r="BG1058" t="s">
        <v>164</v>
      </c>
    </row>
    <row r="1059" spans="1:59">
      <c r="A1059">
        <v>1115</v>
      </c>
      <c r="B1059">
        <v>1115</v>
      </c>
      <c r="C1059">
        <v>10</v>
      </c>
      <c r="D1059">
        <v>2</v>
      </c>
      <c r="E1059" t="s">
        <v>152</v>
      </c>
      <c r="F1059" t="s">
        <v>153</v>
      </c>
      <c r="G1059" t="s">
        <v>154</v>
      </c>
      <c r="H1059">
        <v>1526006613</v>
      </c>
      <c r="I1059">
        <v>1000006888</v>
      </c>
      <c r="L1059" t="s">
        <v>355</v>
      </c>
      <c r="M1059">
        <v>5100001588</v>
      </c>
      <c r="N1059" t="s">
        <v>155</v>
      </c>
      <c r="O1059" t="s">
        <v>156</v>
      </c>
      <c r="P1059">
        <v>4110025058</v>
      </c>
      <c r="Q1059" t="s">
        <v>180</v>
      </c>
      <c r="R1059">
        <v>5000</v>
      </c>
      <c r="S1059" t="s">
        <v>166</v>
      </c>
      <c r="V1059" t="s">
        <v>167</v>
      </c>
      <c r="W1059">
        <v>1502040235</v>
      </c>
      <c r="X1059" t="s">
        <v>47</v>
      </c>
      <c r="Y1059" t="str">
        <f>VLOOKUP(W1059,Sheet4!$A$5:$B$71,2,0)</f>
        <v>STARTING HANDLE</v>
      </c>
      <c r="Z1059">
        <v>87082900</v>
      </c>
      <c r="AA1059">
        <v>270</v>
      </c>
      <c r="AB1059" t="s">
        <v>159</v>
      </c>
      <c r="AC1059">
        <v>217.33</v>
      </c>
      <c r="AD1059" t="s">
        <v>160</v>
      </c>
      <c r="AE1059" s="24">
        <v>58679.1</v>
      </c>
      <c r="AF1059">
        <v>0</v>
      </c>
      <c r="AG1059" s="24">
        <v>58679.1</v>
      </c>
      <c r="AH1059">
        <v>0</v>
      </c>
      <c r="AI1059">
        <v>0</v>
      </c>
      <c r="AJ1059">
        <v>0</v>
      </c>
      <c r="AK1059">
        <v>0</v>
      </c>
      <c r="AL1059" s="24">
        <v>58679.1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 s="24">
        <v>58679.1</v>
      </c>
      <c r="AV1059">
        <v>0</v>
      </c>
      <c r="AW1059">
        <v>0</v>
      </c>
      <c r="AX1059">
        <v>311000</v>
      </c>
      <c r="AY1059" t="s">
        <v>161</v>
      </c>
      <c r="AZ1059">
        <v>1.19</v>
      </c>
      <c r="BA1059">
        <v>1.19</v>
      </c>
      <c r="BB1059">
        <v>0</v>
      </c>
      <c r="BC1059" t="s">
        <v>181</v>
      </c>
      <c r="BD1059">
        <v>1511</v>
      </c>
      <c r="BE1059" t="s">
        <v>174</v>
      </c>
      <c r="BF1059" t="s">
        <v>163</v>
      </c>
      <c r="BG1059" t="s">
        <v>164</v>
      </c>
    </row>
    <row r="1060" spans="1:59">
      <c r="A1060">
        <v>1115</v>
      </c>
      <c r="B1060">
        <v>1115</v>
      </c>
      <c r="C1060">
        <v>10</v>
      </c>
      <c r="D1060">
        <v>2</v>
      </c>
      <c r="E1060" t="s">
        <v>152</v>
      </c>
      <c r="F1060" t="s">
        <v>153</v>
      </c>
      <c r="G1060" t="s">
        <v>154</v>
      </c>
      <c r="H1060">
        <v>1526006612</v>
      </c>
      <c r="I1060">
        <v>1000006887</v>
      </c>
      <c r="L1060" t="s">
        <v>355</v>
      </c>
      <c r="M1060">
        <v>5100001925</v>
      </c>
      <c r="N1060" t="s">
        <v>155</v>
      </c>
      <c r="O1060" t="s">
        <v>156</v>
      </c>
      <c r="P1060">
        <v>4110055667</v>
      </c>
      <c r="Q1060" t="s">
        <v>185</v>
      </c>
      <c r="R1060">
        <v>5000</v>
      </c>
      <c r="S1060" t="s">
        <v>166</v>
      </c>
      <c r="V1060" t="s">
        <v>167</v>
      </c>
      <c r="W1060">
        <v>1502040318</v>
      </c>
      <c r="X1060" t="s">
        <v>72</v>
      </c>
      <c r="Y1060" t="str">
        <f>VLOOKUP(W1060,Sheet4!$A$5:$B$71,2,0)</f>
        <v>Re Side Door</v>
      </c>
      <c r="Z1060">
        <v>87082900</v>
      </c>
      <c r="AA1060">
        <v>120</v>
      </c>
      <c r="AB1060" t="s">
        <v>159</v>
      </c>
      <c r="AC1060">
        <v>506.59</v>
      </c>
      <c r="AD1060" t="s">
        <v>160</v>
      </c>
      <c r="AE1060" s="24">
        <v>60790.8</v>
      </c>
      <c r="AF1060">
        <v>0</v>
      </c>
      <c r="AG1060" s="24">
        <v>60790.8</v>
      </c>
      <c r="AH1060">
        <v>0</v>
      </c>
      <c r="AI1060">
        <v>0</v>
      </c>
      <c r="AJ1060">
        <v>0</v>
      </c>
      <c r="AK1060">
        <v>0</v>
      </c>
      <c r="AL1060" s="24">
        <v>60790.8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 s="24">
        <v>60790.8</v>
      </c>
      <c r="AV1060">
        <v>0</v>
      </c>
      <c r="AW1060">
        <v>0</v>
      </c>
      <c r="AX1060">
        <v>311000</v>
      </c>
      <c r="AY1060" t="s">
        <v>161</v>
      </c>
      <c r="AZ1060">
        <v>2.27</v>
      </c>
      <c r="BA1060">
        <v>2.27</v>
      </c>
      <c r="BB1060">
        <v>0</v>
      </c>
      <c r="BC1060" t="s">
        <v>187</v>
      </c>
      <c r="BD1060">
        <v>1511</v>
      </c>
      <c r="BE1060" t="s">
        <v>174</v>
      </c>
      <c r="BF1060" t="s">
        <v>163</v>
      </c>
      <c r="BG1060" t="s">
        <v>164</v>
      </c>
    </row>
    <row r="1061" spans="1:59">
      <c r="A1061">
        <v>1115</v>
      </c>
      <c r="B1061">
        <v>1115</v>
      </c>
      <c r="C1061">
        <v>10</v>
      </c>
      <c r="D1061">
        <v>2</v>
      </c>
      <c r="E1061" t="s">
        <v>152</v>
      </c>
      <c r="F1061" t="s">
        <v>153</v>
      </c>
      <c r="G1061" t="s">
        <v>154</v>
      </c>
      <c r="H1061">
        <v>1526006611</v>
      </c>
      <c r="I1061">
        <v>1000006886</v>
      </c>
      <c r="L1061" t="s">
        <v>355</v>
      </c>
      <c r="M1061">
        <v>5100001925</v>
      </c>
      <c r="N1061" t="s">
        <v>155</v>
      </c>
      <c r="O1061" t="s">
        <v>156</v>
      </c>
      <c r="P1061">
        <v>4110055667</v>
      </c>
      <c r="Q1061" t="s">
        <v>185</v>
      </c>
      <c r="R1061">
        <v>5000</v>
      </c>
      <c r="S1061" t="s">
        <v>166</v>
      </c>
      <c r="V1061" t="s">
        <v>167</v>
      </c>
      <c r="W1061">
        <v>1502040317</v>
      </c>
      <c r="X1061" t="s">
        <v>73</v>
      </c>
      <c r="Y1061" t="str">
        <f>VLOOKUP(W1061,Sheet4!$A$5:$B$71,2,0)</f>
        <v>Re Side Door</v>
      </c>
      <c r="Z1061">
        <v>87082900</v>
      </c>
      <c r="AA1061">
        <v>120</v>
      </c>
      <c r="AB1061" t="s">
        <v>159</v>
      </c>
      <c r="AC1061">
        <v>506.59</v>
      </c>
      <c r="AD1061" t="s">
        <v>160</v>
      </c>
      <c r="AE1061" s="24">
        <v>60790.8</v>
      </c>
      <c r="AF1061">
        <v>0</v>
      </c>
      <c r="AG1061" s="24">
        <v>60790.8</v>
      </c>
      <c r="AH1061">
        <v>0</v>
      </c>
      <c r="AI1061">
        <v>0</v>
      </c>
      <c r="AJ1061">
        <v>0</v>
      </c>
      <c r="AK1061">
        <v>0</v>
      </c>
      <c r="AL1061" s="24">
        <v>60790.8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 s="24">
        <v>60790.8</v>
      </c>
      <c r="AV1061">
        <v>0</v>
      </c>
      <c r="AW1061">
        <v>0</v>
      </c>
      <c r="AX1061">
        <v>311000</v>
      </c>
      <c r="AY1061" t="s">
        <v>161</v>
      </c>
      <c r="AZ1061">
        <v>2.27</v>
      </c>
      <c r="BA1061">
        <v>2.27</v>
      </c>
      <c r="BB1061">
        <v>0</v>
      </c>
      <c r="BC1061" t="s">
        <v>186</v>
      </c>
      <c r="BD1061">
        <v>1511</v>
      </c>
      <c r="BE1061" t="s">
        <v>174</v>
      </c>
      <c r="BF1061" t="s">
        <v>163</v>
      </c>
      <c r="BG1061" t="s">
        <v>164</v>
      </c>
    </row>
    <row r="1062" spans="1:59">
      <c r="A1062">
        <v>1115</v>
      </c>
      <c r="B1062">
        <v>1115</v>
      </c>
      <c r="C1062">
        <v>10</v>
      </c>
      <c r="D1062">
        <v>2</v>
      </c>
      <c r="E1062" t="s">
        <v>152</v>
      </c>
      <c r="F1062" t="s">
        <v>153</v>
      </c>
      <c r="G1062" t="s">
        <v>154</v>
      </c>
      <c r="H1062">
        <v>1526006610</v>
      </c>
      <c r="I1062">
        <v>1000006885</v>
      </c>
      <c r="L1062" t="s">
        <v>355</v>
      </c>
      <c r="M1062">
        <v>5100001101</v>
      </c>
      <c r="N1062" t="s">
        <v>155</v>
      </c>
      <c r="O1062" t="s">
        <v>156</v>
      </c>
      <c r="P1062">
        <v>4110004653</v>
      </c>
      <c r="Q1062" t="s">
        <v>177</v>
      </c>
      <c r="R1062">
        <v>5000</v>
      </c>
      <c r="S1062" t="s">
        <v>166</v>
      </c>
      <c r="V1062" t="s">
        <v>167</v>
      </c>
      <c r="W1062">
        <v>1502040194</v>
      </c>
      <c r="X1062" t="s">
        <v>44</v>
      </c>
      <c r="Y1062" t="str">
        <f>VLOOKUP(W1062,Sheet4!$A$5:$B$71,2,0)</f>
        <v>CRADEL</v>
      </c>
      <c r="Z1062">
        <v>87082900</v>
      </c>
      <c r="AA1062">
        <v>48</v>
      </c>
      <c r="AB1062" t="s">
        <v>159</v>
      </c>
      <c r="AC1062">
        <v>956.92</v>
      </c>
      <c r="AD1062" t="s">
        <v>160</v>
      </c>
      <c r="AE1062" s="24">
        <v>45932.160000000003</v>
      </c>
      <c r="AF1062">
        <v>0</v>
      </c>
      <c r="AG1062" s="24">
        <v>45932.160000000003</v>
      </c>
      <c r="AH1062">
        <v>0</v>
      </c>
      <c r="AI1062">
        <v>0</v>
      </c>
      <c r="AJ1062">
        <v>0</v>
      </c>
      <c r="AK1062">
        <v>0</v>
      </c>
      <c r="AL1062" s="24">
        <v>45932.160000000003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 s="24">
        <v>45932.160000000003</v>
      </c>
      <c r="AV1062">
        <v>0</v>
      </c>
      <c r="AW1062">
        <v>0</v>
      </c>
      <c r="AX1062">
        <v>311000</v>
      </c>
      <c r="AY1062" t="s">
        <v>161</v>
      </c>
      <c r="AZ1062">
        <v>6.3769999999999998</v>
      </c>
      <c r="BA1062">
        <v>6.3769999999999998</v>
      </c>
      <c r="BB1062">
        <v>0</v>
      </c>
      <c r="BC1062" t="s">
        <v>184</v>
      </c>
      <c r="BD1062">
        <v>1511</v>
      </c>
      <c r="BE1062" t="s">
        <v>174</v>
      </c>
      <c r="BF1062" t="s">
        <v>163</v>
      </c>
      <c r="BG1062" t="s">
        <v>164</v>
      </c>
    </row>
    <row r="1063" spans="1:59">
      <c r="A1063">
        <v>1115</v>
      </c>
      <c r="B1063">
        <v>1115</v>
      </c>
      <c r="C1063">
        <v>10</v>
      </c>
      <c r="D1063">
        <v>2</v>
      </c>
      <c r="E1063" t="s">
        <v>152</v>
      </c>
      <c r="F1063" t="s">
        <v>153</v>
      </c>
      <c r="G1063" t="s">
        <v>154</v>
      </c>
      <c r="H1063">
        <v>1526006609</v>
      </c>
      <c r="I1063">
        <v>1000006884</v>
      </c>
      <c r="L1063" t="s">
        <v>355</v>
      </c>
      <c r="M1063">
        <v>5100001101</v>
      </c>
      <c r="N1063" t="s">
        <v>155</v>
      </c>
      <c r="O1063" t="s">
        <v>156</v>
      </c>
      <c r="P1063">
        <v>4110004653</v>
      </c>
      <c r="Q1063" t="s">
        <v>177</v>
      </c>
      <c r="R1063">
        <v>5000</v>
      </c>
      <c r="S1063" t="s">
        <v>166</v>
      </c>
      <c r="V1063" t="s">
        <v>167</v>
      </c>
      <c r="W1063">
        <v>1502040194</v>
      </c>
      <c r="X1063" t="s">
        <v>44</v>
      </c>
      <c r="Y1063" t="str">
        <f>VLOOKUP(W1063,Sheet4!$A$5:$B$71,2,0)</f>
        <v>CRADEL</v>
      </c>
      <c r="Z1063">
        <v>87082900</v>
      </c>
      <c r="AA1063">
        <v>48</v>
      </c>
      <c r="AB1063" t="s">
        <v>159</v>
      </c>
      <c r="AC1063">
        <v>956.92</v>
      </c>
      <c r="AD1063" t="s">
        <v>160</v>
      </c>
      <c r="AE1063" s="24">
        <v>45932.160000000003</v>
      </c>
      <c r="AF1063">
        <v>0</v>
      </c>
      <c r="AG1063" s="24">
        <v>45932.160000000003</v>
      </c>
      <c r="AH1063">
        <v>0</v>
      </c>
      <c r="AI1063">
        <v>0</v>
      </c>
      <c r="AJ1063">
        <v>0</v>
      </c>
      <c r="AK1063">
        <v>0</v>
      </c>
      <c r="AL1063" s="24">
        <v>45932.160000000003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 s="24">
        <v>45932.160000000003</v>
      </c>
      <c r="AV1063">
        <v>0</v>
      </c>
      <c r="AW1063">
        <v>0</v>
      </c>
      <c r="AX1063">
        <v>311000</v>
      </c>
      <c r="AY1063" t="s">
        <v>161</v>
      </c>
      <c r="AZ1063">
        <v>6.3769999999999998</v>
      </c>
      <c r="BA1063">
        <v>6.3769999999999998</v>
      </c>
      <c r="BB1063">
        <v>0</v>
      </c>
      <c r="BC1063" t="s">
        <v>184</v>
      </c>
      <c r="BD1063">
        <v>1511</v>
      </c>
      <c r="BE1063" t="s">
        <v>174</v>
      </c>
      <c r="BF1063" t="s">
        <v>163</v>
      </c>
      <c r="BG1063" t="s">
        <v>164</v>
      </c>
    </row>
    <row r="1064" spans="1:59">
      <c r="A1064">
        <v>1115</v>
      </c>
      <c r="B1064">
        <v>1115</v>
      </c>
      <c r="C1064">
        <v>10</v>
      </c>
      <c r="D1064">
        <v>2</v>
      </c>
      <c r="E1064" t="s">
        <v>152</v>
      </c>
      <c r="F1064" t="s">
        <v>153</v>
      </c>
      <c r="G1064" t="s">
        <v>154</v>
      </c>
      <c r="H1064">
        <v>1526006608</v>
      </c>
      <c r="I1064">
        <v>1000006883</v>
      </c>
      <c r="L1064" t="s">
        <v>355</v>
      </c>
      <c r="M1064">
        <v>5100001099</v>
      </c>
      <c r="N1064" t="s">
        <v>155</v>
      </c>
      <c r="O1064" t="s">
        <v>156</v>
      </c>
      <c r="P1064">
        <v>4110004650</v>
      </c>
      <c r="Q1064" t="s">
        <v>177</v>
      </c>
      <c r="R1064">
        <v>5000</v>
      </c>
      <c r="S1064" t="s">
        <v>166</v>
      </c>
      <c r="V1064" t="s">
        <v>167</v>
      </c>
      <c r="W1064">
        <v>1502040133</v>
      </c>
      <c r="X1064" t="s">
        <v>228</v>
      </c>
      <c r="Y1064" t="str">
        <f>VLOOKUP(W1064,Sheet4!$A$5:$B$71,2,0)</f>
        <v>REAR COVER</v>
      </c>
      <c r="Z1064">
        <v>87082900</v>
      </c>
      <c r="AA1064">
        <v>55</v>
      </c>
      <c r="AB1064" t="s">
        <v>159</v>
      </c>
      <c r="AC1064">
        <v>164.49</v>
      </c>
      <c r="AD1064" t="s">
        <v>160</v>
      </c>
      <c r="AE1064" s="24">
        <v>9046.9500000000007</v>
      </c>
      <c r="AF1064">
        <v>0</v>
      </c>
      <c r="AG1064" s="24">
        <v>9046.9500000000007</v>
      </c>
      <c r="AH1064">
        <v>0</v>
      </c>
      <c r="AI1064">
        <v>0</v>
      </c>
      <c r="AJ1064">
        <v>0</v>
      </c>
      <c r="AK1064">
        <v>0</v>
      </c>
      <c r="AL1064" s="24">
        <v>9046.9500000000007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 s="24">
        <v>9046.9500000000007</v>
      </c>
      <c r="AV1064">
        <v>0</v>
      </c>
      <c r="AW1064">
        <v>0</v>
      </c>
      <c r="AX1064">
        <v>311000</v>
      </c>
      <c r="AY1064" t="s">
        <v>161</v>
      </c>
      <c r="AZ1064">
        <v>1.248</v>
      </c>
      <c r="BA1064">
        <v>1.248</v>
      </c>
      <c r="BB1064">
        <v>0</v>
      </c>
      <c r="BC1064" t="s">
        <v>229</v>
      </c>
      <c r="BD1064">
        <v>1511</v>
      </c>
      <c r="BE1064" t="s">
        <v>174</v>
      </c>
      <c r="BF1064" t="s">
        <v>163</v>
      </c>
      <c r="BG1064" t="s">
        <v>164</v>
      </c>
    </row>
    <row r="1065" spans="1:59">
      <c r="A1065">
        <v>1115</v>
      </c>
      <c r="B1065">
        <v>1115</v>
      </c>
      <c r="C1065">
        <v>10</v>
      </c>
      <c r="D1065">
        <v>2</v>
      </c>
      <c r="E1065" t="s">
        <v>152</v>
      </c>
      <c r="F1065" t="s">
        <v>153</v>
      </c>
      <c r="G1065" t="s">
        <v>154</v>
      </c>
      <c r="H1065">
        <v>1526006607</v>
      </c>
      <c r="I1065">
        <v>1000006882</v>
      </c>
      <c r="L1065" t="s">
        <v>355</v>
      </c>
      <c r="M1065">
        <v>5100001099</v>
      </c>
      <c r="N1065" t="s">
        <v>155</v>
      </c>
      <c r="O1065" t="s">
        <v>156</v>
      </c>
      <c r="P1065">
        <v>4110004650</v>
      </c>
      <c r="Q1065" t="s">
        <v>177</v>
      </c>
      <c r="R1065">
        <v>5000</v>
      </c>
      <c r="S1065" t="s">
        <v>166</v>
      </c>
      <c r="V1065" t="s">
        <v>167</v>
      </c>
      <c r="W1065">
        <v>1502040132</v>
      </c>
      <c r="X1065" t="s">
        <v>230</v>
      </c>
      <c r="Y1065" t="str">
        <f>VLOOKUP(W1065,Sheet4!$A$5:$B$71,2,0)</f>
        <v>REAR COVER</v>
      </c>
      <c r="Z1065">
        <v>87082900</v>
      </c>
      <c r="AA1065">
        <v>55</v>
      </c>
      <c r="AB1065" t="s">
        <v>159</v>
      </c>
      <c r="AC1065">
        <v>159.41</v>
      </c>
      <c r="AD1065" t="s">
        <v>160</v>
      </c>
      <c r="AE1065" s="24">
        <v>8767.5499999999993</v>
      </c>
      <c r="AF1065">
        <v>0</v>
      </c>
      <c r="AG1065" s="24">
        <v>8767.5499999999993</v>
      </c>
      <c r="AH1065">
        <v>0</v>
      </c>
      <c r="AI1065">
        <v>0</v>
      </c>
      <c r="AJ1065">
        <v>0</v>
      </c>
      <c r="AK1065">
        <v>0</v>
      </c>
      <c r="AL1065" s="24">
        <v>8767.5499999999993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 s="24">
        <v>8767.5499999999993</v>
      </c>
      <c r="AV1065">
        <v>0</v>
      </c>
      <c r="AW1065">
        <v>0</v>
      </c>
      <c r="AX1065">
        <v>311000</v>
      </c>
      <c r="AY1065" t="s">
        <v>161</v>
      </c>
      <c r="AZ1065">
        <v>1.1659999999999999</v>
      </c>
      <c r="BA1065">
        <v>1.1659999999999999</v>
      </c>
      <c r="BB1065">
        <v>0</v>
      </c>
      <c r="BC1065" t="s">
        <v>231</v>
      </c>
      <c r="BD1065">
        <v>1511</v>
      </c>
      <c r="BE1065" t="s">
        <v>174</v>
      </c>
      <c r="BF1065" t="s">
        <v>163</v>
      </c>
      <c r="BG1065" t="s">
        <v>164</v>
      </c>
    </row>
    <row r="1066" spans="1:59">
      <c r="A1066">
        <v>1115</v>
      </c>
      <c r="B1066">
        <v>1115</v>
      </c>
      <c r="C1066">
        <v>10</v>
      </c>
      <c r="D1066">
        <v>2</v>
      </c>
      <c r="E1066" t="s">
        <v>152</v>
      </c>
      <c r="F1066" t="s">
        <v>153</v>
      </c>
      <c r="G1066" t="s">
        <v>154</v>
      </c>
      <c r="H1066">
        <v>1526006606</v>
      </c>
      <c r="I1066">
        <v>1000006881</v>
      </c>
      <c r="L1066" t="s">
        <v>355</v>
      </c>
      <c r="M1066">
        <v>5100001100</v>
      </c>
      <c r="N1066" t="s">
        <v>155</v>
      </c>
      <c r="O1066" t="s">
        <v>156</v>
      </c>
      <c r="P1066">
        <v>4110004652</v>
      </c>
      <c r="Q1066" t="s">
        <v>177</v>
      </c>
      <c r="R1066">
        <v>5000</v>
      </c>
      <c r="S1066" t="s">
        <v>166</v>
      </c>
      <c r="V1066" t="s">
        <v>167</v>
      </c>
      <c r="W1066">
        <v>1502040126</v>
      </c>
      <c r="X1066" t="s">
        <v>53</v>
      </c>
      <c r="Y1066" t="str">
        <f>VLOOKUP(W1066,Sheet4!$A$5:$B$71,2,0)</f>
        <v>REAR COVER</v>
      </c>
      <c r="Z1066">
        <v>87082900</v>
      </c>
      <c r="AA1066">
        <v>55</v>
      </c>
      <c r="AB1066" t="s">
        <v>159</v>
      </c>
      <c r="AC1066">
        <v>155.58000000000001</v>
      </c>
      <c r="AD1066" t="s">
        <v>160</v>
      </c>
      <c r="AE1066" s="24">
        <v>8556.9</v>
      </c>
      <c r="AF1066">
        <v>0</v>
      </c>
      <c r="AG1066" s="24">
        <v>8556.9</v>
      </c>
      <c r="AH1066">
        <v>0</v>
      </c>
      <c r="AI1066">
        <v>0</v>
      </c>
      <c r="AJ1066">
        <v>0</v>
      </c>
      <c r="AK1066">
        <v>0</v>
      </c>
      <c r="AL1066" s="24">
        <v>8556.9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 s="24">
        <v>8556.9</v>
      </c>
      <c r="AV1066">
        <v>0</v>
      </c>
      <c r="AW1066">
        <v>0</v>
      </c>
      <c r="AX1066">
        <v>311000</v>
      </c>
      <c r="AY1066" t="s">
        <v>161</v>
      </c>
      <c r="AZ1066">
        <v>1.1850000000000001</v>
      </c>
      <c r="BA1066">
        <v>1.1850000000000001</v>
      </c>
      <c r="BB1066">
        <v>0</v>
      </c>
      <c r="BC1066" t="s">
        <v>232</v>
      </c>
      <c r="BD1066">
        <v>1511</v>
      </c>
      <c r="BE1066" t="s">
        <v>174</v>
      </c>
      <c r="BF1066" t="s">
        <v>163</v>
      </c>
      <c r="BG1066" t="s">
        <v>164</v>
      </c>
    </row>
    <row r="1067" spans="1:59">
      <c r="A1067">
        <v>1115</v>
      </c>
      <c r="B1067">
        <v>1115</v>
      </c>
      <c r="C1067">
        <v>10</v>
      </c>
      <c r="D1067">
        <v>2</v>
      </c>
      <c r="E1067" t="s">
        <v>152</v>
      </c>
      <c r="F1067" t="s">
        <v>153</v>
      </c>
      <c r="G1067" t="s">
        <v>154</v>
      </c>
      <c r="H1067">
        <v>1526006605</v>
      </c>
      <c r="I1067">
        <v>1000006880</v>
      </c>
      <c r="L1067" t="s">
        <v>355</v>
      </c>
      <c r="M1067">
        <v>5100001100</v>
      </c>
      <c r="N1067" t="s">
        <v>155</v>
      </c>
      <c r="O1067" t="s">
        <v>156</v>
      </c>
      <c r="P1067">
        <v>4110004652</v>
      </c>
      <c r="Q1067" t="s">
        <v>177</v>
      </c>
      <c r="R1067">
        <v>5000</v>
      </c>
      <c r="S1067" t="s">
        <v>166</v>
      </c>
      <c r="V1067" t="s">
        <v>167</v>
      </c>
      <c r="W1067">
        <v>1502040125</v>
      </c>
      <c r="X1067" t="s">
        <v>52</v>
      </c>
      <c r="Y1067" t="str">
        <f>VLOOKUP(W1067,Sheet4!$A$5:$B$71,2,0)</f>
        <v>REAR COVER</v>
      </c>
      <c r="Z1067">
        <v>87082900</v>
      </c>
      <c r="AA1067">
        <v>55</v>
      </c>
      <c r="AB1067" t="s">
        <v>159</v>
      </c>
      <c r="AC1067">
        <v>160.44999999999999</v>
      </c>
      <c r="AD1067" t="s">
        <v>160</v>
      </c>
      <c r="AE1067" s="24">
        <v>8824.75</v>
      </c>
      <c r="AF1067">
        <v>0</v>
      </c>
      <c r="AG1067" s="24">
        <v>8824.75</v>
      </c>
      <c r="AH1067">
        <v>0</v>
      </c>
      <c r="AI1067">
        <v>0</v>
      </c>
      <c r="AJ1067">
        <v>0</v>
      </c>
      <c r="AK1067">
        <v>0</v>
      </c>
      <c r="AL1067" s="24">
        <v>8824.75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 s="24">
        <v>8824.75</v>
      </c>
      <c r="AV1067">
        <v>0</v>
      </c>
      <c r="AW1067">
        <v>0</v>
      </c>
      <c r="AX1067">
        <v>311000</v>
      </c>
      <c r="AY1067" t="s">
        <v>161</v>
      </c>
      <c r="AZ1067">
        <v>1.1850000000000001</v>
      </c>
      <c r="BA1067">
        <v>1.1850000000000001</v>
      </c>
      <c r="BB1067">
        <v>0</v>
      </c>
      <c r="BC1067" t="s">
        <v>233</v>
      </c>
      <c r="BD1067">
        <v>1511</v>
      </c>
      <c r="BE1067" t="s">
        <v>174</v>
      </c>
      <c r="BF1067" t="s">
        <v>163</v>
      </c>
      <c r="BG1067" t="s">
        <v>164</v>
      </c>
    </row>
    <row r="1068" spans="1:59">
      <c r="A1068">
        <v>1115</v>
      </c>
      <c r="B1068">
        <v>1115</v>
      </c>
      <c r="C1068">
        <v>10</v>
      </c>
      <c r="D1068">
        <v>2</v>
      </c>
      <c r="E1068" t="s">
        <v>152</v>
      </c>
      <c r="F1068" t="s">
        <v>153</v>
      </c>
      <c r="G1068" t="s">
        <v>154</v>
      </c>
      <c r="H1068">
        <v>1526006604</v>
      </c>
      <c r="I1068">
        <v>1000006879</v>
      </c>
      <c r="L1068" t="s">
        <v>355</v>
      </c>
      <c r="M1068">
        <v>5100001100</v>
      </c>
      <c r="N1068" t="s">
        <v>155</v>
      </c>
      <c r="O1068" t="s">
        <v>156</v>
      </c>
      <c r="P1068">
        <v>4110004652</v>
      </c>
      <c r="Q1068" t="s">
        <v>177</v>
      </c>
      <c r="R1068">
        <v>5000</v>
      </c>
      <c r="S1068" t="s">
        <v>166</v>
      </c>
      <c r="V1068" t="s">
        <v>167</v>
      </c>
      <c r="W1068">
        <v>1502040165</v>
      </c>
      <c r="X1068" t="s">
        <v>234</v>
      </c>
      <c r="Y1068" t="str">
        <f>VLOOKUP(W1068,Sheet4!$A$5:$B$71,2,0)</f>
        <v>REAR COVER</v>
      </c>
      <c r="Z1068">
        <v>87082900</v>
      </c>
      <c r="AA1068">
        <v>55</v>
      </c>
      <c r="AB1068" t="s">
        <v>159</v>
      </c>
      <c r="AC1068">
        <v>165.65</v>
      </c>
      <c r="AD1068" t="s">
        <v>160</v>
      </c>
      <c r="AE1068" s="24">
        <v>9110.75</v>
      </c>
      <c r="AF1068">
        <v>0</v>
      </c>
      <c r="AG1068" s="24">
        <v>9110.75</v>
      </c>
      <c r="AH1068">
        <v>0</v>
      </c>
      <c r="AI1068">
        <v>0</v>
      </c>
      <c r="AJ1068">
        <v>0</v>
      </c>
      <c r="AK1068">
        <v>0</v>
      </c>
      <c r="AL1068" s="24">
        <v>9110.75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 s="24">
        <v>9110.75</v>
      </c>
      <c r="AV1068">
        <v>0</v>
      </c>
      <c r="AW1068">
        <v>0</v>
      </c>
      <c r="AX1068">
        <v>311000</v>
      </c>
      <c r="AY1068" t="s">
        <v>161</v>
      </c>
      <c r="AZ1068">
        <v>1.248</v>
      </c>
      <c r="BA1068">
        <v>1.248</v>
      </c>
      <c r="BB1068">
        <v>0</v>
      </c>
      <c r="BC1068" t="s">
        <v>235</v>
      </c>
      <c r="BD1068">
        <v>1511</v>
      </c>
      <c r="BE1068" t="s">
        <v>174</v>
      </c>
      <c r="BF1068" t="s">
        <v>163</v>
      </c>
      <c r="BG1068" t="s">
        <v>164</v>
      </c>
    </row>
    <row r="1069" spans="1:59">
      <c r="A1069">
        <v>1115</v>
      </c>
      <c r="B1069">
        <v>1115</v>
      </c>
      <c r="C1069">
        <v>10</v>
      </c>
      <c r="D1069">
        <v>2</v>
      </c>
      <c r="E1069" t="s">
        <v>152</v>
      </c>
      <c r="F1069" t="s">
        <v>153</v>
      </c>
      <c r="G1069" t="s">
        <v>154</v>
      </c>
      <c r="H1069">
        <v>1526006603</v>
      </c>
      <c r="I1069">
        <v>1000006878</v>
      </c>
      <c r="L1069" t="s">
        <v>355</v>
      </c>
      <c r="M1069">
        <v>5100001100</v>
      </c>
      <c r="N1069" t="s">
        <v>155</v>
      </c>
      <c r="O1069" t="s">
        <v>156</v>
      </c>
      <c r="P1069">
        <v>4110004652</v>
      </c>
      <c r="Q1069" t="s">
        <v>177</v>
      </c>
      <c r="R1069">
        <v>5000</v>
      </c>
      <c r="S1069" t="s">
        <v>166</v>
      </c>
      <c r="V1069" t="s">
        <v>167</v>
      </c>
      <c r="W1069">
        <v>1502040164</v>
      </c>
      <c r="X1069" t="s">
        <v>236</v>
      </c>
      <c r="Y1069" t="str">
        <f>VLOOKUP(W1069,Sheet4!$A$5:$B$71,2,0)</f>
        <v>REAR COVER</v>
      </c>
      <c r="Z1069">
        <v>87082900</v>
      </c>
      <c r="AA1069">
        <v>55</v>
      </c>
      <c r="AB1069" t="s">
        <v>159</v>
      </c>
      <c r="AC1069">
        <v>160.52000000000001</v>
      </c>
      <c r="AD1069" t="s">
        <v>160</v>
      </c>
      <c r="AE1069" s="24">
        <v>8828.6</v>
      </c>
      <c r="AF1069">
        <v>0</v>
      </c>
      <c r="AG1069" s="24">
        <v>8828.6</v>
      </c>
      <c r="AH1069">
        <v>0</v>
      </c>
      <c r="AI1069">
        <v>0</v>
      </c>
      <c r="AJ1069">
        <v>0</v>
      </c>
      <c r="AK1069">
        <v>0</v>
      </c>
      <c r="AL1069" s="24">
        <v>8828.6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 s="24">
        <v>8828.6</v>
      </c>
      <c r="AV1069">
        <v>0</v>
      </c>
      <c r="AW1069">
        <v>0</v>
      </c>
      <c r="AX1069">
        <v>311000</v>
      </c>
      <c r="AY1069" t="s">
        <v>161</v>
      </c>
      <c r="AZ1069">
        <v>1.1659999999999999</v>
      </c>
      <c r="BA1069">
        <v>1.1659999999999999</v>
      </c>
      <c r="BB1069">
        <v>0</v>
      </c>
      <c r="BC1069" t="s">
        <v>237</v>
      </c>
      <c r="BD1069">
        <v>1511</v>
      </c>
      <c r="BE1069" t="s">
        <v>174</v>
      </c>
      <c r="BF1069" t="s">
        <v>163</v>
      </c>
      <c r="BG1069" t="s">
        <v>164</v>
      </c>
    </row>
    <row r="1070" spans="1:59">
      <c r="A1070">
        <v>1115</v>
      </c>
      <c r="B1070">
        <v>1115</v>
      </c>
      <c r="C1070">
        <v>10</v>
      </c>
      <c r="D1070">
        <v>2</v>
      </c>
      <c r="E1070" t="s">
        <v>152</v>
      </c>
      <c r="F1070" t="s">
        <v>153</v>
      </c>
      <c r="G1070" t="s">
        <v>154</v>
      </c>
      <c r="H1070">
        <v>1526006602</v>
      </c>
      <c r="I1070">
        <v>1000006877</v>
      </c>
      <c r="L1070" t="s">
        <v>355</v>
      </c>
      <c r="M1070">
        <v>5100001949</v>
      </c>
      <c r="N1070" t="s">
        <v>155</v>
      </c>
      <c r="O1070" t="s">
        <v>156</v>
      </c>
      <c r="P1070">
        <v>4110063766</v>
      </c>
      <c r="Q1070" t="s">
        <v>252</v>
      </c>
      <c r="R1070">
        <v>5000</v>
      </c>
      <c r="S1070" t="s">
        <v>166</v>
      </c>
      <c r="V1070" t="s">
        <v>167</v>
      </c>
      <c r="W1070">
        <v>1502040322</v>
      </c>
      <c r="X1070" t="s">
        <v>250</v>
      </c>
      <c r="Y1070" t="str">
        <f>VLOOKUP(W1070,Sheet4!$A$5:$B$71,2,0)</f>
        <v>DASH BOARD</v>
      </c>
      <c r="Z1070">
        <v>87082900</v>
      </c>
      <c r="AA1070">
        <v>60</v>
      </c>
      <c r="AB1070" t="s">
        <v>159</v>
      </c>
      <c r="AC1070">
        <v>291.27999999999997</v>
      </c>
      <c r="AD1070" t="s">
        <v>160</v>
      </c>
      <c r="AE1070" s="24">
        <v>17476.8</v>
      </c>
      <c r="AF1070">
        <v>0</v>
      </c>
      <c r="AG1070" s="24">
        <v>17476.8</v>
      </c>
      <c r="AH1070">
        <v>0</v>
      </c>
      <c r="AI1070">
        <v>0</v>
      </c>
      <c r="AJ1070">
        <v>0</v>
      </c>
      <c r="AK1070">
        <v>0</v>
      </c>
      <c r="AL1070" s="24">
        <v>17476.8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 s="24">
        <v>17476.8</v>
      </c>
      <c r="AV1070">
        <v>0</v>
      </c>
      <c r="AW1070">
        <v>0</v>
      </c>
      <c r="AX1070">
        <v>311000</v>
      </c>
      <c r="AY1070" t="s">
        <v>161</v>
      </c>
      <c r="AZ1070">
        <v>2.37</v>
      </c>
      <c r="BA1070">
        <v>2.37</v>
      </c>
      <c r="BB1070">
        <v>0</v>
      </c>
      <c r="BC1070" t="s">
        <v>251</v>
      </c>
      <c r="BD1070">
        <v>1511</v>
      </c>
      <c r="BE1070" t="s">
        <v>174</v>
      </c>
      <c r="BF1070" t="s">
        <v>163</v>
      </c>
      <c r="BG1070" t="s">
        <v>164</v>
      </c>
    </row>
    <row r="1071" spans="1:59">
      <c r="A1071">
        <v>1115</v>
      </c>
      <c r="B1071">
        <v>1115</v>
      </c>
      <c r="C1071">
        <v>10</v>
      </c>
      <c r="D1071">
        <v>2</v>
      </c>
      <c r="E1071" t="s">
        <v>152</v>
      </c>
      <c r="F1071" t="s">
        <v>153</v>
      </c>
      <c r="G1071" t="s">
        <v>154</v>
      </c>
      <c r="H1071">
        <v>1526006601</v>
      </c>
      <c r="I1071">
        <v>1000006876</v>
      </c>
      <c r="L1071" t="s">
        <v>355</v>
      </c>
      <c r="M1071">
        <v>5100001899</v>
      </c>
      <c r="N1071" t="s">
        <v>155</v>
      </c>
      <c r="O1071" t="s">
        <v>156</v>
      </c>
      <c r="P1071">
        <v>4110041854</v>
      </c>
      <c r="Q1071" t="s">
        <v>172</v>
      </c>
      <c r="R1071">
        <v>5000</v>
      </c>
      <c r="S1071" t="s">
        <v>166</v>
      </c>
      <c r="V1071" t="s">
        <v>167</v>
      </c>
      <c r="W1071">
        <v>1502040267</v>
      </c>
      <c r="X1071" t="s">
        <v>63</v>
      </c>
      <c r="Y1071" t="str">
        <f>VLOOKUP(W1071,Sheet4!$A$5:$B$71,2,0)</f>
        <v>DASH BOARD</v>
      </c>
      <c r="Z1071">
        <v>87082900</v>
      </c>
      <c r="AA1071">
        <v>448</v>
      </c>
      <c r="AB1071" t="s">
        <v>159</v>
      </c>
      <c r="AC1071">
        <v>290.89999999999998</v>
      </c>
      <c r="AD1071" t="s">
        <v>160</v>
      </c>
      <c r="AE1071" s="24">
        <v>130323.2</v>
      </c>
      <c r="AF1071">
        <v>0</v>
      </c>
      <c r="AG1071" s="24">
        <v>130323.2</v>
      </c>
      <c r="AH1071">
        <v>0</v>
      </c>
      <c r="AI1071">
        <v>0</v>
      </c>
      <c r="AJ1071">
        <v>0</v>
      </c>
      <c r="AK1071">
        <v>0</v>
      </c>
      <c r="AL1071" s="24">
        <v>130323.2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 s="24">
        <v>130323.2</v>
      </c>
      <c r="AV1071">
        <v>0</v>
      </c>
      <c r="AW1071">
        <v>0</v>
      </c>
      <c r="AX1071">
        <v>311000</v>
      </c>
      <c r="AY1071" t="s">
        <v>161</v>
      </c>
      <c r="AZ1071">
        <v>4.5</v>
      </c>
      <c r="BA1071">
        <v>4.5</v>
      </c>
      <c r="BB1071">
        <v>0</v>
      </c>
      <c r="BC1071" t="s">
        <v>173</v>
      </c>
      <c r="BD1071">
        <v>1511</v>
      </c>
      <c r="BE1071" t="s">
        <v>174</v>
      </c>
      <c r="BF1071" t="s">
        <v>163</v>
      </c>
      <c r="BG1071" t="s">
        <v>164</v>
      </c>
    </row>
    <row r="1072" spans="1:59">
      <c r="A1072">
        <v>1115</v>
      </c>
      <c r="B1072">
        <v>1115</v>
      </c>
      <c r="C1072">
        <v>10</v>
      </c>
      <c r="D1072">
        <v>2</v>
      </c>
      <c r="E1072" t="s">
        <v>152</v>
      </c>
      <c r="F1072" t="s">
        <v>153</v>
      </c>
      <c r="G1072" t="s">
        <v>154</v>
      </c>
      <c r="H1072">
        <v>1526006600</v>
      </c>
      <c r="I1072">
        <v>1000006875</v>
      </c>
      <c r="L1072" t="s">
        <v>355</v>
      </c>
      <c r="M1072">
        <v>5100001928</v>
      </c>
      <c r="N1072" t="s">
        <v>155</v>
      </c>
      <c r="O1072" t="s">
        <v>156</v>
      </c>
      <c r="P1072">
        <v>4110057393</v>
      </c>
      <c r="Q1072" t="s">
        <v>192</v>
      </c>
      <c r="R1072">
        <v>5000</v>
      </c>
      <c r="S1072" t="s">
        <v>166</v>
      </c>
      <c r="V1072" t="s">
        <v>167</v>
      </c>
      <c r="W1072">
        <v>1502020122</v>
      </c>
      <c r="X1072" t="s">
        <v>70</v>
      </c>
      <c r="Y1072" t="str">
        <f>VLOOKUP(W1072,Sheet4!$A$5:$B$71,2,0)</f>
        <v>MAX UG NEW EV</v>
      </c>
      <c r="Z1072">
        <v>87082900</v>
      </c>
      <c r="AA1072">
        <v>10</v>
      </c>
      <c r="AB1072" t="s">
        <v>159</v>
      </c>
      <c r="AC1072" s="24">
        <v>9566.51</v>
      </c>
      <c r="AD1072" t="s">
        <v>160</v>
      </c>
      <c r="AE1072" s="24">
        <v>95665.1</v>
      </c>
      <c r="AF1072">
        <v>0</v>
      </c>
      <c r="AG1072" s="24">
        <v>95665.1</v>
      </c>
      <c r="AH1072">
        <v>0</v>
      </c>
      <c r="AI1072">
        <v>0</v>
      </c>
      <c r="AJ1072">
        <v>0</v>
      </c>
      <c r="AK1072">
        <v>0</v>
      </c>
      <c r="AL1072" s="24">
        <v>95665.1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 s="24">
        <v>95665.1</v>
      </c>
      <c r="AV1072">
        <v>0</v>
      </c>
      <c r="AW1072">
        <v>0</v>
      </c>
      <c r="AX1072">
        <v>311000</v>
      </c>
      <c r="AY1072" t="s">
        <v>161</v>
      </c>
      <c r="AZ1072">
        <v>0</v>
      </c>
      <c r="BA1072">
        <v>61</v>
      </c>
      <c r="BB1072">
        <v>-61</v>
      </c>
      <c r="BC1072" t="s">
        <v>193</v>
      </c>
      <c r="BD1072">
        <v>1509</v>
      </c>
      <c r="BE1072" t="s">
        <v>169</v>
      </c>
      <c r="BF1072" t="s">
        <v>163</v>
      </c>
      <c r="BG1072" t="s">
        <v>164</v>
      </c>
    </row>
    <row r="1073" spans="1:59">
      <c r="A1073">
        <v>1115</v>
      </c>
      <c r="B1073">
        <v>1115</v>
      </c>
      <c r="C1073">
        <v>10</v>
      </c>
      <c r="D1073">
        <v>2</v>
      </c>
      <c r="E1073" t="s">
        <v>152</v>
      </c>
      <c r="F1073" t="s">
        <v>153</v>
      </c>
      <c r="G1073" t="s">
        <v>154</v>
      </c>
      <c r="H1073">
        <v>1526006599</v>
      </c>
      <c r="I1073">
        <v>1000006874</v>
      </c>
      <c r="L1073" t="s">
        <v>355</v>
      </c>
      <c r="M1073">
        <v>5100001949</v>
      </c>
      <c r="N1073" t="s">
        <v>155</v>
      </c>
      <c r="O1073" t="s">
        <v>156</v>
      </c>
      <c r="P1073">
        <v>4110063766</v>
      </c>
      <c r="Q1073" t="s">
        <v>252</v>
      </c>
      <c r="R1073">
        <v>5000</v>
      </c>
      <c r="S1073" t="s">
        <v>166</v>
      </c>
      <c r="V1073" t="s">
        <v>167</v>
      </c>
      <c r="W1073">
        <v>1502040322</v>
      </c>
      <c r="X1073" t="s">
        <v>250</v>
      </c>
      <c r="Y1073" t="str">
        <f>VLOOKUP(W1073,Sheet4!$A$5:$B$71,2,0)</f>
        <v>DASH BOARD</v>
      </c>
      <c r="Z1073">
        <v>87082900</v>
      </c>
      <c r="AA1073">
        <v>60</v>
      </c>
      <c r="AB1073" t="s">
        <v>159</v>
      </c>
      <c r="AC1073">
        <v>291.27999999999997</v>
      </c>
      <c r="AD1073" t="s">
        <v>160</v>
      </c>
      <c r="AE1073" s="24">
        <v>17476.8</v>
      </c>
      <c r="AF1073">
        <v>0</v>
      </c>
      <c r="AG1073" s="24">
        <v>17476.8</v>
      </c>
      <c r="AH1073">
        <v>0</v>
      </c>
      <c r="AI1073">
        <v>0</v>
      </c>
      <c r="AJ1073">
        <v>0</v>
      </c>
      <c r="AK1073">
        <v>0</v>
      </c>
      <c r="AL1073" s="24">
        <v>17476.8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 s="24">
        <v>17476.8</v>
      </c>
      <c r="AV1073">
        <v>0</v>
      </c>
      <c r="AW1073">
        <v>0</v>
      </c>
      <c r="AX1073">
        <v>311000</v>
      </c>
      <c r="AY1073" t="s">
        <v>161</v>
      </c>
      <c r="AZ1073">
        <v>2.37</v>
      </c>
      <c r="BA1073">
        <v>2.37</v>
      </c>
      <c r="BB1073">
        <v>0</v>
      </c>
      <c r="BC1073" t="s">
        <v>251</v>
      </c>
      <c r="BD1073">
        <v>1511</v>
      </c>
      <c r="BE1073" t="s">
        <v>174</v>
      </c>
      <c r="BF1073" t="s">
        <v>163</v>
      </c>
      <c r="BG1073" t="s">
        <v>164</v>
      </c>
    </row>
    <row r="1074" spans="1:59">
      <c r="A1074">
        <v>1115</v>
      </c>
      <c r="B1074">
        <v>1115</v>
      </c>
      <c r="C1074">
        <v>10</v>
      </c>
      <c r="D1074">
        <v>2</v>
      </c>
      <c r="E1074" t="s">
        <v>152</v>
      </c>
      <c r="F1074" t="s">
        <v>153</v>
      </c>
      <c r="G1074" t="s">
        <v>154</v>
      </c>
      <c r="H1074">
        <v>1526006598</v>
      </c>
      <c r="I1074">
        <v>1000006873</v>
      </c>
      <c r="L1074" t="s">
        <v>355</v>
      </c>
      <c r="M1074">
        <v>5100001899</v>
      </c>
      <c r="N1074" t="s">
        <v>155</v>
      </c>
      <c r="O1074" t="s">
        <v>156</v>
      </c>
      <c r="P1074">
        <v>4110041854</v>
      </c>
      <c r="Q1074" t="s">
        <v>172</v>
      </c>
      <c r="R1074">
        <v>5000</v>
      </c>
      <c r="S1074" t="s">
        <v>166</v>
      </c>
      <c r="V1074" t="s">
        <v>167</v>
      </c>
      <c r="W1074">
        <v>1502040267</v>
      </c>
      <c r="X1074" t="s">
        <v>63</v>
      </c>
      <c r="Y1074" t="str">
        <f>VLOOKUP(W1074,Sheet4!$A$5:$B$71,2,0)</f>
        <v>DASH BOARD</v>
      </c>
      <c r="Z1074">
        <v>87082900</v>
      </c>
      <c r="AA1074">
        <v>448</v>
      </c>
      <c r="AB1074" t="s">
        <v>159</v>
      </c>
      <c r="AC1074">
        <v>290.89999999999998</v>
      </c>
      <c r="AD1074" t="s">
        <v>160</v>
      </c>
      <c r="AE1074" s="24">
        <v>130323.2</v>
      </c>
      <c r="AF1074">
        <v>0</v>
      </c>
      <c r="AG1074" s="24">
        <v>130323.2</v>
      </c>
      <c r="AH1074">
        <v>0</v>
      </c>
      <c r="AI1074">
        <v>0</v>
      </c>
      <c r="AJ1074">
        <v>0</v>
      </c>
      <c r="AK1074">
        <v>0</v>
      </c>
      <c r="AL1074" s="24">
        <v>130323.2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 s="24">
        <v>130323.2</v>
      </c>
      <c r="AV1074">
        <v>0</v>
      </c>
      <c r="AW1074">
        <v>0</v>
      </c>
      <c r="AX1074">
        <v>311000</v>
      </c>
      <c r="AY1074" t="s">
        <v>161</v>
      </c>
      <c r="AZ1074">
        <v>4.5</v>
      </c>
      <c r="BA1074">
        <v>4.5</v>
      </c>
      <c r="BB1074">
        <v>0</v>
      </c>
      <c r="BC1074" t="s">
        <v>173</v>
      </c>
      <c r="BD1074">
        <v>1511</v>
      </c>
      <c r="BE1074" t="s">
        <v>174</v>
      </c>
      <c r="BF1074" t="s">
        <v>163</v>
      </c>
      <c r="BG1074" t="s">
        <v>164</v>
      </c>
    </row>
    <row r="1075" spans="1:59">
      <c r="A1075">
        <v>1115</v>
      </c>
      <c r="B1075">
        <v>1115</v>
      </c>
      <c r="C1075">
        <v>10</v>
      </c>
      <c r="D1075">
        <v>2</v>
      </c>
      <c r="E1075" t="s">
        <v>152</v>
      </c>
      <c r="F1075" t="s">
        <v>153</v>
      </c>
      <c r="G1075" t="s">
        <v>154</v>
      </c>
      <c r="H1075">
        <v>1526006597</v>
      </c>
      <c r="I1075">
        <v>1000006872</v>
      </c>
      <c r="L1075" t="s">
        <v>355</v>
      </c>
      <c r="M1075">
        <v>5100001636</v>
      </c>
      <c r="N1075" t="s">
        <v>155</v>
      </c>
      <c r="O1075" t="s">
        <v>156</v>
      </c>
      <c r="P1075">
        <v>4110026445</v>
      </c>
      <c r="Q1075" t="s">
        <v>170</v>
      </c>
      <c r="R1075">
        <v>5000</v>
      </c>
      <c r="S1075" t="s">
        <v>166</v>
      </c>
      <c r="V1075" t="s">
        <v>167</v>
      </c>
      <c r="W1075">
        <v>1502020104</v>
      </c>
      <c r="X1075" t="s">
        <v>26</v>
      </c>
      <c r="Y1075" t="str">
        <f>VLOOKUP(W1075,Sheet4!$A$5:$B$71,2,0)</f>
        <v>RE STYLING</v>
      </c>
      <c r="Z1075">
        <v>87082900</v>
      </c>
      <c r="AA1075">
        <v>15</v>
      </c>
      <c r="AB1075" t="s">
        <v>159</v>
      </c>
      <c r="AC1075" s="24">
        <v>6585.55</v>
      </c>
      <c r="AD1075" t="s">
        <v>160</v>
      </c>
      <c r="AE1075" s="24">
        <v>98783.25</v>
      </c>
      <c r="AF1075">
        <v>0</v>
      </c>
      <c r="AG1075" s="24">
        <v>98783.25</v>
      </c>
      <c r="AH1075">
        <v>0</v>
      </c>
      <c r="AI1075">
        <v>0</v>
      </c>
      <c r="AJ1075">
        <v>0</v>
      </c>
      <c r="AK1075">
        <v>0</v>
      </c>
      <c r="AL1075" s="24">
        <v>98783.25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 s="24">
        <v>98783.25</v>
      </c>
      <c r="AV1075">
        <v>0</v>
      </c>
      <c r="AW1075">
        <v>0</v>
      </c>
      <c r="AX1075">
        <v>311000</v>
      </c>
      <c r="AY1075" t="s">
        <v>161</v>
      </c>
      <c r="AZ1075">
        <v>49.75</v>
      </c>
      <c r="BA1075">
        <v>49.75</v>
      </c>
      <c r="BB1075">
        <v>0</v>
      </c>
      <c r="BC1075" t="s">
        <v>171</v>
      </c>
      <c r="BD1075">
        <v>1509</v>
      </c>
      <c r="BE1075" t="s">
        <v>169</v>
      </c>
      <c r="BF1075" t="s">
        <v>163</v>
      </c>
      <c r="BG1075" t="s">
        <v>164</v>
      </c>
    </row>
    <row r="1076" spans="1:59">
      <c r="A1076">
        <v>1115</v>
      </c>
      <c r="B1076">
        <v>1115</v>
      </c>
      <c r="C1076">
        <v>10</v>
      </c>
      <c r="D1076">
        <v>2</v>
      </c>
      <c r="E1076" t="s">
        <v>152</v>
      </c>
      <c r="F1076" t="s">
        <v>153</v>
      </c>
      <c r="G1076" t="s">
        <v>154</v>
      </c>
      <c r="H1076">
        <v>1526006596</v>
      </c>
      <c r="I1076">
        <v>1000006871</v>
      </c>
      <c r="L1076" t="s">
        <v>355</v>
      </c>
      <c r="M1076">
        <v>5100001636</v>
      </c>
      <c r="N1076" t="s">
        <v>155</v>
      </c>
      <c r="O1076" t="s">
        <v>156</v>
      </c>
      <c r="P1076">
        <v>4110026445</v>
      </c>
      <c r="Q1076" t="s">
        <v>170</v>
      </c>
      <c r="R1076">
        <v>5000</v>
      </c>
      <c r="S1076" t="s">
        <v>166</v>
      </c>
      <c r="V1076" t="s">
        <v>167</v>
      </c>
      <c r="W1076">
        <v>1502020104</v>
      </c>
      <c r="X1076" t="s">
        <v>26</v>
      </c>
      <c r="Y1076" t="str">
        <f>VLOOKUP(W1076,Sheet4!$A$5:$B$71,2,0)</f>
        <v>RE STYLING</v>
      </c>
      <c r="Z1076">
        <v>87082900</v>
      </c>
      <c r="AA1076">
        <v>15</v>
      </c>
      <c r="AB1076" t="s">
        <v>159</v>
      </c>
      <c r="AC1076" s="24">
        <v>6585.55</v>
      </c>
      <c r="AD1076" t="s">
        <v>160</v>
      </c>
      <c r="AE1076" s="24">
        <v>98783.25</v>
      </c>
      <c r="AF1076">
        <v>0</v>
      </c>
      <c r="AG1076" s="24">
        <v>98783.25</v>
      </c>
      <c r="AH1076">
        <v>0</v>
      </c>
      <c r="AI1076">
        <v>0</v>
      </c>
      <c r="AJ1076">
        <v>0</v>
      </c>
      <c r="AK1076">
        <v>0</v>
      </c>
      <c r="AL1076" s="24">
        <v>98783.25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 s="24">
        <v>98783.25</v>
      </c>
      <c r="AV1076">
        <v>0</v>
      </c>
      <c r="AW1076">
        <v>0</v>
      </c>
      <c r="AX1076">
        <v>311000</v>
      </c>
      <c r="AY1076" t="s">
        <v>161</v>
      </c>
      <c r="AZ1076">
        <v>49.75</v>
      </c>
      <c r="BA1076">
        <v>49.75</v>
      </c>
      <c r="BB1076">
        <v>0</v>
      </c>
      <c r="BC1076" t="s">
        <v>171</v>
      </c>
      <c r="BD1076">
        <v>1509</v>
      </c>
      <c r="BE1076" t="s">
        <v>169</v>
      </c>
      <c r="BF1076" t="s">
        <v>163</v>
      </c>
      <c r="BG1076" t="s">
        <v>164</v>
      </c>
    </row>
    <row r="1077" spans="1:59">
      <c r="A1077">
        <v>1115</v>
      </c>
      <c r="B1077">
        <v>1115</v>
      </c>
      <c r="C1077">
        <v>10</v>
      </c>
      <c r="D1077">
        <v>2</v>
      </c>
      <c r="E1077" t="s">
        <v>152</v>
      </c>
      <c r="F1077" t="s">
        <v>153</v>
      </c>
      <c r="G1077" t="s">
        <v>154</v>
      </c>
      <c r="H1077">
        <v>1526006595</v>
      </c>
      <c r="I1077">
        <v>1000006870</v>
      </c>
      <c r="L1077" t="s">
        <v>355</v>
      </c>
      <c r="M1077">
        <v>5100001636</v>
      </c>
      <c r="N1077" t="s">
        <v>155</v>
      </c>
      <c r="O1077" t="s">
        <v>156</v>
      </c>
      <c r="P1077">
        <v>4110026445</v>
      </c>
      <c r="Q1077" t="s">
        <v>170</v>
      </c>
      <c r="R1077">
        <v>5000</v>
      </c>
      <c r="S1077" t="s">
        <v>166</v>
      </c>
      <c r="V1077" t="s">
        <v>167</v>
      </c>
      <c r="W1077">
        <v>1502020104</v>
      </c>
      <c r="X1077" t="s">
        <v>26</v>
      </c>
      <c r="Y1077" t="str">
        <f>VLOOKUP(W1077,Sheet4!$A$5:$B$71,2,0)</f>
        <v>RE STYLING</v>
      </c>
      <c r="Z1077">
        <v>87082900</v>
      </c>
      <c r="AA1077">
        <v>15</v>
      </c>
      <c r="AB1077" t="s">
        <v>159</v>
      </c>
      <c r="AC1077" s="24">
        <v>6585.55</v>
      </c>
      <c r="AD1077" t="s">
        <v>160</v>
      </c>
      <c r="AE1077" s="24">
        <v>98783.25</v>
      </c>
      <c r="AF1077">
        <v>0</v>
      </c>
      <c r="AG1077" s="24">
        <v>98783.25</v>
      </c>
      <c r="AH1077">
        <v>0</v>
      </c>
      <c r="AI1077">
        <v>0</v>
      </c>
      <c r="AJ1077">
        <v>0</v>
      </c>
      <c r="AK1077">
        <v>0</v>
      </c>
      <c r="AL1077" s="24">
        <v>98783.25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 s="24">
        <v>98783.25</v>
      </c>
      <c r="AV1077">
        <v>0</v>
      </c>
      <c r="AW1077">
        <v>0</v>
      </c>
      <c r="AX1077">
        <v>311000</v>
      </c>
      <c r="AY1077" t="s">
        <v>161</v>
      </c>
      <c r="AZ1077">
        <v>49.75</v>
      </c>
      <c r="BA1077">
        <v>49.75</v>
      </c>
      <c r="BB1077">
        <v>0</v>
      </c>
      <c r="BC1077" t="s">
        <v>171</v>
      </c>
      <c r="BD1077">
        <v>1509</v>
      </c>
      <c r="BE1077" t="s">
        <v>169</v>
      </c>
      <c r="BF1077" t="s">
        <v>163</v>
      </c>
      <c r="BG1077" t="s">
        <v>164</v>
      </c>
    </row>
    <row r="1078" spans="1:59">
      <c r="A1078">
        <v>1115</v>
      </c>
      <c r="B1078">
        <v>1115</v>
      </c>
      <c r="C1078">
        <v>10</v>
      </c>
      <c r="D1078">
        <v>2</v>
      </c>
      <c r="E1078" t="s">
        <v>152</v>
      </c>
      <c r="F1078" t="s">
        <v>153</v>
      </c>
      <c r="G1078" t="s">
        <v>154</v>
      </c>
      <c r="H1078">
        <v>1526006594</v>
      </c>
      <c r="I1078">
        <v>1000006869</v>
      </c>
      <c r="L1078" t="s">
        <v>355</v>
      </c>
      <c r="M1078">
        <v>5100001636</v>
      </c>
      <c r="N1078" t="s">
        <v>155</v>
      </c>
      <c r="O1078" t="s">
        <v>156</v>
      </c>
      <c r="P1078">
        <v>4110026445</v>
      </c>
      <c r="Q1078" t="s">
        <v>170</v>
      </c>
      <c r="R1078">
        <v>5000</v>
      </c>
      <c r="S1078" t="s">
        <v>166</v>
      </c>
      <c r="V1078" t="s">
        <v>167</v>
      </c>
      <c r="W1078">
        <v>1502020104</v>
      </c>
      <c r="X1078" t="s">
        <v>26</v>
      </c>
      <c r="Y1078" t="str">
        <f>VLOOKUP(W1078,Sheet4!$A$5:$B$71,2,0)</f>
        <v>RE STYLING</v>
      </c>
      <c r="Z1078">
        <v>87082900</v>
      </c>
      <c r="AA1078">
        <v>15</v>
      </c>
      <c r="AB1078" t="s">
        <v>159</v>
      </c>
      <c r="AC1078" s="24">
        <v>6585.55</v>
      </c>
      <c r="AD1078" t="s">
        <v>160</v>
      </c>
      <c r="AE1078" s="24">
        <v>98783.25</v>
      </c>
      <c r="AF1078">
        <v>0</v>
      </c>
      <c r="AG1078" s="24">
        <v>98783.25</v>
      </c>
      <c r="AH1078">
        <v>0</v>
      </c>
      <c r="AI1078">
        <v>0</v>
      </c>
      <c r="AJ1078">
        <v>0</v>
      </c>
      <c r="AK1078">
        <v>0</v>
      </c>
      <c r="AL1078" s="24">
        <v>98783.25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 s="24">
        <v>98783.25</v>
      </c>
      <c r="AV1078">
        <v>0</v>
      </c>
      <c r="AW1078">
        <v>0</v>
      </c>
      <c r="AX1078">
        <v>311000</v>
      </c>
      <c r="AY1078" t="s">
        <v>161</v>
      </c>
      <c r="AZ1078">
        <v>49.75</v>
      </c>
      <c r="BA1078">
        <v>49.75</v>
      </c>
      <c r="BB1078">
        <v>0</v>
      </c>
      <c r="BC1078" t="s">
        <v>171</v>
      </c>
      <c r="BD1078">
        <v>1509</v>
      </c>
      <c r="BE1078" t="s">
        <v>169</v>
      </c>
      <c r="BF1078" t="s">
        <v>163</v>
      </c>
      <c r="BG1078" t="s">
        <v>164</v>
      </c>
    </row>
    <row r="1079" spans="1:59">
      <c r="A1079">
        <v>1115</v>
      </c>
      <c r="B1079">
        <v>1115</v>
      </c>
      <c r="C1079">
        <v>10</v>
      </c>
      <c r="D1079">
        <v>2</v>
      </c>
      <c r="E1079" t="s">
        <v>152</v>
      </c>
      <c r="F1079" t="s">
        <v>153</v>
      </c>
      <c r="G1079" t="s">
        <v>154</v>
      </c>
      <c r="H1079">
        <v>1526006593</v>
      </c>
      <c r="I1079">
        <v>1000006868</v>
      </c>
      <c r="L1079" t="s">
        <v>355</v>
      </c>
      <c r="M1079">
        <v>5100001636</v>
      </c>
      <c r="N1079" t="s">
        <v>155</v>
      </c>
      <c r="O1079" t="s">
        <v>156</v>
      </c>
      <c r="P1079">
        <v>4110026445</v>
      </c>
      <c r="Q1079" t="s">
        <v>170</v>
      </c>
      <c r="R1079">
        <v>5000</v>
      </c>
      <c r="S1079" t="s">
        <v>166</v>
      </c>
      <c r="V1079" t="s">
        <v>167</v>
      </c>
      <c r="W1079">
        <v>1502020104</v>
      </c>
      <c r="X1079" t="s">
        <v>26</v>
      </c>
      <c r="Y1079" t="str">
        <f>VLOOKUP(W1079,Sheet4!$A$5:$B$71,2,0)</f>
        <v>RE STYLING</v>
      </c>
      <c r="Z1079">
        <v>87082900</v>
      </c>
      <c r="AA1079">
        <v>15</v>
      </c>
      <c r="AB1079" t="s">
        <v>159</v>
      </c>
      <c r="AC1079" s="24">
        <v>6585.55</v>
      </c>
      <c r="AD1079" t="s">
        <v>160</v>
      </c>
      <c r="AE1079" s="24">
        <v>98783.25</v>
      </c>
      <c r="AF1079">
        <v>0</v>
      </c>
      <c r="AG1079" s="24">
        <v>98783.25</v>
      </c>
      <c r="AH1079">
        <v>0</v>
      </c>
      <c r="AI1079">
        <v>0</v>
      </c>
      <c r="AJ1079">
        <v>0</v>
      </c>
      <c r="AK1079">
        <v>0</v>
      </c>
      <c r="AL1079" s="24">
        <v>98783.25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 s="24">
        <v>98783.25</v>
      </c>
      <c r="AV1079">
        <v>0</v>
      </c>
      <c r="AW1079">
        <v>0</v>
      </c>
      <c r="AX1079">
        <v>311000</v>
      </c>
      <c r="AY1079" t="s">
        <v>161</v>
      </c>
      <c r="AZ1079">
        <v>49.75</v>
      </c>
      <c r="BA1079">
        <v>49.75</v>
      </c>
      <c r="BB1079">
        <v>0</v>
      </c>
      <c r="BC1079" t="s">
        <v>171</v>
      </c>
      <c r="BD1079">
        <v>1509</v>
      </c>
      <c r="BE1079" t="s">
        <v>169</v>
      </c>
      <c r="BF1079" t="s">
        <v>163</v>
      </c>
      <c r="BG1079" t="s">
        <v>164</v>
      </c>
    </row>
    <row r="1080" spans="1:59">
      <c r="A1080">
        <v>1115</v>
      </c>
      <c r="B1080">
        <v>1115</v>
      </c>
      <c r="C1080">
        <v>10</v>
      </c>
      <c r="D1080">
        <v>2</v>
      </c>
      <c r="E1080" t="s">
        <v>152</v>
      </c>
      <c r="F1080" t="s">
        <v>153</v>
      </c>
      <c r="G1080" t="s">
        <v>154</v>
      </c>
      <c r="H1080">
        <v>1526006592</v>
      </c>
      <c r="I1080">
        <v>1000006867</v>
      </c>
      <c r="L1080" t="s">
        <v>355</v>
      </c>
      <c r="M1080">
        <v>5100001636</v>
      </c>
      <c r="N1080" t="s">
        <v>155</v>
      </c>
      <c r="O1080" t="s">
        <v>156</v>
      </c>
      <c r="P1080">
        <v>4110026445</v>
      </c>
      <c r="Q1080" t="s">
        <v>170</v>
      </c>
      <c r="R1080">
        <v>5000</v>
      </c>
      <c r="S1080" t="s">
        <v>166</v>
      </c>
      <c r="V1080" t="s">
        <v>167</v>
      </c>
      <c r="W1080">
        <v>1502020104</v>
      </c>
      <c r="X1080" t="s">
        <v>26</v>
      </c>
      <c r="Y1080" t="str">
        <f>VLOOKUP(W1080,Sheet4!$A$5:$B$71,2,0)</f>
        <v>RE STYLING</v>
      </c>
      <c r="Z1080">
        <v>87082900</v>
      </c>
      <c r="AA1080">
        <v>15</v>
      </c>
      <c r="AB1080" t="s">
        <v>159</v>
      </c>
      <c r="AC1080" s="24">
        <v>6585.55</v>
      </c>
      <c r="AD1080" t="s">
        <v>160</v>
      </c>
      <c r="AE1080" s="24">
        <v>98783.25</v>
      </c>
      <c r="AF1080">
        <v>0</v>
      </c>
      <c r="AG1080" s="24">
        <v>98783.25</v>
      </c>
      <c r="AH1080">
        <v>0</v>
      </c>
      <c r="AI1080">
        <v>0</v>
      </c>
      <c r="AJ1080">
        <v>0</v>
      </c>
      <c r="AK1080">
        <v>0</v>
      </c>
      <c r="AL1080" s="24">
        <v>98783.25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 s="24">
        <v>98783.25</v>
      </c>
      <c r="AV1080">
        <v>0</v>
      </c>
      <c r="AW1080">
        <v>0</v>
      </c>
      <c r="AX1080">
        <v>311000</v>
      </c>
      <c r="AY1080" t="s">
        <v>161</v>
      </c>
      <c r="AZ1080">
        <v>49.75</v>
      </c>
      <c r="BA1080">
        <v>49.75</v>
      </c>
      <c r="BB1080">
        <v>0</v>
      </c>
      <c r="BC1080" t="s">
        <v>171</v>
      </c>
      <c r="BD1080">
        <v>1509</v>
      </c>
      <c r="BE1080" t="s">
        <v>169</v>
      </c>
      <c r="BF1080" t="s">
        <v>163</v>
      </c>
      <c r="BG1080" t="s">
        <v>164</v>
      </c>
    </row>
    <row r="1081" spans="1:59">
      <c r="A1081">
        <v>1115</v>
      </c>
      <c r="B1081">
        <v>1115</v>
      </c>
      <c r="C1081">
        <v>10</v>
      </c>
      <c r="D1081">
        <v>2</v>
      </c>
      <c r="E1081" t="s">
        <v>152</v>
      </c>
      <c r="F1081" t="s">
        <v>153</v>
      </c>
      <c r="G1081" t="s">
        <v>154</v>
      </c>
      <c r="H1081">
        <v>1526006591</v>
      </c>
      <c r="I1081">
        <v>1000006866</v>
      </c>
      <c r="L1081" t="s">
        <v>355</v>
      </c>
      <c r="M1081">
        <v>5100001636</v>
      </c>
      <c r="N1081" t="s">
        <v>155</v>
      </c>
      <c r="O1081" t="s">
        <v>156</v>
      </c>
      <c r="P1081">
        <v>4110026445</v>
      </c>
      <c r="Q1081" t="s">
        <v>170</v>
      </c>
      <c r="R1081">
        <v>5000</v>
      </c>
      <c r="S1081" t="s">
        <v>166</v>
      </c>
      <c r="V1081" t="s">
        <v>167</v>
      </c>
      <c r="W1081">
        <v>1502020104</v>
      </c>
      <c r="X1081" t="s">
        <v>26</v>
      </c>
      <c r="Y1081" t="str">
        <f>VLOOKUP(W1081,Sheet4!$A$5:$B$71,2,0)</f>
        <v>RE STYLING</v>
      </c>
      <c r="Z1081">
        <v>87082900</v>
      </c>
      <c r="AA1081">
        <v>15</v>
      </c>
      <c r="AB1081" t="s">
        <v>159</v>
      </c>
      <c r="AC1081" s="24">
        <v>6585.55</v>
      </c>
      <c r="AD1081" t="s">
        <v>160</v>
      </c>
      <c r="AE1081" s="24">
        <v>98783.25</v>
      </c>
      <c r="AF1081">
        <v>0</v>
      </c>
      <c r="AG1081" s="24">
        <v>98783.25</v>
      </c>
      <c r="AH1081">
        <v>0</v>
      </c>
      <c r="AI1081">
        <v>0</v>
      </c>
      <c r="AJ1081">
        <v>0</v>
      </c>
      <c r="AK1081">
        <v>0</v>
      </c>
      <c r="AL1081" s="24">
        <v>98783.25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 s="24">
        <v>98783.25</v>
      </c>
      <c r="AV1081">
        <v>0</v>
      </c>
      <c r="AW1081">
        <v>0</v>
      </c>
      <c r="AX1081">
        <v>311000</v>
      </c>
      <c r="AY1081" t="s">
        <v>161</v>
      </c>
      <c r="AZ1081">
        <v>49.75</v>
      </c>
      <c r="BA1081">
        <v>49.75</v>
      </c>
      <c r="BB1081">
        <v>0</v>
      </c>
      <c r="BC1081" t="s">
        <v>171</v>
      </c>
      <c r="BD1081">
        <v>1509</v>
      </c>
      <c r="BE1081" t="s">
        <v>169</v>
      </c>
      <c r="BF1081" t="s">
        <v>163</v>
      </c>
      <c r="BG1081" t="s">
        <v>164</v>
      </c>
    </row>
    <row r="1082" spans="1:59">
      <c r="A1082">
        <v>1115</v>
      </c>
      <c r="B1082">
        <v>1115</v>
      </c>
      <c r="C1082">
        <v>10</v>
      </c>
      <c r="D1082">
        <v>2</v>
      </c>
      <c r="E1082" t="s">
        <v>152</v>
      </c>
      <c r="F1082" t="s">
        <v>153</v>
      </c>
      <c r="G1082" t="s">
        <v>154</v>
      </c>
      <c r="H1082">
        <v>1526006590</v>
      </c>
      <c r="I1082">
        <v>1000006865</v>
      </c>
      <c r="L1082" t="s">
        <v>355</v>
      </c>
      <c r="M1082">
        <v>5100001636</v>
      </c>
      <c r="N1082" t="s">
        <v>155</v>
      </c>
      <c r="O1082" t="s">
        <v>156</v>
      </c>
      <c r="P1082">
        <v>4110026445</v>
      </c>
      <c r="Q1082" t="s">
        <v>170</v>
      </c>
      <c r="R1082">
        <v>5000</v>
      </c>
      <c r="S1082" t="s">
        <v>166</v>
      </c>
      <c r="V1082" t="s">
        <v>167</v>
      </c>
      <c r="W1082">
        <v>1502020104</v>
      </c>
      <c r="X1082" t="s">
        <v>26</v>
      </c>
      <c r="Y1082" t="str">
        <f>VLOOKUP(W1082,Sheet4!$A$5:$B$71,2,0)</f>
        <v>RE STYLING</v>
      </c>
      <c r="Z1082">
        <v>87082900</v>
      </c>
      <c r="AA1082">
        <v>15</v>
      </c>
      <c r="AB1082" t="s">
        <v>159</v>
      </c>
      <c r="AC1082" s="24">
        <v>6585.55</v>
      </c>
      <c r="AD1082" t="s">
        <v>160</v>
      </c>
      <c r="AE1082" s="24">
        <v>98783.25</v>
      </c>
      <c r="AF1082">
        <v>0</v>
      </c>
      <c r="AG1082" s="24">
        <v>98783.25</v>
      </c>
      <c r="AH1082">
        <v>0</v>
      </c>
      <c r="AI1082">
        <v>0</v>
      </c>
      <c r="AJ1082">
        <v>0</v>
      </c>
      <c r="AK1082">
        <v>0</v>
      </c>
      <c r="AL1082" s="24">
        <v>98783.25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 s="24">
        <v>98783.25</v>
      </c>
      <c r="AV1082">
        <v>0</v>
      </c>
      <c r="AW1082">
        <v>0</v>
      </c>
      <c r="AX1082">
        <v>311000</v>
      </c>
      <c r="AY1082" t="s">
        <v>161</v>
      </c>
      <c r="AZ1082">
        <v>49.75</v>
      </c>
      <c r="BA1082">
        <v>49.75</v>
      </c>
      <c r="BB1082">
        <v>0</v>
      </c>
      <c r="BC1082" t="s">
        <v>171</v>
      </c>
      <c r="BD1082">
        <v>1509</v>
      </c>
      <c r="BE1082" t="s">
        <v>169</v>
      </c>
      <c r="BF1082" t="s">
        <v>163</v>
      </c>
      <c r="BG1082" t="s">
        <v>164</v>
      </c>
    </row>
    <row r="1083" spans="1:59">
      <c r="A1083">
        <v>1115</v>
      </c>
      <c r="B1083">
        <v>1115</v>
      </c>
      <c r="C1083">
        <v>10</v>
      </c>
      <c r="D1083">
        <v>2</v>
      </c>
      <c r="E1083" t="s">
        <v>152</v>
      </c>
      <c r="F1083" t="s">
        <v>153</v>
      </c>
      <c r="G1083" t="s">
        <v>154</v>
      </c>
      <c r="H1083">
        <v>1526006589</v>
      </c>
      <c r="I1083">
        <v>1000006864</v>
      </c>
      <c r="L1083" t="s">
        <v>355</v>
      </c>
      <c r="M1083">
        <v>5100001636</v>
      </c>
      <c r="N1083" t="s">
        <v>155</v>
      </c>
      <c r="O1083" t="s">
        <v>156</v>
      </c>
      <c r="P1083">
        <v>4110026445</v>
      </c>
      <c r="Q1083" t="s">
        <v>170</v>
      </c>
      <c r="R1083">
        <v>5000</v>
      </c>
      <c r="S1083" t="s">
        <v>166</v>
      </c>
      <c r="V1083" t="s">
        <v>167</v>
      </c>
      <c r="W1083">
        <v>1502020104</v>
      </c>
      <c r="X1083" t="s">
        <v>26</v>
      </c>
      <c r="Y1083" t="str">
        <f>VLOOKUP(W1083,Sheet4!$A$5:$B$71,2,0)</f>
        <v>RE STYLING</v>
      </c>
      <c r="Z1083">
        <v>87082900</v>
      </c>
      <c r="AA1083">
        <v>15</v>
      </c>
      <c r="AB1083" t="s">
        <v>159</v>
      </c>
      <c r="AC1083" s="24">
        <v>6585.55</v>
      </c>
      <c r="AD1083" t="s">
        <v>160</v>
      </c>
      <c r="AE1083" s="24">
        <v>98783.25</v>
      </c>
      <c r="AF1083">
        <v>0</v>
      </c>
      <c r="AG1083" s="24">
        <v>98783.25</v>
      </c>
      <c r="AH1083">
        <v>0</v>
      </c>
      <c r="AI1083">
        <v>0</v>
      </c>
      <c r="AJ1083">
        <v>0</v>
      </c>
      <c r="AK1083">
        <v>0</v>
      </c>
      <c r="AL1083" s="24">
        <v>98783.25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 s="24">
        <v>98783.25</v>
      </c>
      <c r="AV1083">
        <v>0</v>
      </c>
      <c r="AW1083">
        <v>0</v>
      </c>
      <c r="AX1083">
        <v>311000</v>
      </c>
      <c r="AY1083" t="s">
        <v>161</v>
      </c>
      <c r="AZ1083">
        <v>49.75</v>
      </c>
      <c r="BA1083">
        <v>49.75</v>
      </c>
      <c r="BB1083">
        <v>0</v>
      </c>
      <c r="BC1083" t="s">
        <v>171</v>
      </c>
      <c r="BD1083">
        <v>1509</v>
      </c>
      <c r="BE1083" t="s">
        <v>169</v>
      </c>
      <c r="BF1083" t="s">
        <v>163</v>
      </c>
      <c r="BG1083" t="s">
        <v>164</v>
      </c>
    </row>
    <row r="1084" spans="1:59">
      <c r="A1084">
        <v>1115</v>
      </c>
      <c r="B1084">
        <v>1115</v>
      </c>
      <c r="C1084">
        <v>10</v>
      </c>
      <c r="D1084">
        <v>2</v>
      </c>
      <c r="E1084" t="s">
        <v>152</v>
      </c>
      <c r="F1084" t="s">
        <v>153</v>
      </c>
      <c r="G1084" t="s">
        <v>154</v>
      </c>
      <c r="H1084">
        <v>1526006588</v>
      </c>
      <c r="I1084">
        <v>1000006863</v>
      </c>
      <c r="L1084" t="s">
        <v>355</v>
      </c>
      <c r="M1084">
        <v>5100001636</v>
      </c>
      <c r="N1084" t="s">
        <v>155</v>
      </c>
      <c r="O1084" t="s">
        <v>156</v>
      </c>
      <c r="P1084">
        <v>4110026445</v>
      </c>
      <c r="Q1084" t="s">
        <v>170</v>
      </c>
      <c r="R1084">
        <v>5000</v>
      </c>
      <c r="S1084" t="s">
        <v>166</v>
      </c>
      <c r="V1084" t="s">
        <v>167</v>
      </c>
      <c r="W1084">
        <v>1502020104</v>
      </c>
      <c r="X1084" t="s">
        <v>26</v>
      </c>
      <c r="Y1084" t="str">
        <f>VLOOKUP(W1084,Sheet4!$A$5:$B$71,2,0)</f>
        <v>RE STYLING</v>
      </c>
      <c r="Z1084">
        <v>87082900</v>
      </c>
      <c r="AA1084">
        <v>15</v>
      </c>
      <c r="AB1084" t="s">
        <v>159</v>
      </c>
      <c r="AC1084" s="24">
        <v>6585.55</v>
      </c>
      <c r="AD1084" t="s">
        <v>160</v>
      </c>
      <c r="AE1084" s="24">
        <v>98783.25</v>
      </c>
      <c r="AF1084">
        <v>0</v>
      </c>
      <c r="AG1084" s="24">
        <v>98783.25</v>
      </c>
      <c r="AH1084">
        <v>0</v>
      </c>
      <c r="AI1084">
        <v>0</v>
      </c>
      <c r="AJ1084">
        <v>0</v>
      </c>
      <c r="AK1084">
        <v>0</v>
      </c>
      <c r="AL1084" s="24">
        <v>98783.25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 s="24">
        <v>98783.25</v>
      </c>
      <c r="AV1084">
        <v>0</v>
      </c>
      <c r="AW1084">
        <v>0</v>
      </c>
      <c r="AX1084">
        <v>311000</v>
      </c>
      <c r="AY1084" t="s">
        <v>161</v>
      </c>
      <c r="AZ1084">
        <v>49.75</v>
      </c>
      <c r="BA1084">
        <v>49.75</v>
      </c>
      <c r="BB1084">
        <v>0</v>
      </c>
      <c r="BC1084" t="s">
        <v>171</v>
      </c>
      <c r="BD1084">
        <v>1509</v>
      </c>
      <c r="BE1084" t="s">
        <v>169</v>
      </c>
      <c r="BF1084" t="s">
        <v>163</v>
      </c>
      <c r="BG1084" t="s">
        <v>164</v>
      </c>
    </row>
    <row r="1085" spans="1:59">
      <c r="A1085">
        <v>1115</v>
      </c>
      <c r="B1085">
        <v>1115</v>
      </c>
      <c r="C1085">
        <v>10</v>
      </c>
      <c r="D1085">
        <v>2</v>
      </c>
      <c r="E1085" t="s">
        <v>152</v>
      </c>
      <c r="F1085" t="s">
        <v>153</v>
      </c>
      <c r="G1085" t="s">
        <v>154</v>
      </c>
      <c r="H1085">
        <v>1526006587</v>
      </c>
      <c r="I1085">
        <v>1000006862</v>
      </c>
      <c r="L1085" t="s">
        <v>355</v>
      </c>
      <c r="M1085">
        <v>5100001636</v>
      </c>
      <c r="N1085" t="s">
        <v>155</v>
      </c>
      <c r="O1085" t="s">
        <v>156</v>
      </c>
      <c r="P1085">
        <v>4110026445</v>
      </c>
      <c r="Q1085" t="s">
        <v>170</v>
      </c>
      <c r="R1085">
        <v>5000</v>
      </c>
      <c r="S1085" t="s">
        <v>166</v>
      </c>
      <c r="V1085" t="s">
        <v>167</v>
      </c>
      <c r="W1085">
        <v>1502020104</v>
      </c>
      <c r="X1085" t="s">
        <v>26</v>
      </c>
      <c r="Y1085" t="str">
        <f>VLOOKUP(W1085,Sheet4!$A$5:$B$71,2,0)</f>
        <v>RE STYLING</v>
      </c>
      <c r="Z1085">
        <v>87082900</v>
      </c>
      <c r="AA1085">
        <v>15</v>
      </c>
      <c r="AB1085" t="s">
        <v>159</v>
      </c>
      <c r="AC1085" s="24">
        <v>6585.55</v>
      </c>
      <c r="AD1085" t="s">
        <v>160</v>
      </c>
      <c r="AE1085" s="24">
        <v>98783.25</v>
      </c>
      <c r="AF1085">
        <v>0</v>
      </c>
      <c r="AG1085" s="24">
        <v>98783.25</v>
      </c>
      <c r="AH1085">
        <v>0</v>
      </c>
      <c r="AI1085">
        <v>0</v>
      </c>
      <c r="AJ1085">
        <v>0</v>
      </c>
      <c r="AK1085">
        <v>0</v>
      </c>
      <c r="AL1085" s="24">
        <v>98783.25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 s="24">
        <v>98783.25</v>
      </c>
      <c r="AV1085">
        <v>0</v>
      </c>
      <c r="AW1085">
        <v>0</v>
      </c>
      <c r="AX1085">
        <v>311000</v>
      </c>
      <c r="AY1085" t="s">
        <v>161</v>
      </c>
      <c r="AZ1085">
        <v>49.75</v>
      </c>
      <c r="BA1085">
        <v>49.75</v>
      </c>
      <c r="BB1085">
        <v>0</v>
      </c>
      <c r="BC1085" t="s">
        <v>171</v>
      </c>
      <c r="BD1085">
        <v>1509</v>
      </c>
      <c r="BE1085" t="s">
        <v>169</v>
      </c>
      <c r="BF1085" t="s">
        <v>163</v>
      </c>
      <c r="BG1085" t="s">
        <v>164</v>
      </c>
    </row>
    <row r="1086" spans="1:59">
      <c r="A1086">
        <v>1115</v>
      </c>
      <c r="B1086">
        <v>1115</v>
      </c>
      <c r="C1086">
        <v>10</v>
      </c>
      <c r="D1086">
        <v>2</v>
      </c>
      <c r="E1086" t="s">
        <v>152</v>
      </c>
      <c r="F1086" t="s">
        <v>153</v>
      </c>
      <c r="G1086" t="s">
        <v>154</v>
      </c>
      <c r="H1086">
        <v>1526006586</v>
      </c>
      <c r="I1086">
        <v>1000006861</v>
      </c>
      <c r="L1086" t="s">
        <v>355</v>
      </c>
      <c r="M1086">
        <v>5100001636</v>
      </c>
      <c r="N1086" t="s">
        <v>155</v>
      </c>
      <c r="O1086" t="s">
        <v>156</v>
      </c>
      <c r="P1086">
        <v>4110026445</v>
      </c>
      <c r="Q1086" t="s">
        <v>170</v>
      </c>
      <c r="R1086">
        <v>5000</v>
      </c>
      <c r="S1086" t="s">
        <v>166</v>
      </c>
      <c r="V1086" t="s">
        <v>167</v>
      </c>
      <c r="W1086">
        <v>1502020104</v>
      </c>
      <c r="X1086" t="s">
        <v>26</v>
      </c>
      <c r="Y1086" t="str">
        <f>VLOOKUP(W1086,Sheet4!$A$5:$B$71,2,0)</f>
        <v>RE STYLING</v>
      </c>
      <c r="Z1086">
        <v>87082900</v>
      </c>
      <c r="AA1086">
        <v>15</v>
      </c>
      <c r="AB1086" t="s">
        <v>159</v>
      </c>
      <c r="AC1086" s="24">
        <v>6585.55</v>
      </c>
      <c r="AD1086" t="s">
        <v>160</v>
      </c>
      <c r="AE1086" s="24">
        <v>98783.25</v>
      </c>
      <c r="AF1086">
        <v>0</v>
      </c>
      <c r="AG1086" s="24">
        <v>98783.25</v>
      </c>
      <c r="AH1086">
        <v>0</v>
      </c>
      <c r="AI1086">
        <v>0</v>
      </c>
      <c r="AJ1086">
        <v>0</v>
      </c>
      <c r="AK1086">
        <v>0</v>
      </c>
      <c r="AL1086" s="24">
        <v>98783.25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 s="24">
        <v>98783.25</v>
      </c>
      <c r="AV1086">
        <v>0</v>
      </c>
      <c r="AW1086">
        <v>0</v>
      </c>
      <c r="AX1086">
        <v>311000</v>
      </c>
      <c r="AY1086" t="s">
        <v>161</v>
      </c>
      <c r="AZ1086">
        <v>49.75</v>
      </c>
      <c r="BA1086">
        <v>49.75</v>
      </c>
      <c r="BB1086">
        <v>0</v>
      </c>
      <c r="BC1086" t="s">
        <v>171</v>
      </c>
      <c r="BD1086">
        <v>1509</v>
      </c>
      <c r="BE1086" t="s">
        <v>169</v>
      </c>
      <c r="BF1086" t="s">
        <v>163</v>
      </c>
      <c r="BG1086" t="s">
        <v>164</v>
      </c>
    </row>
    <row r="1087" spans="1:59">
      <c r="A1087">
        <v>1115</v>
      </c>
      <c r="B1087">
        <v>1115</v>
      </c>
      <c r="C1087">
        <v>10</v>
      </c>
      <c r="D1087">
        <v>2</v>
      </c>
      <c r="E1087" t="s">
        <v>152</v>
      </c>
      <c r="F1087" t="s">
        <v>153</v>
      </c>
      <c r="G1087" t="s">
        <v>154</v>
      </c>
      <c r="H1087">
        <v>1526006585</v>
      </c>
      <c r="I1087">
        <v>1000006860</v>
      </c>
      <c r="L1087" t="s">
        <v>355</v>
      </c>
      <c r="M1087">
        <v>5100001227</v>
      </c>
      <c r="N1087" t="s">
        <v>155</v>
      </c>
      <c r="O1087" t="s">
        <v>156</v>
      </c>
      <c r="P1087">
        <v>4110011319</v>
      </c>
      <c r="Q1087" t="s">
        <v>175</v>
      </c>
      <c r="R1087">
        <v>5000</v>
      </c>
      <c r="S1087" t="s">
        <v>166</v>
      </c>
      <c r="V1087" t="s">
        <v>167</v>
      </c>
      <c r="W1087">
        <v>1502020074</v>
      </c>
      <c r="X1087" t="s">
        <v>28</v>
      </c>
      <c r="Y1087" t="str">
        <f>VLOOKUP(W1087,Sheet4!$A$5:$B$71,2,0)</f>
        <v>MAX UG NEW</v>
      </c>
      <c r="Z1087">
        <v>87082900</v>
      </c>
      <c r="AA1087">
        <v>10</v>
      </c>
      <c r="AB1087" t="s">
        <v>159</v>
      </c>
      <c r="AC1087" s="24">
        <v>9397.5</v>
      </c>
      <c r="AD1087" t="s">
        <v>160</v>
      </c>
      <c r="AE1087" s="24">
        <v>93975</v>
      </c>
      <c r="AF1087">
        <v>0</v>
      </c>
      <c r="AG1087" s="24">
        <v>93975</v>
      </c>
      <c r="AH1087">
        <v>0</v>
      </c>
      <c r="AI1087">
        <v>0</v>
      </c>
      <c r="AJ1087">
        <v>0</v>
      </c>
      <c r="AK1087">
        <v>0</v>
      </c>
      <c r="AL1087" s="24">
        <v>93975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 s="24">
        <v>93975</v>
      </c>
      <c r="AV1087">
        <v>0</v>
      </c>
      <c r="AW1087">
        <v>0</v>
      </c>
      <c r="AX1087">
        <v>311000</v>
      </c>
      <c r="AY1087" t="s">
        <v>161</v>
      </c>
      <c r="AZ1087">
        <v>69.5</v>
      </c>
      <c r="BA1087">
        <v>69.5</v>
      </c>
      <c r="BB1087">
        <v>0</v>
      </c>
      <c r="BC1087" t="s">
        <v>176</v>
      </c>
      <c r="BD1087">
        <v>1509</v>
      </c>
      <c r="BE1087" t="s">
        <v>169</v>
      </c>
      <c r="BF1087" t="s">
        <v>163</v>
      </c>
      <c r="BG1087" t="s">
        <v>164</v>
      </c>
    </row>
    <row r="1088" spans="1:59">
      <c r="A1088">
        <v>1115</v>
      </c>
      <c r="B1088">
        <v>1115</v>
      </c>
      <c r="C1088">
        <v>10</v>
      </c>
      <c r="D1088">
        <v>2</v>
      </c>
      <c r="E1088" t="s">
        <v>152</v>
      </c>
      <c r="F1088" t="s">
        <v>153</v>
      </c>
      <c r="G1088" t="s">
        <v>154</v>
      </c>
      <c r="H1088">
        <v>1526006584</v>
      </c>
      <c r="I1088">
        <v>1000006859</v>
      </c>
      <c r="L1088" t="s">
        <v>355</v>
      </c>
      <c r="M1088">
        <v>5100001227</v>
      </c>
      <c r="N1088" t="s">
        <v>155</v>
      </c>
      <c r="O1088" t="s">
        <v>156</v>
      </c>
      <c r="P1088">
        <v>4110011319</v>
      </c>
      <c r="Q1088" t="s">
        <v>175</v>
      </c>
      <c r="R1088">
        <v>5000</v>
      </c>
      <c r="S1088" t="s">
        <v>166</v>
      </c>
      <c r="V1088" t="s">
        <v>167</v>
      </c>
      <c r="W1088">
        <v>1502020074</v>
      </c>
      <c r="X1088" t="s">
        <v>28</v>
      </c>
      <c r="Y1088" t="str">
        <f>VLOOKUP(W1088,Sheet4!$A$5:$B$71,2,0)</f>
        <v>MAX UG NEW</v>
      </c>
      <c r="Z1088">
        <v>87082900</v>
      </c>
      <c r="AA1088">
        <v>10</v>
      </c>
      <c r="AB1088" t="s">
        <v>159</v>
      </c>
      <c r="AC1088" s="24">
        <v>9397.5</v>
      </c>
      <c r="AD1088" t="s">
        <v>160</v>
      </c>
      <c r="AE1088" s="24">
        <v>93975</v>
      </c>
      <c r="AF1088">
        <v>0</v>
      </c>
      <c r="AG1088" s="24">
        <v>93975</v>
      </c>
      <c r="AH1088">
        <v>0</v>
      </c>
      <c r="AI1088">
        <v>0</v>
      </c>
      <c r="AJ1088">
        <v>0</v>
      </c>
      <c r="AK1088">
        <v>0</v>
      </c>
      <c r="AL1088" s="24">
        <v>93975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 s="24">
        <v>93975</v>
      </c>
      <c r="AV1088">
        <v>0</v>
      </c>
      <c r="AW1088">
        <v>0</v>
      </c>
      <c r="AX1088">
        <v>311000</v>
      </c>
      <c r="AY1088" t="s">
        <v>161</v>
      </c>
      <c r="AZ1088">
        <v>69.5</v>
      </c>
      <c r="BA1088">
        <v>69.5</v>
      </c>
      <c r="BB1088">
        <v>0</v>
      </c>
      <c r="BC1088" t="s">
        <v>176</v>
      </c>
      <c r="BD1088">
        <v>1509</v>
      </c>
      <c r="BE1088" t="s">
        <v>169</v>
      </c>
      <c r="BF1088" t="s">
        <v>163</v>
      </c>
      <c r="BG1088" t="s">
        <v>164</v>
      </c>
    </row>
    <row r="1089" spans="1:59">
      <c r="A1089">
        <v>1115</v>
      </c>
      <c r="B1089">
        <v>1115</v>
      </c>
      <c r="C1089">
        <v>10</v>
      </c>
      <c r="D1089">
        <v>2</v>
      </c>
      <c r="E1089" t="s">
        <v>152</v>
      </c>
      <c r="F1089" t="s">
        <v>153</v>
      </c>
      <c r="G1089" t="s">
        <v>154</v>
      </c>
      <c r="H1089">
        <v>1526006583</v>
      </c>
      <c r="I1089">
        <v>1000006858</v>
      </c>
      <c r="L1089" t="s">
        <v>355</v>
      </c>
      <c r="M1089">
        <v>5100001227</v>
      </c>
      <c r="N1089" t="s">
        <v>155</v>
      </c>
      <c r="O1089" t="s">
        <v>156</v>
      </c>
      <c r="P1089">
        <v>4110011319</v>
      </c>
      <c r="Q1089" t="s">
        <v>175</v>
      </c>
      <c r="R1089">
        <v>5000</v>
      </c>
      <c r="S1089" t="s">
        <v>166</v>
      </c>
      <c r="V1089" t="s">
        <v>167</v>
      </c>
      <c r="W1089">
        <v>1502020074</v>
      </c>
      <c r="X1089" t="s">
        <v>28</v>
      </c>
      <c r="Y1089" t="str">
        <f>VLOOKUP(W1089,Sheet4!$A$5:$B$71,2,0)</f>
        <v>MAX UG NEW</v>
      </c>
      <c r="Z1089">
        <v>87082900</v>
      </c>
      <c r="AA1089">
        <v>10</v>
      </c>
      <c r="AB1089" t="s">
        <v>159</v>
      </c>
      <c r="AC1089" s="24">
        <v>9397.5</v>
      </c>
      <c r="AD1089" t="s">
        <v>160</v>
      </c>
      <c r="AE1089" s="24">
        <v>93975</v>
      </c>
      <c r="AF1089">
        <v>0</v>
      </c>
      <c r="AG1089" s="24">
        <v>93975</v>
      </c>
      <c r="AH1089">
        <v>0</v>
      </c>
      <c r="AI1089">
        <v>0</v>
      </c>
      <c r="AJ1089">
        <v>0</v>
      </c>
      <c r="AK1089">
        <v>0</v>
      </c>
      <c r="AL1089" s="24">
        <v>93975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 s="24">
        <v>93975</v>
      </c>
      <c r="AV1089">
        <v>0</v>
      </c>
      <c r="AW1089">
        <v>0</v>
      </c>
      <c r="AX1089">
        <v>311000</v>
      </c>
      <c r="AY1089" t="s">
        <v>161</v>
      </c>
      <c r="AZ1089">
        <v>69.5</v>
      </c>
      <c r="BA1089">
        <v>69.5</v>
      </c>
      <c r="BB1089">
        <v>0</v>
      </c>
      <c r="BC1089" t="s">
        <v>176</v>
      </c>
      <c r="BD1089">
        <v>1509</v>
      </c>
      <c r="BE1089" t="s">
        <v>169</v>
      </c>
      <c r="BF1089" t="s">
        <v>163</v>
      </c>
      <c r="BG1089" t="s">
        <v>164</v>
      </c>
    </row>
    <row r="1090" spans="1:59">
      <c r="A1090">
        <v>1115</v>
      </c>
      <c r="B1090">
        <v>1115</v>
      </c>
      <c r="C1090">
        <v>10</v>
      </c>
      <c r="D1090">
        <v>2</v>
      </c>
      <c r="E1090" t="s">
        <v>152</v>
      </c>
      <c r="F1090" t="s">
        <v>153</v>
      </c>
      <c r="G1090" t="s">
        <v>154</v>
      </c>
      <c r="H1090">
        <v>1526006582</v>
      </c>
      <c r="I1090">
        <v>1000006857</v>
      </c>
      <c r="L1090" t="s">
        <v>355</v>
      </c>
      <c r="M1090">
        <v>5100001227</v>
      </c>
      <c r="N1090" t="s">
        <v>155</v>
      </c>
      <c r="O1090" t="s">
        <v>156</v>
      </c>
      <c r="P1090">
        <v>4110011319</v>
      </c>
      <c r="Q1090" t="s">
        <v>175</v>
      </c>
      <c r="R1090">
        <v>5000</v>
      </c>
      <c r="S1090" t="s">
        <v>166</v>
      </c>
      <c r="V1090" t="s">
        <v>167</v>
      </c>
      <c r="W1090">
        <v>1502020074</v>
      </c>
      <c r="X1090" t="s">
        <v>28</v>
      </c>
      <c r="Y1090" t="str">
        <f>VLOOKUP(W1090,Sheet4!$A$5:$B$71,2,0)</f>
        <v>MAX UG NEW</v>
      </c>
      <c r="Z1090">
        <v>87082900</v>
      </c>
      <c r="AA1090">
        <v>10</v>
      </c>
      <c r="AB1090" t="s">
        <v>159</v>
      </c>
      <c r="AC1090" s="24">
        <v>9397.5</v>
      </c>
      <c r="AD1090" t="s">
        <v>160</v>
      </c>
      <c r="AE1090" s="24">
        <v>93975</v>
      </c>
      <c r="AF1090">
        <v>0</v>
      </c>
      <c r="AG1090" s="24">
        <v>93975</v>
      </c>
      <c r="AH1090">
        <v>0</v>
      </c>
      <c r="AI1090">
        <v>0</v>
      </c>
      <c r="AJ1090">
        <v>0</v>
      </c>
      <c r="AK1090">
        <v>0</v>
      </c>
      <c r="AL1090" s="24">
        <v>93975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 s="24">
        <v>93975</v>
      </c>
      <c r="AV1090">
        <v>0</v>
      </c>
      <c r="AW1090">
        <v>0</v>
      </c>
      <c r="AX1090">
        <v>311000</v>
      </c>
      <c r="AY1090" t="s">
        <v>161</v>
      </c>
      <c r="AZ1090">
        <v>69.5</v>
      </c>
      <c r="BA1090">
        <v>69.5</v>
      </c>
      <c r="BB1090">
        <v>0</v>
      </c>
      <c r="BC1090" t="s">
        <v>176</v>
      </c>
      <c r="BD1090">
        <v>1509</v>
      </c>
      <c r="BE1090" t="s">
        <v>169</v>
      </c>
      <c r="BF1090" t="s">
        <v>163</v>
      </c>
      <c r="BG1090" t="s">
        <v>164</v>
      </c>
    </row>
    <row r="1091" spans="1:59">
      <c r="A1091">
        <v>1115</v>
      </c>
      <c r="B1091">
        <v>1115</v>
      </c>
      <c r="C1091">
        <v>10</v>
      </c>
      <c r="D1091">
        <v>2</v>
      </c>
      <c r="E1091" t="s">
        <v>152</v>
      </c>
      <c r="F1091" t="s">
        <v>153</v>
      </c>
      <c r="G1091" t="s">
        <v>154</v>
      </c>
      <c r="H1091">
        <v>1526006581</v>
      </c>
      <c r="I1091">
        <v>1000006856</v>
      </c>
      <c r="L1091" t="s">
        <v>355</v>
      </c>
      <c r="M1091">
        <v>5100001227</v>
      </c>
      <c r="N1091" t="s">
        <v>155</v>
      </c>
      <c r="O1091" t="s">
        <v>156</v>
      </c>
      <c r="P1091">
        <v>4110011319</v>
      </c>
      <c r="Q1091" t="s">
        <v>175</v>
      </c>
      <c r="R1091">
        <v>5000</v>
      </c>
      <c r="S1091" t="s">
        <v>166</v>
      </c>
      <c r="V1091" t="s">
        <v>167</v>
      </c>
      <c r="W1091">
        <v>1502020074</v>
      </c>
      <c r="X1091" t="s">
        <v>28</v>
      </c>
      <c r="Y1091" t="str">
        <f>VLOOKUP(W1091,Sheet4!$A$5:$B$71,2,0)</f>
        <v>MAX UG NEW</v>
      </c>
      <c r="Z1091">
        <v>87082900</v>
      </c>
      <c r="AA1091">
        <v>10</v>
      </c>
      <c r="AB1091" t="s">
        <v>159</v>
      </c>
      <c r="AC1091" s="24">
        <v>9397.5</v>
      </c>
      <c r="AD1091" t="s">
        <v>160</v>
      </c>
      <c r="AE1091" s="24">
        <v>93975</v>
      </c>
      <c r="AF1091">
        <v>0</v>
      </c>
      <c r="AG1091" s="24">
        <v>93975</v>
      </c>
      <c r="AH1091">
        <v>0</v>
      </c>
      <c r="AI1091">
        <v>0</v>
      </c>
      <c r="AJ1091">
        <v>0</v>
      </c>
      <c r="AK1091">
        <v>0</v>
      </c>
      <c r="AL1091" s="24">
        <v>93975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 s="24">
        <v>93975</v>
      </c>
      <c r="AV1091">
        <v>0</v>
      </c>
      <c r="AW1091">
        <v>0</v>
      </c>
      <c r="AX1091">
        <v>311000</v>
      </c>
      <c r="AY1091" t="s">
        <v>161</v>
      </c>
      <c r="AZ1091">
        <v>69.5</v>
      </c>
      <c r="BA1091">
        <v>69.5</v>
      </c>
      <c r="BB1091">
        <v>0</v>
      </c>
      <c r="BC1091" t="s">
        <v>176</v>
      </c>
      <c r="BD1091">
        <v>1509</v>
      </c>
      <c r="BE1091" t="s">
        <v>169</v>
      </c>
      <c r="BF1091" t="s">
        <v>163</v>
      </c>
      <c r="BG1091" t="s">
        <v>164</v>
      </c>
    </row>
    <row r="1092" spans="1:59">
      <c r="A1092">
        <v>1115</v>
      </c>
      <c r="B1092">
        <v>1115</v>
      </c>
      <c r="C1092">
        <v>10</v>
      </c>
      <c r="D1092">
        <v>2</v>
      </c>
      <c r="E1092" t="s">
        <v>152</v>
      </c>
      <c r="F1092" t="s">
        <v>153</v>
      </c>
      <c r="G1092" t="s">
        <v>154</v>
      </c>
      <c r="H1092">
        <v>1526006623</v>
      </c>
      <c r="I1092">
        <v>1000006898</v>
      </c>
      <c r="L1092" t="s">
        <v>355</v>
      </c>
      <c r="M1092">
        <v>5100001913</v>
      </c>
      <c r="N1092" t="s">
        <v>155</v>
      </c>
      <c r="O1092" t="s">
        <v>156</v>
      </c>
      <c r="P1092">
        <v>4110050475</v>
      </c>
      <c r="Q1092" t="s">
        <v>178</v>
      </c>
      <c r="R1092">
        <v>5000</v>
      </c>
      <c r="S1092" t="s">
        <v>166</v>
      </c>
      <c r="V1092" t="s">
        <v>167</v>
      </c>
      <c r="W1092">
        <v>1502040289</v>
      </c>
      <c r="X1092" t="s">
        <v>49</v>
      </c>
      <c r="Y1092" t="str">
        <f>VLOOKUP(W1092,Sheet4!$A$5:$B$71,2,0)</f>
        <v>SUPPORT TOP</v>
      </c>
      <c r="Z1092">
        <v>87082900</v>
      </c>
      <c r="AA1092">
        <v>480</v>
      </c>
      <c r="AB1092" t="s">
        <v>159</v>
      </c>
      <c r="AC1092">
        <v>174.61</v>
      </c>
      <c r="AD1092" t="s">
        <v>160</v>
      </c>
      <c r="AE1092" s="24">
        <v>83812.800000000003</v>
      </c>
      <c r="AF1092">
        <v>0</v>
      </c>
      <c r="AG1092" s="24">
        <v>83812.800000000003</v>
      </c>
      <c r="AH1092">
        <v>0</v>
      </c>
      <c r="AI1092">
        <v>0</v>
      </c>
      <c r="AJ1092">
        <v>0</v>
      </c>
      <c r="AK1092">
        <v>0</v>
      </c>
      <c r="AL1092" s="24">
        <v>83812.800000000003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 s="24">
        <v>83812.800000000003</v>
      </c>
      <c r="AV1092">
        <v>0</v>
      </c>
      <c r="AW1092">
        <v>0</v>
      </c>
      <c r="AX1092">
        <v>311000</v>
      </c>
      <c r="AY1092" t="s">
        <v>161</v>
      </c>
      <c r="AZ1092">
        <v>0</v>
      </c>
      <c r="BA1092">
        <v>0</v>
      </c>
      <c r="BB1092">
        <v>0</v>
      </c>
      <c r="BC1092" t="s">
        <v>179</v>
      </c>
      <c r="BD1092">
        <v>1511</v>
      </c>
      <c r="BE1092" t="s">
        <v>174</v>
      </c>
      <c r="BF1092" t="s">
        <v>163</v>
      </c>
      <c r="BG1092" t="s">
        <v>164</v>
      </c>
    </row>
    <row r="1093" spans="1:59">
      <c r="A1093">
        <v>1115</v>
      </c>
      <c r="B1093">
        <v>1115</v>
      </c>
      <c r="C1093">
        <v>10</v>
      </c>
      <c r="D1093">
        <v>2</v>
      </c>
      <c r="E1093" t="s">
        <v>152</v>
      </c>
      <c r="F1093" t="s">
        <v>153</v>
      </c>
      <c r="G1093" t="s">
        <v>154</v>
      </c>
      <c r="H1093">
        <v>1526006672</v>
      </c>
      <c r="I1093">
        <v>1000006949</v>
      </c>
      <c r="L1093" t="s">
        <v>355</v>
      </c>
      <c r="M1093">
        <v>5100001919</v>
      </c>
      <c r="N1093" t="s">
        <v>155</v>
      </c>
      <c r="O1093" t="s">
        <v>156</v>
      </c>
      <c r="P1093">
        <v>5500000930</v>
      </c>
      <c r="Q1093" t="s">
        <v>157</v>
      </c>
      <c r="R1093">
        <v>5356</v>
      </c>
      <c r="S1093" t="s">
        <v>158</v>
      </c>
      <c r="W1093">
        <v>1502010011</v>
      </c>
      <c r="X1093" t="s">
        <v>35</v>
      </c>
      <c r="Y1093" t="str">
        <f>VLOOKUP(W1093,Sheet4!$A$5:$B$71,2,0)</f>
        <v>REAR MUDGAURD</v>
      </c>
      <c r="Z1093">
        <v>87082900</v>
      </c>
      <c r="AA1093">
        <v>432</v>
      </c>
      <c r="AB1093" t="s">
        <v>159</v>
      </c>
      <c r="AC1093">
        <v>89.25</v>
      </c>
      <c r="AD1093" t="s">
        <v>160</v>
      </c>
      <c r="AE1093" s="24">
        <v>38556</v>
      </c>
      <c r="AF1093">
        <v>0</v>
      </c>
      <c r="AG1093" s="24">
        <v>38556</v>
      </c>
      <c r="AH1093">
        <v>0</v>
      </c>
      <c r="AI1093">
        <v>0</v>
      </c>
      <c r="AJ1093">
        <v>0</v>
      </c>
      <c r="AK1093">
        <v>0</v>
      </c>
      <c r="AL1093" s="24">
        <v>38556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 s="24">
        <v>38556</v>
      </c>
      <c r="AV1093">
        <v>0</v>
      </c>
      <c r="AW1093">
        <v>0</v>
      </c>
      <c r="AX1093">
        <v>311000</v>
      </c>
      <c r="AY1093" t="s">
        <v>161</v>
      </c>
      <c r="AZ1093">
        <v>1.32</v>
      </c>
      <c r="BA1093">
        <v>0.72399999999999998</v>
      </c>
      <c r="BB1093">
        <v>0.59599999999999997</v>
      </c>
      <c r="BC1093">
        <v>2000001017</v>
      </c>
      <c r="BD1093">
        <v>1508</v>
      </c>
      <c r="BE1093" t="s">
        <v>162</v>
      </c>
      <c r="BF1093" t="s">
        <v>163</v>
      </c>
      <c r="BG1093" t="s">
        <v>164</v>
      </c>
    </row>
    <row r="1094" spans="1:59">
      <c r="A1094">
        <v>1115</v>
      </c>
      <c r="B1094">
        <v>1115</v>
      </c>
      <c r="C1094">
        <v>10</v>
      </c>
      <c r="D1094">
        <v>2</v>
      </c>
      <c r="E1094" t="s">
        <v>152</v>
      </c>
      <c r="F1094" t="s">
        <v>153</v>
      </c>
      <c r="G1094" t="s">
        <v>154</v>
      </c>
      <c r="H1094">
        <v>1526006671</v>
      </c>
      <c r="I1094">
        <v>1000006948</v>
      </c>
      <c r="L1094" t="s">
        <v>355</v>
      </c>
      <c r="M1094">
        <v>5100001919</v>
      </c>
      <c r="N1094" t="s">
        <v>155</v>
      </c>
      <c r="O1094" t="s">
        <v>156</v>
      </c>
      <c r="P1094">
        <v>5500000930</v>
      </c>
      <c r="Q1094" t="s">
        <v>157</v>
      </c>
      <c r="R1094">
        <v>5356</v>
      </c>
      <c r="S1094" t="s">
        <v>158</v>
      </c>
      <c r="W1094">
        <v>1502010011</v>
      </c>
      <c r="X1094" t="s">
        <v>35</v>
      </c>
      <c r="Y1094" t="str">
        <f>VLOOKUP(W1094,Sheet4!$A$5:$B$71,2,0)</f>
        <v>REAR MUDGAURD</v>
      </c>
      <c r="Z1094">
        <v>87082900</v>
      </c>
      <c r="AA1094">
        <v>432</v>
      </c>
      <c r="AB1094" t="s">
        <v>159</v>
      </c>
      <c r="AC1094">
        <v>89.25</v>
      </c>
      <c r="AD1094" t="s">
        <v>160</v>
      </c>
      <c r="AE1094" s="24">
        <v>38556</v>
      </c>
      <c r="AF1094">
        <v>0</v>
      </c>
      <c r="AG1094" s="24">
        <v>38556</v>
      </c>
      <c r="AH1094">
        <v>0</v>
      </c>
      <c r="AI1094">
        <v>0</v>
      </c>
      <c r="AJ1094">
        <v>0</v>
      </c>
      <c r="AK1094">
        <v>0</v>
      </c>
      <c r="AL1094" s="24">
        <v>38556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 s="24">
        <v>38556</v>
      </c>
      <c r="AV1094">
        <v>0</v>
      </c>
      <c r="AW1094">
        <v>0</v>
      </c>
      <c r="AX1094">
        <v>311000</v>
      </c>
      <c r="AY1094" t="s">
        <v>161</v>
      </c>
      <c r="AZ1094">
        <v>1.32</v>
      </c>
      <c r="BA1094">
        <v>0.72399999999999998</v>
      </c>
      <c r="BB1094">
        <v>0.59599999999999997</v>
      </c>
      <c r="BC1094">
        <v>2000001017</v>
      </c>
      <c r="BD1094">
        <v>1508</v>
      </c>
      <c r="BE1094" t="s">
        <v>162</v>
      </c>
      <c r="BF1094" t="s">
        <v>163</v>
      </c>
      <c r="BG1094" t="s">
        <v>164</v>
      </c>
    </row>
    <row r="1095" spans="1:59">
      <c r="A1095">
        <v>1115</v>
      </c>
      <c r="B1095">
        <v>1115</v>
      </c>
      <c r="C1095">
        <v>10</v>
      </c>
      <c r="D1095">
        <v>2</v>
      </c>
      <c r="E1095" t="s">
        <v>152</v>
      </c>
      <c r="F1095" t="s">
        <v>153</v>
      </c>
      <c r="G1095" t="s">
        <v>154</v>
      </c>
      <c r="H1095">
        <v>1526006670</v>
      </c>
      <c r="I1095">
        <v>1000006947</v>
      </c>
      <c r="L1095" t="s">
        <v>355</v>
      </c>
      <c r="M1095">
        <v>5100001928</v>
      </c>
      <c r="N1095" t="s">
        <v>155</v>
      </c>
      <c r="O1095" t="s">
        <v>156</v>
      </c>
      <c r="P1095">
        <v>4110057393</v>
      </c>
      <c r="Q1095" t="s">
        <v>192</v>
      </c>
      <c r="R1095">
        <v>5000</v>
      </c>
      <c r="S1095" t="s">
        <v>166</v>
      </c>
      <c r="V1095" t="s">
        <v>167</v>
      </c>
      <c r="W1095">
        <v>1502020122</v>
      </c>
      <c r="X1095" t="s">
        <v>70</v>
      </c>
      <c r="Y1095" t="str">
        <f>VLOOKUP(W1095,Sheet4!$A$5:$B$71,2,0)</f>
        <v>MAX UG NEW EV</v>
      </c>
      <c r="Z1095">
        <v>87082900</v>
      </c>
      <c r="AA1095">
        <v>8</v>
      </c>
      <c r="AB1095" t="s">
        <v>159</v>
      </c>
      <c r="AC1095" s="24">
        <v>9566.51</v>
      </c>
      <c r="AD1095" t="s">
        <v>160</v>
      </c>
      <c r="AE1095" s="24">
        <v>76532.08</v>
      </c>
      <c r="AF1095">
        <v>0</v>
      </c>
      <c r="AG1095" s="24">
        <v>76532.08</v>
      </c>
      <c r="AH1095">
        <v>0</v>
      </c>
      <c r="AI1095">
        <v>0</v>
      </c>
      <c r="AJ1095">
        <v>0</v>
      </c>
      <c r="AK1095">
        <v>0</v>
      </c>
      <c r="AL1095" s="24">
        <v>76532.08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 s="24">
        <v>76532.08</v>
      </c>
      <c r="AV1095">
        <v>0</v>
      </c>
      <c r="AW1095">
        <v>0</v>
      </c>
      <c r="AX1095">
        <v>311000</v>
      </c>
      <c r="AY1095" t="s">
        <v>161</v>
      </c>
      <c r="AZ1095">
        <v>0</v>
      </c>
      <c r="BA1095">
        <v>61</v>
      </c>
      <c r="BB1095">
        <v>-61</v>
      </c>
      <c r="BC1095" t="s">
        <v>193</v>
      </c>
      <c r="BD1095">
        <v>1509</v>
      </c>
      <c r="BE1095" t="s">
        <v>169</v>
      </c>
      <c r="BF1095" t="s">
        <v>163</v>
      </c>
      <c r="BG1095" t="s">
        <v>164</v>
      </c>
    </row>
    <row r="1096" spans="1:59">
      <c r="A1096">
        <v>1115</v>
      </c>
      <c r="B1096">
        <v>1115</v>
      </c>
      <c r="C1096">
        <v>10</v>
      </c>
      <c r="D1096">
        <v>2</v>
      </c>
      <c r="E1096" t="s">
        <v>152</v>
      </c>
      <c r="F1096" t="s">
        <v>153</v>
      </c>
      <c r="G1096" t="s">
        <v>154</v>
      </c>
      <c r="H1096">
        <v>1526006669</v>
      </c>
      <c r="I1096">
        <v>1000006946</v>
      </c>
      <c r="L1096" t="s">
        <v>355</v>
      </c>
      <c r="M1096">
        <v>5100001919</v>
      </c>
      <c r="N1096" t="s">
        <v>155</v>
      </c>
      <c r="O1096" t="s">
        <v>156</v>
      </c>
      <c r="P1096">
        <v>5500000930</v>
      </c>
      <c r="Q1096" t="s">
        <v>157</v>
      </c>
      <c r="R1096">
        <v>5356</v>
      </c>
      <c r="S1096" t="s">
        <v>158</v>
      </c>
      <c r="W1096">
        <v>1502010011</v>
      </c>
      <c r="X1096" t="s">
        <v>35</v>
      </c>
      <c r="Y1096" t="str">
        <f>VLOOKUP(W1096,Sheet4!$A$5:$B$71,2,0)</f>
        <v>REAR MUDGAURD</v>
      </c>
      <c r="Z1096">
        <v>87082900</v>
      </c>
      <c r="AA1096">
        <v>432</v>
      </c>
      <c r="AB1096" t="s">
        <v>159</v>
      </c>
      <c r="AC1096">
        <v>89.25</v>
      </c>
      <c r="AD1096" t="s">
        <v>160</v>
      </c>
      <c r="AE1096" s="24">
        <v>38556</v>
      </c>
      <c r="AF1096">
        <v>0</v>
      </c>
      <c r="AG1096" s="24">
        <v>38556</v>
      </c>
      <c r="AH1096">
        <v>0</v>
      </c>
      <c r="AI1096">
        <v>0</v>
      </c>
      <c r="AJ1096">
        <v>0</v>
      </c>
      <c r="AK1096">
        <v>0</v>
      </c>
      <c r="AL1096" s="24">
        <v>38556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 s="24">
        <v>38556</v>
      </c>
      <c r="AV1096">
        <v>0</v>
      </c>
      <c r="AW1096">
        <v>0</v>
      </c>
      <c r="AX1096">
        <v>311000</v>
      </c>
      <c r="AY1096" t="s">
        <v>161</v>
      </c>
      <c r="AZ1096">
        <v>1.32</v>
      </c>
      <c r="BA1096">
        <v>0.72399999999999998</v>
      </c>
      <c r="BB1096">
        <v>0.59599999999999997</v>
      </c>
      <c r="BC1096">
        <v>2000001017</v>
      </c>
      <c r="BD1096">
        <v>1508</v>
      </c>
      <c r="BE1096" t="s">
        <v>162</v>
      </c>
      <c r="BF1096" t="s">
        <v>163</v>
      </c>
      <c r="BG1096" t="s">
        <v>164</v>
      </c>
    </row>
    <row r="1097" spans="1:59">
      <c r="A1097">
        <v>1115</v>
      </c>
      <c r="B1097">
        <v>1115</v>
      </c>
      <c r="C1097">
        <v>10</v>
      </c>
      <c r="D1097">
        <v>2</v>
      </c>
      <c r="E1097" t="s">
        <v>152</v>
      </c>
      <c r="F1097" t="s">
        <v>153</v>
      </c>
      <c r="G1097" t="s">
        <v>154</v>
      </c>
      <c r="H1097">
        <v>1526006668</v>
      </c>
      <c r="I1097">
        <v>1000006945</v>
      </c>
      <c r="L1097" t="s">
        <v>355</v>
      </c>
      <c r="M1097">
        <v>5100001948</v>
      </c>
      <c r="N1097" t="s">
        <v>155</v>
      </c>
      <c r="O1097" t="s">
        <v>156</v>
      </c>
      <c r="P1097">
        <v>4110063856</v>
      </c>
      <c r="Q1097" t="s">
        <v>356</v>
      </c>
      <c r="R1097">
        <v>5000</v>
      </c>
      <c r="S1097" t="s">
        <v>166</v>
      </c>
      <c r="V1097" t="s">
        <v>167</v>
      </c>
      <c r="W1097">
        <v>1502020141</v>
      </c>
      <c r="X1097" t="s">
        <v>357</v>
      </c>
      <c r="Y1097" t="str">
        <f>VLOOKUP(W1097,Sheet4!$A$5:$B$71,2,0)</f>
        <v>RE STYLING</v>
      </c>
      <c r="Z1097">
        <v>87082900</v>
      </c>
      <c r="AA1097">
        <v>15</v>
      </c>
      <c r="AB1097" t="s">
        <v>159</v>
      </c>
      <c r="AC1097" s="24">
        <v>6509.4</v>
      </c>
      <c r="AD1097" t="s">
        <v>160</v>
      </c>
      <c r="AE1097" s="24">
        <v>97641</v>
      </c>
      <c r="AF1097">
        <v>0</v>
      </c>
      <c r="AG1097" s="24">
        <v>97641</v>
      </c>
      <c r="AH1097">
        <v>0</v>
      </c>
      <c r="AI1097">
        <v>0</v>
      </c>
      <c r="AJ1097">
        <v>0</v>
      </c>
      <c r="AK1097">
        <v>0</v>
      </c>
      <c r="AL1097" s="24">
        <v>97641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 s="24">
        <v>97641</v>
      </c>
      <c r="AV1097">
        <v>0</v>
      </c>
      <c r="AW1097">
        <v>0</v>
      </c>
      <c r="AX1097">
        <v>311000</v>
      </c>
      <c r="AY1097" t="s">
        <v>161</v>
      </c>
      <c r="AZ1097">
        <v>53</v>
      </c>
      <c r="BA1097">
        <v>0</v>
      </c>
      <c r="BB1097">
        <v>53</v>
      </c>
      <c r="BC1097" t="s">
        <v>358</v>
      </c>
      <c r="BD1097">
        <v>1509</v>
      </c>
      <c r="BE1097" t="s">
        <v>169</v>
      </c>
      <c r="BF1097" t="s">
        <v>163</v>
      </c>
      <c r="BG1097" t="s">
        <v>164</v>
      </c>
    </row>
    <row r="1098" spans="1:59">
      <c r="A1098">
        <v>1115</v>
      </c>
      <c r="B1098">
        <v>1115</v>
      </c>
      <c r="C1098">
        <v>10</v>
      </c>
      <c r="D1098">
        <v>2</v>
      </c>
      <c r="E1098" t="s">
        <v>152</v>
      </c>
      <c r="F1098" t="s">
        <v>153</v>
      </c>
      <c r="G1098" t="s">
        <v>154</v>
      </c>
      <c r="H1098">
        <v>1526006667</v>
      </c>
      <c r="I1098">
        <v>1000006944</v>
      </c>
      <c r="L1098" t="s">
        <v>355</v>
      </c>
      <c r="M1098">
        <v>5100001919</v>
      </c>
      <c r="N1098" t="s">
        <v>155</v>
      </c>
      <c r="O1098" t="s">
        <v>156</v>
      </c>
      <c r="P1098">
        <v>5500000930</v>
      </c>
      <c r="Q1098" t="s">
        <v>157</v>
      </c>
      <c r="R1098">
        <v>5356</v>
      </c>
      <c r="S1098" t="s">
        <v>158</v>
      </c>
      <c r="W1098">
        <v>1502010011</v>
      </c>
      <c r="X1098" t="s">
        <v>35</v>
      </c>
      <c r="Y1098" t="str">
        <f>VLOOKUP(W1098,Sheet4!$A$5:$B$71,2,0)</f>
        <v>REAR MUDGAURD</v>
      </c>
      <c r="Z1098">
        <v>87082900</v>
      </c>
      <c r="AA1098">
        <v>432</v>
      </c>
      <c r="AB1098" t="s">
        <v>159</v>
      </c>
      <c r="AC1098">
        <v>89.25</v>
      </c>
      <c r="AD1098" t="s">
        <v>160</v>
      </c>
      <c r="AE1098" s="24">
        <v>38556</v>
      </c>
      <c r="AF1098">
        <v>0</v>
      </c>
      <c r="AG1098" s="24">
        <v>38556</v>
      </c>
      <c r="AH1098">
        <v>0</v>
      </c>
      <c r="AI1098">
        <v>0</v>
      </c>
      <c r="AJ1098">
        <v>0</v>
      </c>
      <c r="AK1098">
        <v>0</v>
      </c>
      <c r="AL1098" s="24">
        <v>38556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 s="24">
        <v>38556</v>
      </c>
      <c r="AV1098">
        <v>0</v>
      </c>
      <c r="AW1098">
        <v>0</v>
      </c>
      <c r="AX1098">
        <v>311000</v>
      </c>
      <c r="AY1098" t="s">
        <v>161</v>
      </c>
      <c r="AZ1098">
        <v>1.32</v>
      </c>
      <c r="BA1098">
        <v>0.72399999999999998</v>
      </c>
      <c r="BB1098">
        <v>0.59599999999999997</v>
      </c>
      <c r="BC1098">
        <v>2000001017</v>
      </c>
      <c r="BD1098">
        <v>1508</v>
      </c>
      <c r="BE1098" t="s">
        <v>162</v>
      </c>
      <c r="BF1098" t="s">
        <v>163</v>
      </c>
      <c r="BG1098" t="s">
        <v>164</v>
      </c>
    </row>
    <row r="1099" spans="1:59">
      <c r="A1099">
        <v>1115</v>
      </c>
      <c r="B1099">
        <v>1115</v>
      </c>
      <c r="C1099">
        <v>10</v>
      </c>
      <c r="D1099">
        <v>2</v>
      </c>
      <c r="E1099" t="s">
        <v>152</v>
      </c>
      <c r="F1099" t="s">
        <v>153</v>
      </c>
      <c r="G1099" t="s">
        <v>154</v>
      </c>
      <c r="H1099">
        <v>1526006666</v>
      </c>
      <c r="I1099">
        <v>1000006943</v>
      </c>
      <c r="L1099" t="s">
        <v>355</v>
      </c>
      <c r="M1099">
        <v>5100001919</v>
      </c>
      <c r="N1099" t="s">
        <v>155</v>
      </c>
      <c r="O1099" t="s">
        <v>156</v>
      </c>
      <c r="P1099">
        <v>5500000930</v>
      </c>
      <c r="Q1099" t="s">
        <v>157</v>
      </c>
      <c r="R1099">
        <v>5356</v>
      </c>
      <c r="S1099" t="s">
        <v>158</v>
      </c>
      <c r="W1099">
        <v>1502010011</v>
      </c>
      <c r="X1099" t="s">
        <v>35</v>
      </c>
      <c r="Y1099" t="str">
        <f>VLOOKUP(W1099,Sheet4!$A$5:$B$71,2,0)</f>
        <v>REAR MUDGAURD</v>
      </c>
      <c r="Z1099">
        <v>87082900</v>
      </c>
      <c r="AA1099">
        <v>432</v>
      </c>
      <c r="AB1099" t="s">
        <v>159</v>
      </c>
      <c r="AC1099">
        <v>89.25</v>
      </c>
      <c r="AD1099" t="s">
        <v>160</v>
      </c>
      <c r="AE1099" s="24">
        <v>38556</v>
      </c>
      <c r="AF1099">
        <v>0</v>
      </c>
      <c r="AG1099" s="24">
        <v>38556</v>
      </c>
      <c r="AH1099">
        <v>0</v>
      </c>
      <c r="AI1099">
        <v>0</v>
      </c>
      <c r="AJ1099">
        <v>0</v>
      </c>
      <c r="AK1099">
        <v>0</v>
      </c>
      <c r="AL1099" s="24">
        <v>38556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 s="24">
        <v>38556</v>
      </c>
      <c r="AV1099">
        <v>0</v>
      </c>
      <c r="AW1099">
        <v>0</v>
      </c>
      <c r="AX1099">
        <v>311000</v>
      </c>
      <c r="AY1099" t="s">
        <v>161</v>
      </c>
      <c r="AZ1099">
        <v>1.32</v>
      </c>
      <c r="BA1099">
        <v>0.72399999999999998</v>
      </c>
      <c r="BB1099">
        <v>0.59599999999999997</v>
      </c>
      <c r="BC1099">
        <v>2000001017</v>
      </c>
      <c r="BD1099">
        <v>1508</v>
      </c>
      <c r="BE1099" t="s">
        <v>162</v>
      </c>
      <c r="BF1099" t="s">
        <v>163</v>
      </c>
      <c r="BG1099" t="s">
        <v>164</v>
      </c>
    </row>
    <row r="1100" spans="1:59">
      <c r="A1100">
        <v>1115</v>
      </c>
      <c r="B1100">
        <v>1115</v>
      </c>
      <c r="C1100">
        <v>10</v>
      </c>
      <c r="D1100">
        <v>2</v>
      </c>
      <c r="E1100" t="s">
        <v>152</v>
      </c>
      <c r="F1100" t="s">
        <v>153</v>
      </c>
      <c r="G1100" t="s">
        <v>154</v>
      </c>
      <c r="H1100">
        <v>1526006665</v>
      </c>
      <c r="I1100">
        <v>1000006942</v>
      </c>
      <c r="L1100" t="s">
        <v>355</v>
      </c>
      <c r="M1100">
        <v>5100001919</v>
      </c>
      <c r="N1100" t="s">
        <v>155</v>
      </c>
      <c r="O1100" t="s">
        <v>156</v>
      </c>
      <c r="P1100">
        <v>5500000930</v>
      </c>
      <c r="Q1100" t="s">
        <v>157</v>
      </c>
      <c r="R1100">
        <v>5356</v>
      </c>
      <c r="S1100" t="s">
        <v>158</v>
      </c>
      <c r="W1100">
        <v>1502010011</v>
      </c>
      <c r="X1100" t="s">
        <v>35</v>
      </c>
      <c r="Y1100" t="str">
        <f>VLOOKUP(W1100,Sheet4!$A$5:$B$71,2,0)</f>
        <v>REAR MUDGAURD</v>
      </c>
      <c r="Z1100">
        <v>87082900</v>
      </c>
      <c r="AA1100">
        <v>432</v>
      </c>
      <c r="AB1100" t="s">
        <v>159</v>
      </c>
      <c r="AC1100">
        <v>89.25</v>
      </c>
      <c r="AD1100" t="s">
        <v>160</v>
      </c>
      <c r="AE1100" s="24">
        <v>38556</v>
      </c>
      <c r="AF1100">
        <v>0</v>
      </c>
      <c r="AG1100" s="24">
        <v>38556</v>
      </c>
      <c r="AH1100">
        <v>0</v>
      </c>
      <c r="AI1100">
        <v>0</v>
      </c>
      <c r="AJ1100">
        <v>0</v>
      </c>
      <c r="AK1100">
        <v>0</v>
      </c>
      <c r="AL1100" s="24">
        <v>38556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 s="24">
        <v>38556</v>
      </c>
      <c r="AV1100">
        <v>0</v>
      </c>
      <c r="AW1100">
        <v>0</v>
      </c>
      <c r="AX1100">
        <v>311000</v>
      </c>
      <c r="AY1100" t="s">
        <v>161</v>
      </c>
      <c r="AZ1100">
        <v>1.32</v>
      </c>
      <c r="BA1100">
        <v>0.72399999999999998</v>
      </c>
      <c r="BB1100">
        <v>0.59599999999999997</v>
      </c>
      <c r="BC1100">
        <v>2000001017</v>
      </c>
      <c r="BD1100">
        <v>1508</v>
      </c>
      <c r="BE1100" t="s">
        <v>162</v>
      </c>
      <c r="BF1100" t="s">
        <v>163</v>
      </c>
      <c r="BG1100" t="s">
        <v>164</v>
      </c>
    </row>
    <row r="1101" spans="1:59">
      <c r="A1101">
        <v>1115</v>
      </c>
      <c r="B1101">
        <v>1115</v>
      </c>
      <c r="C1101">
        <v>10</v>
      </c>
      <c r="D1101">
        <v>2</v>
      </c>
      <c r="E1101" t="s">
        <v>152</v>
      </c>
      <c r="F1101" t="s">
        <v>153</v>
      </c>
      <c r="G1101" t="s">
        <v>154</v>
      </c>
      <c r="H1101">
        <v>1526006663</v>
      </c>
      <c r="I1101">
        <v>1000006940</v>
      </c>
      <c r="L1101" t="s">
        <v>355</v>
      </c>
      <c r="M1101">
        <v>5100001099</v>
      </c>
      <c r="N1101" t="s">
        <v>155</v>
      </c>
      <c r="O1101" t="s">
        <v>156</v>
      </c>
      <c r="P1101">
        <v>4110004650</v>
      </c>
      <c r="Q1101" t="s">
        <v>177</v>
      </c>
      <c r="R1101">
        <v>5000</v>
      </c>
      <c r="S1101" t="s">
        <v>166</v>
      </c>
      <c r="V1101" t="s">
        <v>167</v>
      </c>
      <c r="W1101">
        <v>1502040127</v>
      </c>
      <c r="X1101" t="s">
        <v>307</v>
      </c>
      <c r="Y1101" t="str">
        <f>VLOOKUP(W1101,Sheet4!$A$5:$B$71,2,0)</f>
        <v>ENG BKT</v>
      </c>
      <c r="Z1101">
        <v>87141090</v>
      </c>
      <c r="AA1101">
        <v>84</v>
      </c>
      <c r="AB1101" t="s">
        <v>159</v>
      </c>
      <c r="AC1101">
        <v>266.62</v>
      </c>
      <c r="AD1101" t="s">
        <v>160</v>
      </c>
      <c r="AE1101" s="24">
        <v>22396.080000000002</v>
      </c>
      <c r="AF1101">
        <v>0</v>
      </c>
      <c r="AG1101" s="24">
        <v>22396.080000000002</v>
      </c>
      <c r="AH1101">
        <v>0</v>
      </c>
      <c r="AI1101">
        <v>0</v>
      </c>
      <c r="AJ1101">
        <v>0</v>
      </c>
      <c r="AK1101">
        <v>0</v>
      </c>
      <c r="AL1101" s="24">
        <v>22396.080000000002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 s="24">
        <v>22396.080000000002</v>
      </c>
      <c r="AV1101">
        <v>0</v>
      </c>
      <c r="AW1101">
        <v>0</v>
      </c>
      <c r="AX1101">
        <v>311000</v>
      </c>
      <c r="AY1101" t="s">
        <v>161</v>
      </c>
      <c r="AZ1101">
        <v>1.31</v>
      </c>
      <c r="BA1101">
        <v>1.31</v>
      </c>
      <c r="BB1101">
        <v>0</v>
      </c>
      <c r="BC1101" t="s">
        <v>308</v>
      </c>
      <c r="BD1101">
        <v>1511</v>
      </c>
      <c r="BE1101" t="s">
        <v>174</v>
      </c>
      <c r="BF1101" t="s">
        <v>163</v>
      </c>
      <c r="BG1101" t="s">
        <v>164</v>
      </c>
    </row>
    <row r="1102" spans="1:59">
      <c r="A1102">
        <v>1115</v>
      </c>
      <c r="B1102">
        <v>1115</v>
      </c>
      <c r="C1102">
        <v>10</v>
      </c>
      <c r="D1102">
        <v>2</v>
      </c>
      <c r="E1102" t="s">
        <v>152</v>
      </c>
      <c r="F1102" t="s">
        <v>153</v>
      </c>
      <c r="G1102" t="s">
        <v>154</v>
      </c>
      <c r="H1102">
        <v>1526006662</v>
      </c>
      <c r="I1102">
        <v>1000006939</v>
      </c>
      <c r="L1102" t="s">
        <v>355</v>
      </c>
      <c r="M1102">
        <v>5100001795</v>
      </c>
      <c r="N1102" t="s">
        <v>155</v>
      </c>
      <c r="O1102" t="s">
        <v>156</v>
      </c>
      <c r="P1102">
        <v>4110032503</v>
      </c>
      <c r="Q1102" t="s">
        <v>190</v>
      </c>
      <c r="R1102">
        <v>5000</v>
      </c>
      <c r="S1102" t="s">
        <v>166</v>
      </c>
      <c r="V1102" t="s">
        <v>167</v>
      </c>
      <c r="W1102">
        <v>1502010016</v>
      </c>
      <c r="X1102" t="s">
        <v>69</v>
      </c>
      <c r="Y1102" t="str">
        <f>VLOOKUP(W1102,Sheet4!$A$5:$B$71,2,0)</f>
        <v>LOGISTICS</v>
      </c>
      <c r="Z1102">
        <v>87082900</v>
      </c>
      <c r="AA1102" s="24">
        <v>2000</v>
      </c>
      <c r="AB1102" t="s">
        <v>159</v>
      </c>
      <c r="AC1102">
        <v>8.4600000000000009</v>
      </c>
      <c r="AD1102" t="s">
        <v>160</v>
      </c>
      <c r="AE1102" s="24">
        <v>16920</v>
      </c>
      <c r="AF1102">
        <v>0</v>
      </c>
      <c r="AG1102" s="24">
        <v>16920</v>
      </c>
      <c r="AH1102">
        <v>0</v>
      </c>
      <c r="AI1102">
        <v>0</v>
      </c>
      <c r="AJ1102">
        <v>0</v>
      </c>
      <c r="AK1102">
        <v>0</v>
      </c>
      <c r="AL1102" s="24">
        <v>16920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 s="24">
        <v>16920</v>
      </c>
      <c r="AV1102">
        <v>0</v>
      </c>
      <c r="AW1102">
        <v>0</v>
      </c>
      <c r="AX1102">
        <v>311000</v>
      </c>
      <c r="AY1102" t="s">
        <v>161</v>
      </c>
      <c r="AZ1102">
        <v>0.08</v>
      </c>
      <c r="BA1102">
        <v>6.3E-2</v>
      </c>
      <c r="BB1102">
        <v>1.7000000000000001E-2</v>
      </c>
      <c r="BC1102" t="s">
        <v>191</v>
      </c>
      <c r="BD1102">
        <v>1508</v>
      </c>
      <c r="BE1102" t="s">
        <v>162</v>
      </c>
      <c r="BF1102" t="s">
        <v>163</v>
      </c>
      <c r="BG1102" t="s">
        <v>164</v>
      </c>
    </row>
    <row r="1103" spans="1:59">
      <c r="A1103">
        <v>1115</v>
      </c>
      <c r="B1103">
        <v>1115</v>
      </c>
      <c r="C1103">
        <v>10</v>
      </c>
      <c r="D1103">
        <v>2</v>
      </c>
      <c r="E1103" t="s">
        <v>152</v>
      </c>
      <c r="F1103" t="s">
        <v>153</v>
      </c>
      <c r="G1103" t="s">
        <v>154</v>
      </c>
      <c r="H1103">
        <v>1526006661</v>
      </c>
      <c r="I1103">
        <v>1000006938</v>
      </c>
      <c r="L1103" t="s">
        <v>355</v>
      </c>
      <c r="M1103">
        <v>5100001948</v>
      </c>
      <c r="N1103" t="s">
        <v>155</v>
      </c>
      <c r="O1103" t="s">
        <v>156</v>
      </c>
      <c r="P1103">
        <v>4110063856</v>
      </c>
      <c r="Q1103" t="s">
        <v>356</v>
      </c>
      <c r="R1103">
        <v>5000</v>
      </c>
      <c r="S1103" t="s">
        <v>166</v>
      </c>
      <c r="V1103" t="s">
        <v>167</v>
      </c>
      <c r="W1103">
        <v>1502020141</v>
      </c>
      <c r="X1103" t="s">
        <v>357</v>
      </c>
      <c r="Y1103" t="str">
        <f>VLOOKUP(W1103,Sheet4!$A$5:$B$71,2,0)</f>
        <v>RE STYLING</v>
      </c>
      <c r="Z1103">
        <v>87082900</v>
      </c>
      <c r="AA1103">
        <v>15</v>
      </c>
      <c r="AB1103" t="s">
        <v>159</v>
      </c>
      <c r="AC1103" s="24">
        <v>6509.4</v>
      </c>
      <c r="AD1103" t="s">
        <v>160</v>
      </c>
      <c r="AE1103" s="24">
        <v>97641</v>
      </c>
      <c r="AF1103">
        <v>0</v>
      </c>
      <c r="AG1103" s="24">
        <v>97641</v>
      </c>
      <c r="AH1103">
        <v>0</v>
      </c>
      <c r="AI1103">
        <v>0</v>
      </c>
      <c r="AJ1103">
        <v>0</v>
      </c>
      <c r="AK1103">
        <v>0</v>
      </c>
      <c r="AL1103" s="24">
        <v>97641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 s="24">
        <v>97641</v>
      </c>
      <c r="AV1103">
        <v>0</v>
      </c>
      <c r="AW1103">
        <v>0</v>
      </c>
      <c r="AX1103">
        <v>311000</v>
      </c>
      <c r="AY1103" t="s">
        <v>161</v>
      </c>
      <c r="AZ1103">
        <v>53</v>
      </c>
      <c r="BA1103">
        <v>0</v>
      </c>
      <c r="BB1103">
        <v>53</v>
      </c>
      <c r="BC1103" t="s">
        <v>358</v>
      </c>
      <c r="BD1103">
        <v>1509</v>
      </c>
      <c r="BE1103" t="s">
        <v>169</v>
      </c>
      <c r="BF1103" t="s">
        <v>163</v>
      </c>
      <c r="BG1103" t="s">
        <v>164</v>
      </c>
    </row>
    <row r="1104" spans="1:59">
      <c r="A1104">
        <v>1115</v>
      </c>
      <c r="B1104">
        <v>1115</v>
      </c>
      <c r="C1104">
        <v>10</v>
      </c>
      <c r="D1104">
        <v>2</v>
      </c>
      <c r="E1104" t="s">
        <v>152</v>
      </c>
      <c r="F1104" t="s">
        <v>153</v>
      </c>
      <c r="G1104" t="s">
        <v>154</v>
      </c>
      <c r="H1104">
        <v>1526006660</v>
      </c>
      <c r="I1104">
        <v>1000006937</v>
      </c>
      <c r="L1104" t="s">
        <v>355</v>
      </c>
      <c r="M1104">
        <v>5100001948</v>
      </c>
      <c r="N1104" t="s">
        <v>155</v>
      </c>
      <c r="O1104" t="s">
        <v>156</v>
      </c>
      <c r="P1104">
        <v>4110063856</v>
      </c>
      <c r="Q1104" t="s">
        <v>356</v>
      </c>
      <c r="R1104">
        <v>5000</v>
      </c>
      <c r="S1104" t="s">
        <v>166</v>
      </c>
      <c r="V1104" t="s">
        <v>167</v>
      </c>
      <c r="W1104">
        <v>1502020141</v>
      </c>
      <c r="X1104" t="s">
        <v>357</v>
      </c>
      <c r="Y1104" t="str">
        <f>VLOOKUP(W1104,Sheet4!$A$5:$B$71,2,0)</f>
        <v>RE STYLING</v>
      </c>
      <c r="Z1104">
        <v>87082900</v>
      </c>
      <c r="AA1104">
        <v>15</v>
      </c>
      <c r="AB1104" t="s">
        <v>159</v>
      </c>
      <c r="AC1104" s="24">
        <v>6509.4</v>
      </c>
      <c r="AD1104" t="s">
        <v>160</v>
      </c>
      <c r="AE1104" s="24">
        <v>97641</v>
      </c>
      <c r="AF1104">
        <v>0</v>
      </c>
      <c r="AG1104" s="24">
        <v>97641</v>
      </c>
      <c r="AH1104">
        <v>0</v>
      </c>
      <c r="AI1104">
        <v>0</v>
      </c>
      <c r="AJ1104">
        <v>0</v>
      </c>
      <c r="AK1104">
        <v>0</v>
      </c>
      <c r="AL1104" s="24">
        <v>97641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 s="24">
        <v>97641</v>
      </c>
      <c r="AV1104">
        <v>0</v>
      </c>
      <c r="AW1104">
        <v>0</v>
      </c>
      <c r="AX1104">
        <v>311000</v>
      </c>
      <c r="AY1104" t="s">
        <v>161</v>
      </c>
      <c r="AZ1104">
        <v>53</v>
      </c>
      <c r="BA1104">
        <v>0</v>
      </c>
      <c r="BB1104">
        <v>53</v>
      </c>
      <c r="BC1104" t="s">
        <v>358</v>
      </c>
      <c r="BD1104">
        <v>1509</v>
      </c>
      <c r="BE1104" t="s">
        <v>169</v>
      </c>
      <c r="BF1104" t="s">
        <v>163</v>
      </c>
      <c r="BG1104" t="s">
        <v>164</v>
      </c>
    </row>
    <row r="1105" spans="1:59">
      <c r="A1105">
        <v>1115</v>
      </c>
      <c r="B1105">
        <v>1115</v>
      </c>
      <c r="C1105">
        <v>10</v>
      </c>
      <c r="D1105">
        <v>2</v>
      </c>
      <c r="E1105" t="s">
        <v>152</v>
      </c>
      <c r="F1105" t="s">
        <v>153</v>
      </c>
      <c r="G1105" t="s">
        <v>154</v>
      </c>
      <c r="H1105">
        <v>1526006659</v>
      </c>
      <c r="I1105">
        <v>1000006936</v>
      </c>
      <c r="L1105" t="s">
        <v>355</v>
      </c>
      <c r="M1105">
        <v>5100001568</v>
      </c>
      <c r="N1105" t="s">
        <v>155</v>
      </c>
      <c r="O1105" t="s">
        <v>156</v>
      </c>
      <c r="P1105">
        <v>4110023868</v>
      </c>
      <c r="Q1105" t="s">
        <v>182</v>
      </c>
      <c r="R1105">
        <v>5000</v>
      </c>
      <c r="S1105" t="s">
        <v>166</v>
      </c>
      <c r="V1105" t="s">
        <v>167</v>
      </c>
      <c r="W1105">
        <v>1502040236</v>
      </c>
      <c r="X1105" t="s">
        <v>50</v>
      </c>
      <c r="Y1105" t="str">
        <f>VLOOKUP(W1105,Sheet4!$A$5:$B$71,2,0)</f>
        <v>SUPPORT TOP</v>
      </c>
      <c r="Z1105">
        <v>87082900</v>
      </c>
      <c r="AA1105">
        <v>432</v>
      </c>
      <c r="AB1105" t="s">
        <v>159</v>
      </c>
      <c r="AC1105">
        <v>134.19999999999999</v>
      </c>
      <c r="AD1105" t="s">
        <v>160</v>
      </c>
      <c r="AE1105" s="24">
        <v>57974.400000000001</v>
      </c>
      <c r="AF1105">
        <v>0</v>
      </c>
      <c r="AG1105" s="24">
        <v>57974.400000000001</v>
      </c>
      <c r="AH1105">
        <v>0</v>
      </c>
      <c r="AI1105">
        <v>0</v>
      </c>
      <c r="AJ1105">
        <v>0</v>
      </c>
      <c r="AK1105">
        <v>0</v>
      </c>
      <c r="AL1105" s="24">
        <v>57974.400000000001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 s="24">
        <v>57974.400000000001</v>
      </c>
      <c r="AV1105">
        <v>0</v>
      </c>
      <c r="AW1105">
        <v>0</v>
      </c>
      <c r="AX1105">
        <v>311000</v>
      </c>
      <c r="AY1105" t="s">
        <v>161</v>
      </c>
      <c r="AZ1105">
        <v>1.19</v>
      </c>
      <c r="BA1105">
        <v>1.19</v>
      </c>
      <c r="BB1105">
        <v>0</v>
      </c>
      <c r="BC1105" t="s">
        <v>183</v>
      </c>
      <c r="BD1105">
        <v>1511</v>
      </c>
      <c r="BE1105" t="s">
        <v>174</v>
      </c>
      <c r="BF1105" t="s">
        <v>163</v>
      </c>
      <c r="BG1105" t="s">
        <v>164</v>
      </c>
    </row>
    <row r="1106" spans="1:59">
      <c r="A1106">
        <v>1115</v>
      </c>
      <c r="B1106">
        <v>1115</v>
      </c>
      <c r="C1106">
        <v>10</v>
      </c>
      <c r="D1106">
        <v>2</v>
      </c>
      <c r="E1106" t="s">
        <v>152</v>
      </c>
      <c r="F1106" t="s">
        <v>153</v>
      </c>
      <c r="G1106" t="s">
        <v>154</v>
      </c>
      <c r="H1106">
        <v>1526006658</v>
      </c>
      <c r="I1106">
        <v>1000006935</v>
      </c>
      <c r="L1106" t="s">
        <v>355</v>
      </c>
      <c r="M1106">
        <v>5100001948</v>
      </c>
      <c r="N1106" t="s">
        <v>155</v>
      </c>
      <c r="O1106" t="s">
        <v>156</v>
      </c>
      <c r="P1106">
        <v>4110063856</v>
      </c>
      <c r="Q1106" t="s">
        <v>356</v>
      </c>
      <c r="R1106">
        <v>5000</v>
      </c>
      <c r="S1106" t="s">
        <v>166</v>
      </c>
      <c r="V1106" t="s">
        <v>167</v>
      </c>
      <c r="W1106">
        <v>1502020141</v>
      </c>
      <c r="X1106" t="s">
        <v>357</v>
      </c>
      <c r="Y1106" t="str">
        <f>VLOOKUP(W1106,Sheet4!$A$5:$B$71,2,0)</f>
        <v>RE STYLING</v>
      </c>
      <c r="Z1106">
        <v>87082900</v>
      </c>
      <c r="AA1106">
        <v>15</v>
      </c>
      <c r="AB1106" t="s">
        <v>159</v>
      </c>
      <c r="AC1106" s="24">
        <v>6509.4</v>
      </c>
      <c r="AD1106" t="s">
        <v>160</v>
      </c>
      <c r="AE1106" s="24">
        <v>97641</v>
      </c>
      <c r="AF1106">
        <v>0</v>
      </c>
      <c r="AG1106" s="24">
        <v>97641</v>
      </c>
      <c r="AH1106">
        <v>0</v>
      </c>
      <c r="AI1106">
        <v>0</v>
      </c>
      <c r="AJ1106">
        <v>0</v>
      </c>
      <c r="AK1106">
        <v>0</v>
      </c>
      <c r="AL1106" s="24">
        <v>97641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 s="24">
        <v>97641</v>
      </c>
      <c r="AV1106">
        <v>0</v>
      </c>
      <c r="AW1106">
        <v>0</v>
      </c>
      <c r="AX1106">
        <v>311000</v>
      </c>
      <c r="AY1106" t="s">
        <v>161</v>
      </c>
      <c r="AZ1106">
        <v>53</v>
      </c>
      <c r="BA1106">
        <v>0</v>
      </c>
      <c r="BB1106">
        <v>53</v>
      </c>
      <c r="BC1106" t="s">
        <v>358</v>
      </c>
      <c r="BD1106">
        <v>1509</v>
      </c>
      <c r="BE1106" t="s">
        <v>169</v>
      </c>
      <c r="BF1106" t="s">
        <v>163</v>
      </c>
      <c r="BG1106" t="s">
        <v>164</v>
      </c>
    </row>
    <row r="1107" spans="1:59">
      <c r="A1107">
        <v>1115</v>
      </c>
      <c r="B1107">
        <v>1115</v>
      </c>
      <c r="C1107">
        <v>10</v>
      </c>
      <c r="D1107">
        <v>2</v>
      </c>
      <c r="E1107" t="s">
        <v>152</v>
      </c>
      <c r="F1107" t="s">
        <v>153</v>
      </c>
      <c r="G1107" t="s">
        <v>154</v>
      </c>
      <c r="H1107">
        <v>1526006657</v>
      </c>
      <c r="I1107">
        <v>1000006934</v>
      </c>
      <c r="L1107" t="s">
        <v>355</v>
      </c>
      <c r="M1107">
        <v>5100001568</v>
      </c>
      <c r="N1107" t="s">
        <v>155</v>
      </c>
      <c r="O1107" t="s">
        <v>156</v>
      </c>
      <c r="P1107">
        <v>4110023868</v>
      </c>
      <c r="Q1107" t="s">
        <v>182</v>
      </c>
      <c r="R1107">
        <v>5000</v>
      </c>
      <c r="S1107" t="s">
        <v>166</v>
      </c>
      <c r="V1107" t="s">
        <v>167</v>
      </c>
      <c r="W1107">
        <v>1502040236</v>
      </c>
      <c r="X1107" t="s">
        <v>50</v>
      </c>
      <c r="Y1107" t="str">
        <f>VLOOKUP(W1107,Sheet4!$A$5:$B$71,2,0)</f>
        <v>SUPPORT TOP</v>
      </c>
      <c r="Z1107">
        <v>87082900</v>
      </c>
      <c r="AA1107">
        <v>288</v>
      </c>
      <c r="AB1107" t="s">
        <v>159</v>
      </c>
      <c r="AC1107">
        <v>134.19999999999999</v>
      </c>
      <c r="AD1107" t="s">
        <v>160</v>
      </c>
      <c r="AE1107" s="24">
        <v>38649.599999999999</v>
      </c>
      <c r="AF1107">
        <v>0</v>
      </c>
      <c r="AG1107" s="24">
        <v>38649.599999999999</v>
      </c>
      <c r="AH1107">
        <v>0</v>
      </c>
      <c r="AI1107">
        <v>0</v>
      </c>
      <c r="AJ1107">
        <v>0</v>
      </c>
      <c r="AK1107">
        <v>0</v>
      </c>
      <c r="AL1107" s="24">
        <v>38649.599999999999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 s="24">
        <v>38649.599999999999</v>
      </c>
      <c r="AV1107">
        <v>0</v>
      </c>
      <c r="AW1107">
        <v>0</v>
      </c>
      <c r="AX1107">
        <v>311000</v>
      </c>
      <c r="AY1107" t="s">
        <v>161</v>
      </c>
      <c r="AZ1107">
        <v>1.19</v>
      </c>
      <c r="BA1107">
        <v>1.19</v>
      </c>
      <c r="BB1107">
        <v>0</v>
      </c>
      <c r="BC1107" t="s">
        <v>183</v>
      </c>
      <c r="BD1107">
        <v>1511</v>
      </c>
      <c r="BE1107" t="s">
        <v>174</v>
      </c>
      <c r="BF1107" t="s">
        <v>163</v>
      </c>
      <c r="BG1107" t="s">
        <v>164</v>
      </c>
    </row>
    <row r="1108" spans="1:59">
      <c r="A1108">
        <v>1115</v>
      </c>
      <c r="B1108">
        <v>1115</v>
      </c>
      <c r="C1108">
        <v>10</v>
      </c>
      <c r="D1108">
        <v>2</v>
      </c>
      <c r="E1108" t="s">
        <v>152</v>
      </c>
      <c r="F1108" t="s">
        <v>153</v>
      </c>
      <c r="G1108" t="s">
        <v>154</v>
      </c>
      <c r="H1108">
        <v>1526006656</v>
      </c>
      <c r="I1108">
        <v>1000006933</v>
      </c>
      <c r="L1108" t="s">
        <v>355</v>
      </c>
      <c r="M1108">
        <v>5100001928</v>
      </c>
      <c r="N1108" t="s">
        <v>155</v>
      </c>
      <c r="O1108" t="s">
        <v>156</v>
      </c>
      <c r="P1108">
        <v>4110057393</v>
      </c>
      <c r="Q1108" t="s">
        <v>192</v>
      </c>
      <c r="R1108">
        <v>5000</v>
      </c>
      <c r="S1108" t="s">
        <v>166</v>
      </c>
      <c r="V1108" t="s">
        <v>167</v>
      </c>
      <c r="W1108">
        <v>1502020122</v>
      </c>
      <c r="X1108" t="s">
        <v>70</v>
      </c>
      <c r="Y1108" t="str">
        <f>VLOOKUP(W1108,Sheet4!$A$5:$B$71,2,0)</f>
        <v>MAX UG NEW EV</v>
      </c>
      <c r="Z1108">
        <v>87082900</v>
      </c>
      <c r="AA1108">
        <v>10</v>
      </c>
      <c r="AB1108" t="s">
        <v>159</v>
      </c>
      <c r="AC1108" s="24">
        <v>9566.51</v>
      </c>
      <c r="AD1108" t="s">
        <v>160</v>
      </c>
      <c r="AE1108" s="24">
        <v>95665.1</v>
      </c>
      <c r="AF1108">
        <v>0</v>
      </c>
      <c r="AG1108" s="24">
        <v>95665.1</v>
      </c>
      <c r="AH1108">
        <v>0</v>
      </c>
      <c r="AI1108">
        <v>0</v>
      </c>
      <c r="AJ1108">
        <v>0</v>
      </c>
      <c r="AK1108">
        <v>0</v>
      </c>
      <c r="AL1108" s="24">
        <v>95665.1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 s="24">
        <v>95665.1</v>
      </c>
      <c r="AV1108">
        <v>0</v>
      </c>
      <c r="AW1108">
        <v>0</v>
      </c>
      <c r="AX1108">
        <v>311000</v>
      </c>
      <c r="AY1108" t="s">
        <v>161</v>
      </c>
      <c r="AZ1108">
        <v>0</v>
      </c>
      <c r="BA1108">
        <v>61</v>
      </c>
      <c r="BB1108">
        <v>-61</v>
      </c>
      <c r="BC1108" t="s">
        <v>193</v>
      </c>
      <c r="BD1108">
        <v>1509</v>
      </c>
      <c r="BE1108" t="s">
        <v>169</v>
      </c>
      <c r="BF1108" t="s">
        <v>163</v>
      </c>
      <c r="BG1108" t="s">
        <v>164</v>
      </c>
    </row>
    <row r="1109" spans="1:59">
      <c r="A1109">
        <v>1115</v>
      </c>
      <c r="B1109">
        <v>1115</v>
      </c>
      <c r="C1109">
        <v>10</v>
      </c>
      <c r="D1109">
        <v>2</v>
      </c>
      <c r="E1109" t="s">
        <v>152</v>
      </c>
      <c r="F1109" t="s">
        <v>153</v>
      </c>
      <c r="G1109" t="s">
        <v>154</v>
      </c>
      <c r="H1109">
        <v>1526006655</v>
      </c>
      <c r="I1109">
        <v>1000006932</v>
      </c>
      <c r="L1109" t="s">
        <v>355</v>
      </c>
      <c r="M1109">
        <v>5100001928</v>
      </c>
      <c r="N1109" t="s">
        <v>155</v>
      </c>
      <c r="O1109" t="s">
        <v>156</v>
      </c>
      <c r="P1109">
        <v>4110057393</v>
      </c>
      <c r="Q1109" t="s">
        <v>192</v>
      </c>
      <c r="R1109">
        <v>5000</v>
      </c>
      <c r="S1109" t="s">
        <v>166</v>
      </c>
      <c r="V1109" t="s">
        <v>167</v>
      </c>
      <c r="W1109">
        <v>1502020122</v>
      </c>
      <c r="X1109" t="s">
        <v>70</v>
      </c>
      <c r="Y1109" t="str">
        <f>VLOOKUP(W1109,Sheet4!$A$5:$B$71,2,0)</f>
        <v>MAX UG NEW EV</v>
      </c>
      <c r="Z1109">
        <v>87082900</v>
      </c>
      <c r="AA1109">
        <v>10</v>
      </c>
      <c r="AB1109" t="s">
        <v>159</v>
      </c>
      <c r="AC1109" s="24">
        <v>9566.51</v>
      </c>
      <c r="AD1109" t="s">
        <v>160</v>
      </c>
      <c r="AE1109" s="24">
        <v>95665.1</v>
      </c>
      <c r="AF1109">
        <v>0</v>
      </c>
      <c r="AG1109" s="24">
        <v>95665.1</v>
      </c>
      <c r="AH1109">
        <v>0</v>
      </c>
      <c r="AI1109">
        <v>0</v>
      </c>
      <c r="AJ1109">
        <v>0</v>
      </c>
      <c r="AK1109">
        <v>0</v>
      </c>
      <c r="AL1109" s="24">
        <v>95665.1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 s="24">
        <v>95665.1</v>
      </c>
      <c r="AV1109">
        <v>0</v>
      </c>
      <c r="AW1109">
        <v>0</v>
      </c>
      <c r="AX1109">
        <v>311000</v>
      </c>
      <c r="AY1109" t="s">
        <v>161</v>
      </c>
      <c r="AZ1109">
        <v>0</v>
      </c>
      <c r="BA1109">
        <v>61</v>
      </c>
      <c r="BB1109">
        <v>-61</v>
      </c>
      <c r="BC1109" t="s">
        <v>193</v>
      </c>
      <c r="BD1109">
        <v>1509</v>
      </c>
      <c r="BE1109" t="s">
        <v>169</v>
      </c>
      <c r="BF1109" t="s">
        <v>163</v>
      </c>
      <c r="BG1109" t="s">
        <v>164</v>
      </c>
    </row>
    <row r="1110" spans="1:59">
      <c r="A1110">
        <v>1115</v>
      </c>
      <c r="B1110">
        <v>1115</v>
      </c>
      <c r="C1110">
        <v>10</v>
      </c>
      <c r="D1110">
        <v>2</v>
      </c>
      <c r="E1110" t="s">
        <v>152</v>
      </c>
      <c r="F1110" t="s">
        <v>153</v>
      </c>
      <c r="G1110" t="s">
        <v>154</v>
      </c>
      <c r="H1110">
        <v>1526006654</v>
      </c>
      <c r="I1110">
        <v>1000006931</v>
      </c>
      <c r="L1110" t="s">
        <v>355</v>
      </c>
      <c r="M1110">
        <v>5100001928</v>
      </c>
      <c r="N1110" t="s">
        <v>155</v>
      </c>
      <c r="O1110" t="s">
        <v>156</v>
      </c>
      <c r="P1110">
        <v>4110057393</v>
      </c>
      <c r="Q1110" t="s">
        <v>192</v>
      </c>
      <c r="R1110">
        <v>5000</v>
      </c>
      <c r="S1110" t="s">
        <v>166</v>
      </c>
      <c r="V1110" t="s">
        <v>167</v>
      </c>
      <c r="W1110">
        <v>1502020122</v>
      </c>
      <c r="X1110" t="s">
        <v>70</v>
      </c>
      <c r="Y1110" t="str">
        <f>VLOOKUP(W1110,Sheet4!$A$5:$B$71,2,0)</f>
        <v>MAX UG NEW EV</v>
      </c>
      <c r="Z1110">
        <v>87082900</v>
      </c>
      <c r="AA1110">
        <v>10</v>
      </c>
      <c r="AB1110" t="s">
        <v>159</v>
      </c>
      <c r="AC1110" s="24">
        <v>9566.51</v>
      </c>
      <c r="AD1110" t="s">
        <v>160</v>
      </c>
      <c r="AE1110" s="24">
        <v>95665.1</v>
      </c>
      <c r="AF1110">
        <v>0</v>
      </c>
      <c r="AG1110" s="24">
        <v>95665.1</v>
      </c>
      <c r="AH1110">
        <v>0</v>
      </c>
      <c r="AI1110">
        <v>0</v>
      </c>
      <c r="AJ1110">
        <v>0</v>
      </c>
      <c r="AK1110">
        <v>0</v>
      </c>
      <c r="AL1110" s="24">
        <v>95665.1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 s="24">
        <v>95665.1</v>
      </c>
      <c r="AV1110">
        <v>0</v>
      </c>
      <c r="AW1110">
        <v>0</v>
      </c>
      <c r="AX1110">
        <v>311000</v>
      </c>
      <c r="AY1110" t="s">
        <v>161</v>
      </c>
      <c r="AZ1110">
        <v>0</v>
      </c>
      <c r="BA1110">
        <v>61</v>
      </c>
      <c r="BB1110">
        <v>-61</v>
      </c>
      <c r="BC1110" t="s">
        <v>193</v>
      </c>
      <c r="BD1110">
        <v>1509</v>
      </c>
      <c r="BE1110" t="s">
        <v>169</v>
      </c>
      <c r="BF1110" t="s">
        <v>163</v>
      </c>
      <c r="BG1110" t="s">
        <v>164</v>
      </c>
    </row>
    <row r="1111" spans="1:59">
      <c r="A1111">
        <v>1115</v>
      </c>
      <c r="B1111">
        <v>1115</v>
      </c>
      <c r="C1111">
        <v>10</v>
      </c>
      <c r="D1111">
        <v>2</v>
      </c>
      <c r="E1111" t="s">
        <v>152</v>
      </c>
      <c r="F1111" t="s">
        <v>153</v>
      </c>
      <c r="G1111" t="s">
        <v>154</v>
      </c>
      <c r="H1111">
        <v>1526006653</v>
      </c>
      <c r="I1111">
        <v>1000006930</v>
      </c>
      <c r="L1111" t="s">
        <v>355</v>
      </c>
      <c r="M1111">
        <v>5100001928</v>
      </c>
      <c r="N1111" t="s">
        <v>155</v>
      </c>
      <c r="O1111" t="s">
        <v>156</v>
      </c>
      <c r="P1111">
        <v>4110057393</v>
      </c>
      <c r="Q1111" t="s">
        <v>192</v>
      </c>
      <c r="R1111">
        <v>5000</v>
      </c>
      <c r="S1111" t="s">
        <v>166</v>
      </c>
      <c r="V1111" t="s">
        <v>167</v>
      </c>
      <c r="W1111">
        <v>1502020122</v>
      </c>
      <c r="X1111" t="s">
        <v>70</v>
      </c>
      <c r="Y1111" t="str">
        <f>VLOOKUP(W1111,Sheet4!$A$5:$B$71,2,0)</f>
        <v>MAX UG NEW EV</v>
      </c>
      <c r="Z1111">
        <v>87082900</v>
      </c>
      <c r="AA1111">
        <v>10</v>
      </c>
      <c r="AB1111" t="s">
        <v>159</v>
      </c>
      <c r="AC1111" s="24">
        <v>9566.51</v>
      </c>
      <c r="AD1111" t="s">
        <v>160</v>
      </c>
      <c r="AE1111" s="24">
        <v>95665.1</v>
      </c>
      <c r="AF1111">
        <v>0</v>
      </c>
      <c r="AG1111" s="24">
        <v>95665.1</v>
      </c>
      <c r="AH1111">
        <v>0</v>
      </c>
      <c r="AI1111">
        <v>0</v>
      </c>
      <c r="AJ1111">
        <v>0</v>
      </c>
      <c r="AK1111">
        <v>0</v>
      </c>
      <c r="AL1111" s="24">
        <v>95665.1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 s="24">
        <v>95665.1</v>
      </c>
      <c r="AV1111">
        <v>0</v>
      </c>
      <c r="AW1111">
        <v>0</v>
      </c>
      <c r="AX1111">
        <v>311000</v>
      </c>
      <c r="AY1111" t="s">
        <v>161</v>
      </c>
      <c r="AZ1111">
        <v>0</v>
      </c>
      <c r="BA1111">
        <v>61</v>
      </c>
      <c r="BB1111">
        <v>-61</v>
      </c>
      <c r="BC1111" t="s">
        <v>193</v>
      </c>
      <c r="BD1111">
        <v>1509</v>
      </c>
      <c r="BE1111" t="s">
        <v>169</v>
      </c>
      <c r="BF1111" t="s">
        <v>163</v>
      </c>
      <c r="BG1111" t="s">
        <v>164</v>
      </c>
    </row>
    <row r="1112" spans="1:59">
      <c r="A1112">
        <v>1115</v>
      </c>
      <c r="B1112">
        <v>1115</v>
      </c>
      <c r="C1112">
        <v>10</v>
      </c>
      <c r="D1112">
        <v>2</v>
      </c>
      <c r="E1112" t="s">
        <v>152</v>
      </c>
      <c r="F1112" t="s">
        <v>153</v>
      </c>
      <c r="G1112" t="s">
        <v>154</v>
      </c>
      <c r="H1112">
        <v>1526006651</v>
      </c>
      <c r="I1112">
        <v>1000006928</v>
      </c>
      <c r="L1112" t="s">
        <v>355</v>
      </c>
      <c r="M1112">
        <v>5100001934</v>
      </c>
      <c r="N1112" t="s">
        <v>155</v>
      </c>
      <c r="O1112" t="s">
        <v>156</v>
      </c>
      <c r="P1112">
        <v>4110058649</v>
      </c>
      <c r="Q1112" t="s">
        <v>196</v>
      </c>
      <c r="R1112">
        <v>5000</v>
      </c>
      <c r="S1112" t="s">
        <v>166</v>
      </c>
      <c r="V1112" t="s">
        <v>167</v>
      </c>
      <c r="W1112">
        <v>1502040217</v>
      </c>
      <c r="X1112" t="s">
        <v>197</v>
      </c>
      <c r="Y1112" t="str">
        <f>VLOOKUP(W1112,Sheet4!$A$5:$B$71,2,0)</f>
        <v>FRONT MUDGARD GOGO</v>
      </c>
      <c r="Z1112">
        <v>87082900</v>
      </c>
      <c r="AA1112">
        <v>100</v>
      </c>
      <c r="AB1112" t="s">
        <v>159</v>
      </c>
      <c r="AC1112">
        <v>380.93</v>
      </c>
      <c r="AD1112" t="s">
        <v>160</v>
      </c>
      <c r="AE1112" s="24">
        <v>38093</v>
      </c>
      <c r="AF1112">
        <v>0</v>
      </c>
      <c r="AG1112" s="24">
        <v>38093</v>
      </c>
      <c r="AH1112">
        <v>0</v>
      </c>
      <c r="AI1112">
        <v>0</v>
      </c>
      <c r="AJ1112">
        <v>0</v>
      </c>
      <c r="AK1112">
        <v>0</v>
      </c>
      <c r="AL1112" s="24">
        <v>38093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 s="24">
        <v>38093</v>
      </c>
      <c r="AV1112">
        <v>0</v>
      </c>
      <c r="AW1112">
        <v>0</v>
      </c>
      <c r="AX1112">
        <v>311000</v>
      </c>
      <c r="AY1112" t="s">
        <v>161</v>
      </c>
      <c r="AZ1112">
        <v>2.13</v>
      </c>
      <c r="BA1112">
        <v>2.13</v>
      </c>
      <c r="BB1112">
        <v>0</v>
      </c>
      <c r="BC1112" t="s">
        <v>198</v>
      </c>
      <c r="BD1112">
        <v>1511</v>
      </c>
      <c r="BE1112" t="s">
        <v>174</v>
      </c>
      <c r="BF1112" t="s">
        <v>163</v>
      </c>
      <c r="BG1112" t="s">
        <v>164</v>
      </c>
    </row>
    <row r="1113" spans="1:59">
      <c r="A1113">
        <v>1115</v>
      </c>
      <c r="B1113">
        <v>1115</v>
      </c>
      <c r="C1113">
        <v>10</v>
      </c>
      <c r="D1113">
        <v>2</v>
      </c>
      <c r="E1113" t="s">
        <v>152</v>
      </c>
      <c r="F1113" t="s">
        <v>153</v>
      </c>
      <c r="G1113" t="s">
        <v>154</v>
      </c>
      <c r="H1113">
        <v>1526006650</v>
      </c>
      <c r="I1113">
        <v>1000006926</v>
      </c>
      <c r="L1113" t="s">
        <v>355</v>
      </c>
      <c r="M1113">
        <v>5100001603</v>
      </c>
      <c r="N1113" t="s">
        <v>155</v>
      </c>
      <c r="O1113" t="s">
        <v>156</v>
      </c>
      <c r="P1113">
        <v>4110025468</v>
      </c>
      <c r="Q1113" t="s">
        <v>165</v>
      </c>
      <c r="R1113">
        <v>5000</v>
      </c>
      <c r="S1113" t="s">
        <v>166</v>
      </c>
      <c r="V1113" t="s">
        <v>167</v>
      </c>
      <c r="W1113">
        <v>1502020102</v>
      </c>
      <c r="X1113" t="s">
        <v>58</v>
      </c>
      <c r="Y1113" t="str">
        <f>VLOOKUP(W1113,Sheet4!$A$5:$B$71,2,0)</f>
        <v>MAXIMA HD</v>
      </c>
      <c r="Z1113">
        <v>87082900</v>
      </c>
      <c r="AA1113">
        <v>6</v>
      </c>
      <c r="AB1113" t="s">
        <v>159</v>
      </c>
      <c r="AC1113" s="24">
        <v>8593.51</v>
      </c>
      <c r="AD1113" t="s">
        <v>160</v>
      </c>
      <c r="AE1113" s="24">
        <v>51561.06</v>
      </c>
      <c r="AF1113">
        <v>0</v>
      </c>
      <c r="AG1113" s="24">
        <v>51561.06</v>
      </c>
      <c r="AH1113">
        <v>0</v>
      </c>
      <c r="AI1113">
        <v>0</v>
      </c>
      <c r="AJ1113">
        <v>0</v>
      </c>
      <c r="AK1113">
        <v>0</v>
      </c>
      <c r="AL1113" s="24">
        <v>51561.06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 s="24">
        <v>51561.06</v>
      </c>
      <c r="AV1113">
        <v>0</v>
      </c>
      <c r="AW1113">
        <v>0</v>
      </c>
      <c r="AX1113">
        <v>311000</v>
      </c>
      <c r="AY1113" t="s">
        <v>161</v>
      </c>
      <c r="AZ1113">
        <v>93.34</v>
      </c>
      <c r="BA1113">
        <v>75.430000000000007</v>
      </c>
      <c r="BB1113">
        <v>17.91</v>
      </c>
      <c r="BC1113" t="s">
        <v>168</v>
      </c>
      <c r="BD1113">
        <v>1509</v>
      </c>
      <c r="BE1113" t="s">
        <v>169</v>
      </c>
      <c r="BF1113" t="s">
        <v>163</v>
      </c>
      <c r="BG1113" t="s">
        <v>164</v>
      </c>
    </row>
    <row r="1114" spans="1:59">
      <c r="A1114">
        <v>1115</v>
      </c>
      <c r="B1114">
        <v>1115</v>
      </c>
      <c r="C1114">
        <v>10</v>
      </c>
      <c r="D1114">
        <v>2</v>
      </c>
      <c r="E1114" t="s">
        <v>152</v>
      </c>
      <c r="F1114" t="s">
        <v>153</v>
      </c>
      <c r="G1114" t="s">
        <v>154</v>
      </c>
      <c r="H1114">
        <v>1526006649</v>
      </c>
      <c r="I1114">
        <v>1000006925</v>
      </c>
      <c r="L1114" t="s">
        <v>355</v>
      </c>
      <c r="M1114">
        <v>5100001603</v>
      </c>
      <c r="N1114" t="s">
        <v>155</v>
      </c>
      <c r="O1114" t="s">
        <v>156</v>
      </c>
      <c r="P1114">
        <v>4110025468</v>
      </c>
      <c r="Q1114" t="s">
        <v>165</v>
      </c>
      <c r="R1114">
        <v>5000</v>
      </c>
      <c r="S1114" t="s">
        <v>166</v>
      </c>
      <c r="V1114" t="s">
        <v>167</v>
      </c>
      <c r="W1114">
        <v>1502020102</v>
      </c>
      <c r="X1114" t="s">
        <v>58</v>
      </c>
      <c r="Y1114" t="str">
        <f>VLOOKUP(W1114,Sheet4!$A$5:$B$71,2,0)</f>
        <v>MAXIMA HD</v>
      </c>
      <c r="Z1114">
        <v>87082900</v>
      </c>
      <c r="AA1114">
        <v>8</v>
      </c>
      <c r="AB1114" t="s">
        <v>159</v>
      </c>
      <c r="AC1114" s="24">
        <v>8593.51</v>
      </c>
      <c r="AD1114" t="s">
        <v>160</v>
      </c>
      <c r="AE1114" s="24">
        <v>68748.08</v>
      </c>
      <c r="AF1114">
        <v>0</v>
      </c>
      <c r="AG1114" s="24">
        <v>68748.08</v>
      </c>
      <c r="AH1114">
        <v>0</v>
      </c>
      <c r="AI1114">
        <v>0</v>
      </c>
      <c r="AJ1114">
        <v>0</v>
      </c>
      <c r="AK1114">
        <v>0</v>
      </c>
      <c r="AL1114" s="24">
        <v>68748.08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 s="24">
        <v>68748.08</v>
      </c>
      <c r="AV1114">
        <v>0</v>
      </c>
      <c r="AW1114">
        <v>0</v>
      </c>
      <c r="AX1114">
        <v>311000</v>
      </c>
      <c r="AY1114" t="s">
        <v>161</v>
      </c>
      <c r="AZ1114">
        <v>93.34</v>
      </c>
      <c r="BA1114">
        <v>75.430000000000007</v>
      </c>
      <c r="BB1114">
        <v>17.91</v>
      </c>
      <c r="BC1114" t="s">
        <v>168</v>
      </c>
      <c r="BD1114">
        <v>1509</v>
      </c>
      <c r="BE1114" t="s">
        <v>169</v>
      </c>
      <c r="BF1114" t="s">
        <v>163</v>
      </c>
      <c r="BG1114" t="s">
        <v>164</v>
      </c>
    </row>
    <row r="1115" spans="1:59">
      <c r="A1115">
        <v>1115</v>
      </c>
      <c r="B1115">
        <v>1115</v>
      </c>
      <c r="C1115">
        <v>10</v>
      </c>
      <c r="D1115">
        <v>2</v>
      </c>
      <c r="E1115" t="s">
        <v>152</v>
      </c>
      <c r="F1115" t="s">
        <v>153</v>
      </c>
      <c r="G1115" t="s">
        <v>154</v>
      </c>
      <c r="H1115">
        <v>1526006644</v>
      </c>
      <c r="I1115">
        <v>1000006922</v>
      </c>
      <c r="L1115" t="s">
        <v>355</v>
      </c>
      <c r="M1115">
        <v>5100001945</v>
      </c>
      <c r="N1115" t="s">
        <v>155</v>
      </c>
      <c r="O1115" t="s">
        <v>156</v>
      </c>
      <c r="P1115">
        <v>4110062966</v>
      </c>
      <c r="Q1115" t="s">
        <v>359</v>
      </c>
      <c r="R1115">
        <v>5000</v>
      </c>
      <c r="S1115" t="s">
        <v>166</v>
      </c>
      <c r="V1115" t="s">
        <v>167</v>
      </c>
      <c r="W1115">
        <v>1502020140</v>
      </c>
      <c r="X1115" t="s">
        <v>360</v>
      </c>
      <c r="Y1115" t="str">
        <f>VLOOKUP(W1115,Sheet4!$A$5:$B$71,2,0)</f>
        <v>RE STYLING</v>
      </c>
      <c r="Z1115">
        <v>87082900</v>
      </c>
      <c r="AA1115">
        <v>15</v>
      </c>
      <c r="AB1115" t="s">
        <v>159</v>
      </c>
      <c r="AC1115" s="24">
        <v>6551.38</v>
      </c>
      <c r="AD1115" t="s">
        <v>160</v>
      </c>
      <c r="AE1115" s="24">
        <v>98270.7</v>
      </c>
      <c r="AF1115">
        <v>0</v>
      </c>
      <c r="AG1115" s="24">
        <v>98270.7</v>
      </c>
      <c r="AH1115">
        <v>0</v>
      </c>
      <c r="AI1115">
        <v>0</v>
      </c>
      <c r="AJ1115">
        <v>0</v>
      </c>
      <c r="AK1115">
        <v>0</v>
      </c>
      <c r="AL1115" s="24">
        <v>98270.7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 s="24">
        <v>98270.7</v>
      </c>
      <c r="AV1115">
        <v>0</v>
      </c>
      <c r="AW1115">
        <v>0</v>
      </c>
      <c r="AX1115">
        <v>311000</v>
      </c>
      <c r="AY1115" t="s">
        <v>161</v>
      </c>
      <c r="AZ1115">
        <v>53</v>
      </c>
      <c r="BA1115">
        <v>0</v>
      </c>
      <c r="BB1115">
        <v>53</v>
      </c>
      <c r="BC1115" t="s">
        <v>361</v>
      </c>
      <c r="BD1115">
        <v>1509</v>
      </c>
      <c r="BE1115" t="s">
        <v>169</v>
      </c>
      <c r="BF1115" t="s">
        <v>163</v>
      </c>
      <c r="BG1115" t="s">
        <v>164</v>
      </c>
    </row>
    <row r="1116" spans="1:59">
      <c r="A1116">
        <v>1115</v>
      </c>
      <c r="B1116">
        <v>1115</v>
      </c>
      <c r="C1116">
        <v>10</v>
      </c>
      <c r="D1116">
        <v>2</v>
      </c>
      <c r="E1116" t="s">
        <v>152</v>
      </c>
      <c r="F1116" t="s">
        <v>153</v>
      </c>
      <c r="G1116" t="s">
        <v>154</v>
      </c>
      <c r="H1116">
        <v>1526006643</v>
      </c>
      <c r="I1116">
        <v>1000006920</v>
      </c>
      <c r="L1116" t="s">
        <v>355</v>
      </c>
      <c r="M1116">
        <v>5100001945</v>
      </c>
      <c r="N1116" t="s">
        <v>155</v>
      </c>
      <c r="O1116" t="s">
        <v>156</v>
      </c>
      <c r="P1116">
        <v>4110062966</v>
      </c>
      <c r="Q1116" t="s">
        <v>359</v>
      </c>
      <c r="R1116">
        <v>5000</v>
      </c>
      <c r="S1116" t="s">
        <v>166</v>
      </c>
      <c r="V1116" t="s">
        <v>167</v>
      </c>
      <c r="W1116">
        <v>1502020140</v>
      </c>
      <c r="X1116" t="s">
        <v>360</v>
      </c>
      <c r="Y1116" t="str">
        <f>VLOOKUP(W1116,Sheet4!$A$5:$B$71,2,0)</f>
        <v>RE STYLING</v>
      </c>
      <c r="Z1116">
        <v>87082900</v>
      </c>
      <c r="AA1116">
        <v>15</v>
      </c>
      <c r="AB1116" t="s">
        <v>159</v>
      </c>
      <c r="AC1116" s="24">
        <v>6551.38</v>
      </c>
      <c r="AD1116" t="s">
        <v>160</v>
      </c>
      <c r="AE1116" s="24">
        <v>98270.7</v>
      </c>
      <c r="AF1116">
        <v>0</v>
      </c>
      <c r="AG1116" s="24">
        <v>98270.7</v>
      </c>
      <c r="AH1116">
        <v>0</v>
      </c>
      <c r="AI1116">
        <v>0</v>
      </c>
      <c r="AJ1116">
        <v>0</v>
      </c>
      <c r="AK1116">
        <v>0</v>
      </c>
      <c r="AL1116" s="24">
        <v>98270.7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 s="24">
        <v>98270.7</v>
      </c>
      <c r="AV1116">
        <v>0</v>
      </c>
      <c r="AW1116">
        <v>0</v>
      </c>
      <c r="AX1116">
        <v>311000</v>
      </c>
      <c r="AY1116" t="s">
        <v>161</v>
      </c>
      <c r="AZ1116">
        <v>53</v>
      </c>
      <c r="BA1116">
        <v>0</v>
      </c>
      <c r="BB1116">
        <v>53</v>
      </c>
      <c r="BC1116" t="s">
        <v>361</v>
      </c>
      <c r="BD1116">
        <v>1509</v>
      </c>
      <c r="BE1116" t="s">
        <v>169</v>
      </c>
      <c r="BF1116" t="s">
        <v>163</v>
      </c>
      <c r="BG1116" t="s">
        <v>164</v>
      </c>
    </row>
    <row r="1117" spans="1:59">
      <c r="A1117">
        <v>1115</v>
      </c>
      <c r="B1117">
        <v>1115</v>
      </c>
      <c r="C1117">
        <v>10</v>
      </c>
      <c r="D1117">
        <v>2</v>
      </c>
      <c r="E1117" t="s">
        <v>152</v>
      </c>
      <c r="F1117" t="s">
        <v>153</v>
      </c>
      <c r="G1117" t="s">
        <v>154</v>
      </c>
      <c r="H1117">
        <v>1526006642</v>
      </c>
      <c r="I1117">
        <v>1000006919</v>
      </c>
      <c r="L1117" t="s">
        <v>355</v>
      </c>
      <c r="M1117">
        <v>5100001945</v>
      </c>
      <c r="N1117" t="s">
        <v>155</v>
      </c>
      <c r="O1117" t="s">
        <v>156</v>
      </c>
      <c r="P1117">
        <v>4110062966</v>
      </c>
      <c r="Q1117" t="s">
        <v>359</v>
      </c>
      <c r="R1117">
        <v>5000</v>
      </c>
      <c r="S1117" t="s">
        <v>166</v>
      </c>
      <c r="V1117" t="s">
        <v>167</v>
      </c>
      <c r="W1117">
        <v>1502020140</v>
      </c>
      <c r="X1117" t="s">
        <v>360</v>
      </c>
      <c r="Y1117" t="str">
        <f>VLOOKUP(W1117,Sheet4!$A$5:$B$71,2,0)</f>
        <v>RE STYLING</v>
      </c>
      <c r="Z1117">
        <v>87082900</v>
      </c>
      <c r="AA1117">
        <v>15</v>
      </c>
      <c r="AB1117" t="s">
        <v>159</v>
      </c>
      <c r="AC1117" s="24">
        <v>6551.38</v>
      </c>
      <c r="AD1117" t="s">
        <v>160</v>
      </c>
      <c r="AE1117" s="24">
        <v>98270.7</v>
      </c>
      <c r="AF1117">
        <v>0</v>
      </c>
      <c r="AG1117" s="24">
        <v>98270.7</v>
      </c>
      <c r="AH1117">
        <v>0</v>
      </c>
      <c r="AI1117">
        <v>0</v>
      </c>
      <c r="AJ1117">
        <v>0</v>
      </c>
      <c r="AK1117">
        <v>0</v>
      </c>
      <c r="AL1117" s="24">
        <v>98270.7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 s="24">
        <v>98270.7</v>
      </c>
      <c r="AV1117">
        <v>0</v>
      </c>
      <c r="AW1117">
        <v>0</v>
      </c>
      <c r="AX1117">
        <v>311000</v>
      </c>
      <c r="AY1117" t="s">
        <v>161</v>
      </c>
      <c r="AZ1117">
        <v>53</v>
      </c>
      <c r="BA1117">
        <v>0</v>
      </c>
      <c r="BB1117">
        <v>53</v>
      </c>
      <c r="BC1117" t="s">
        <v>361</v>
      </c>
      <c r="BD1117">
        <v>1509</v>
      </c>
      <c r="BE1117" t="s">
        <v>169</v>
      </c>
      <c r="BF1117" t="s">
        <v>163</v>
      </c>
      <c r="BG1117" t="s">
        <v>164</v>
      </c>
    </row>
    <row r="1118" spans="1:59">
      <c r="A1118">
        <v>1115</v>
      </c>
      <c r="B1118">
        <v>1115</v>
      </c>
      <c r="C1118">
        <v>10</v>
      </c>
      <c r="D1118">
        <v>2</v>
      </c>
      <c r="E1118" t="s">
        <v>152</v>
      </c>
      <c r="F1118" t="s">
        <v>153</v>
      </c>
      <c r="G1118" t="s">
        <v>154</v>
      </c>
      <c r="H1118">
        <v>1526006640</v>
      </c>
      <c r="I1118">
        <v>1000006918</v>
      </c>
      <c r="L1118" t="s">
        <v>355</v>
      </c>
      <c r="M1118">
        <v>5100001924</v>
      </c>
      <c r="N1118" t="s">
        <v>155</v>
      </c>
      <c r="O1118" t="s">
        <v>156</v>
      </c>
      <c r="P1118">
        <v>4110055642</v>
      </c>
      <c r="Q1118" t="s">
        <v>199</v>
      </c>
      <c r="R1118">
        <v>5000</v>
      </c>
      <c r="S1118" t="s">
        <v>166</v>
      </c>
      <c r="V1118" t="s">
        <v>167</v>
      </c>
      <c r="W1118">
        <v>1502040314</v>
      </c>
      <c r="X1118" t="s">
        <v>248</v>
      </c>
      <c r="Y1118" t="str">
        <f>VLOOKUP(W1118,Sheet4!$A$5:$B$71,2,0)</f>
        <v>Re Side Door</v>
      </c>
      <c r="Z1118">
        <v>87082900</v>
      </c>
      <c r="AA1118">
        <v>120</v>
      </c>
      <c r="AB1118" t="s">
        <v>159</v>
      </c>
      <c r="AC1118">
        <v>504.46</v>
      </c>
      <c r="AD1118" t="s">
        <v>160</v>
      </c>
      <c r="AE1118" s="24">
        <v>60535.199999999997</v>
      </c>
      <c r="AF1118">
        <v>0</v>
      </c>
      <c r="AG1118" s="24">
        <v>60535.199999999997</v>
      </c>
      <c r="AH1118">
        <v>0</v>
      </c>
      <c r="AI1118">
        <v>0</v>
      </c>
      <c r="AJ1118">
        <v>0</v>
      </c>
      <c r="AK1118">
        <v>0</v>
      </c>
      <c r="AL1118" s="24">
        <v>60535.199999999997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 s="24">
        <v>60535.199999999997</v>
      </c>
      <c r="AV1118">
        <v>0</v>
      </c>
      <c r="AW1118">
        <v>0</v>
      </c>
      <c r="AX1118">
        <v>311000</v>
      </c>
      <c r="AY1118" t="s">
        <v>161</v>
      </c>
      <c r="AZ1118">
        <v>2.27</v>
      </c>
      <c r="BA1118">
        <v>2.27</v>
      </c>
      <c r="BB1118">
        <v>0</v>
      </c>
      <c r="BC1118" t="s">
        <v>249</v>
      </c>
      <c r="BD1118">
        <v>1511</v>
      </c>
      <c r="BE1118" t="s">
        <v>174</v>
      </c>
      <c r="BF1118" t="s">
        <v>163</v>
      </c>
      <c r="BG1118" t="s">
        <v>164</v>
      </c>
    </row>
    <row r="1119" spans="1:59">
      <c r="A1119">
        <v>1115</v>
      </c>
      <c r="B1119">
        <v>1115</v>
      </c>
      <c r="C1119">
        <v>10</v>
      </c>
      <c r="D1119">
        <v>2</v>
      </c>
      <c r="E1119" t="s">
        <v>152</v>
      </c>
      <c r="F1119" t="s">
        <v>153</v>
      </c>
      <c r="G1119" t="s">
        <v>154</v>
      </c>
      <c r="H1119">
        <v>1526006639</v>
      </c>
      <c r="I1119">
        <v>1000006916</v>
      </c>
      <c r="L1119" t="s">
        <v>355</v>
      </c>
      <c r="M1119">
        <v>5100001924</v>
      </c>
      <c r="N1119" t="s">
        <v>155</v>
      </c>
      <c r="O1119" t="s">
        <v>156</v>
      </c>
      <c r="P1119">
        <v>4110055642</v>
      </c>
      <c r="Q1119" t="s">
        <v>199</v>
      </c>
      <c r="R1119">
        <v>5000</v>
      </c>
      <c r="S1119" t="s">
        <v>166</v>
      </c>
      <c r="V1119" t="s">
        <v>167</v>
      </c>
      <c r="W1119">
        <v>1502040313</v>
      </c>
      <c r="X1119" t="s">
        <v>246</v>
      </c>
      <c r="Y1119" t="str">
        <f>VLOOKUP(W1119,Sheet4!$A$5:$B$71,2,0)</f>
        <v>Re Side Door</v>
      </c>
      <c r="Z1119">
        <v>87082900</v>
      </c>
      <c r="AA1119">
        <v>120</v>
      </c>
      <c r="AB1119" t="s">
        <v>159</v>
      </c>
      <c r="AC1119">
        <v>504.46</v>
      </c>
      <c r="AD1119" t="s">
        <v>160</v>
      </c>
      <c r="AE1119" s="24">
        <v>60535.199999999997</v>
      </c>
      <c r="AF1119">
        <v>0</v>
      </c>
      <c r="AG1119" s="24">
        <v>60535.199999999997</v>
      </c>
      <c r="AH1119">
        <v>0</v>
      </c>
      <c r="AI1119">
        <v>0</v>
      </c>
      <c r="AJ1119">
        <v>0</v>
      </c>
      <c r="AK1119">
        <v>0</v>
      </c>
      <c r="AL1119" s="24">
        <v>60535.199999999997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 s="24">
        <v>60535.199999999997</v>
      </c>
      <c r="AV1119">
        <v>0</v>
      </c>
      <c r="AW1119">
        <v>0</v>
      </c>
      <c r="AX1119">
        <v>311000</v>
      </c>
      <c r="AY1119" t="s">
        <v>161</v>
      </c>
      <c r="AZ1119">
        <v>2.27</v>
      </c>
      <c r="BA1119">
        <v>2.27</v>
      </c>
      <c r="BB1119">
        <v>0</v>
      </c>
      <c r="BC1119" t="s">
        <v>247</v>
      </c>
      <c r="BD1119">
        <v>1511</v>
      </c>
      <c r="BE1119" t="s">
        <v>174</v>
      </c>
      <c r="BF1119" t="s">
        <v>163</v>
      </c>
      <c r="BG1119" t="s">
        <v>164</v>
      </c>
    </row>
    <row r="1120" spans="1:59">
      <c r="A1120">
        <v>1115</v>
      </c>
      <c r="B1120">
        <v>1115</v>
      </c>
      <c r="C1120">
        <v>10</v>
      </c>
      <c r="D1120">
        <v>2</v>
      </c>
      <c r="E1120" t="s">
        <v>152</v>
      </c>
      <c r="F1120" t="s">
        <v>153</v>
      </c>
      <c r="G1120" t="s">
        <v>154</v>
      </c>
      <c r="H1120">
        <v>1526006638</v>
      </c>
      <c r="I1120">
        <v>1000006913</v>
      </c>
      <c r="L1120" t="s">
        <v>355</v>
      </c>
      <c r="M1120">
        <v>5100001636</v>
      </c>
      <c r="N1120" t="s">
        <v>155</v>
      </c>
      <c r="O1120" t="s">
        <v>156</v>
      </c>
      <c r="P1120">
        <v>4110026445</v>
      </c>
      <c r="Q1120" t="s">
        <v>170</v>
      </c>
      <c r="R1120">
        <v>5000</v>
      </c>
      <c r="S1120" t="s">
        <v>166</v>
      </c>
      <c r="V1120" t="s">
        <v>167</v>
      </c>
      <c r="W1120">
        <v>1502020104</v>
      </c>
      <c r="X1120" t="s">
        <v>26</v>
      </c>
      <c r="Y1120" t="str">
        <f>VLOOKUP(W1120,Sheet4!$A$5:$B$71,2,0)</f>
        <v>RE STYLING</v>
      </c>
      <c r="Z1120">
        <v>87082900</v>
      </c>
      <c r="AA1120">
        <v>15</v>
      </c>
      <c r="AB1120" t="s">
        <v>159</v>
      </c>
      <c r="AC1120" s="24">
        <v>6585.55</v>
      </c>
      <c r="AD1120" t="s">
        <v>160</v>
      </c>
      <c r="AE1120" s="24">
        <v>98783.25</v>
      </c>
      <c r="AF1120">
        <v>0</v>
      </c>
      <c r="AG1120" s="24">
        <v>98783.25</v>
      </c>
      <c r="AH1120">
        <v>0</v>
      </c>
      <c r="AI1120">
        <v>0</v>
      </c>
      <c r="AJ1120">
        <v>0</v>
      </c>
      <c r="AK1120">
        <v>0</v>
      </c>
      <c r="AL1120" s="24">
        <v>98783.25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 s="24">
        <v>98783.25</v>
      </c>
      <c r="AV1120">
        <v>0</v>
      </c>
      <c r="AW1120">
        <v>0</v>
      </c>
      <c r="AX1120">
        <v>311000</v>
      </c>
      <c r="AY1120" t="s">
        <v>161</v>
      </c>
      <c r="AZ1120">
        <v>49.75</v>
      </c>
      <c r="BA1120">
        <v>49.75</v>
      </c>
      <c r="BB1120">
        <v>0</v>
      </c>
      <c r="BC1120" t="s">
        <v>171</v>
      </c>
      <c r="BD1120">
        <v>1509</v>
      </c>
      <c r="BE1120" t="s">
        <v>169</v>
      </c>
      <c r="BF1120" t="s">
        <v>163</v>
      </c>
      <c r="BG1120" t="s">
        <v>164</v>
      </c>
    </row>
    <row r="1121" spans="1:59">
      <c r="A1121">
        <v>1115</v>
      </c>
      <c r="B1121">
        <v>1115</v>
      </c>
      <c r="C1121">
        <v>10</v>
      </c>
      <c r="D1121">
        <v>2</v>
      </c>
      <c r="E1121" t="s">
        <v>152</v>
      </c>
      <c r="F1121" t="s">
        <v>153</v>
      </c>
      <c r="G1121" t="s">
        <v>154</v>
      </c>
      <c r="H1121">
        <v>1526006637</v>
      </c>
      <c r="I1121">
        <v>1000006912</v>
      </c>
      <c r="L1121" t="s">
        <v>355</v>
      </c>
      <c r="M1121">
        <v>5100001636</v>
      </c>
      <c r="N1121" t="s">
        <v>155</v>
      </c>
      <c r="O1121" t="s">
        <v>156</v>
      </c>
      <c r="P1121">
        <v>4110026445</v>
      </c>
      <c r="Q1121" t="s">
        <v>170</v>
      </c>
      <c r="R1121">
        <v>5000</v>
      </c>
      <c r="S1121" t="s">
        <v>166</v>
      </c>
      <c r="V1121" t="s">
        <v>167</v>
      </c>
      <c r="W1121">
        <v>1502020104</v>
      </c>
      <c r="X1121" t="s">
        <v>26</v>
      </c>
      <c r="Y1121" t="str">
        <f>VLOOKUP(W1121,Sheet4!$A$5:$B$71,2,0)</f>
        <v>RE STYLING</v>
      </c>
      <c r="Z1121">
        <v>87082900</v>
      </c>
      <c r="AA1121">
        <v>15</v>
      </c>
      <c r="AB1121" t="s">
        <v>159</v>
      </c>
      <c r="AC1121" s="24">
        <v>6585.55</v>
      </c>
      <c r="AD1121" t="s">
        <v>160</v>
      </c>
      <c r="AE1121" s="24">
        <v>98783.25</v>
      </c>
      <c r="AF1121">
        <v>0</v>
      </c>
      <c r="AG1121" s="24">
        <v>98783.25</v>
      </c>
      <c r="AH1121">
        <v>0</v>
      </c>
      <c r="AI1121">
        <v>0</v>
      </c>
      <c r="AJ1121">
        <v>0</v>
      </c>
      <c r="AK1121">
        <v>0</v>
      </c>
      <c r="AL1121" s="24">
        <v>98783.25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 s="24">
        <v>98783.25</v>
      </c>
      <c r="AV1121">
        <v>0</v>
      </c>
      <c r="AW1121">
        <v>0</v>
      </c>
      <c r="AX1121">
        <v>311000</v>
      </c>
      <c r="AY1121" t="s">
        <v>161</v>
      </c>
      <c r="AZ1121">
        <v>49.75</v>
      </c>
      <c r="BA1121">
        <v>49.75</v>
      </c>
      <c r="BB1121">
        <v>0</v>
      </c>
      <c r="BC1121" t="s">
        <v>171</v>
      </c>
      <c r="BD1121">
        <v>1509</v>
      </c>
      <c r="BE1121" t="s">
        <v>169</v>
      </c>
      <c r="BF1121" t="s">
        <v>163</v>
      </c>
      <c r="BG1121" t="s">
        <v>164</v>
      </c>
    </row>
    <row r="1122" spans="1:59">
      <c r="A1122">
        <v>1115</v>
      </c>
      <c r="B1122">
        <v>1115</v>
      </c>
      <c r="C1122">
        <v>10</v>
      </c>
      <c r="D1122">
        <v>2</v>
      </c>
      <c r="E1122" t="s">
        <v>152</v>
      </c>
      <c r="F1122" t="s">
        <v>153</v>
      </c>
      <c r="G1122" t="s">
        <v>154</v>
      </c>
      <c r="H1122">
        <v>1526006636</v>
      </c>
      <c r="I1122">
        <v>1000006911</v>
      </c>
      <c r="L1122" t="s">
        <v>355</v>
      </c>
      <c r="M1122">
        <v>5100001928</v>
      </c>
      <c r="N1122" t="s">
        <v>155</v>
      </c>
      <c r="O1122" t="s">
        <v>156</v>
      </c>
      <c r="P1122">
        <v>4110057393</v>
      </c>
      <c r="Q1122" t="s">
        <v>192</v>
      </c>
      <c r="R1122">
        <v>5000</v>
      </c>
      <c r="S1122" t="s">
        <v>166</v>
      </c>
      <c r="V1122" t="s">
        <v>167</v>
      </c>
      <c r="W1122">
        <v>1502020122</v>
      </c>
      <c r="X1122" t="s">
        <v>70</v>
      </c>
      <c r="Y1122" t="str">
        <f>VLOOKUP(W1122,Sheet4!$A$5:$B$71,2,0)</f>
        <v>MAX UG NEW EV</v>
      </c>
      <c r="Z1122">
        <v>87082900</v>
      </c>
      <c r="AA1122">
        <v>10</v>
      </c>
      <c r="AB1122" t="s">
        <v>159</v>
      </c>
      <c r="AC1122" s="24">
        <v>9566.51</v>
      </c>
      <c r="AD1122" t="s">
        <v>160</v>
      </c>
      <c r="AE1122" s="24">
        <v>95665.1</v>
      </c>
      <c r="AF1122">
        <v>0</v>
      </c>
      <c r="AG1122" s="24">
        <v>95665.1</v>
      </c>
      <c r="AH1122">
        <v>0</v>
      </c>
      <c r="AI1122">
        <v>0</v>
      </c>
      <c r="AJ1122">
        <v>0</v>
      </c>
      <c r="AK1122">
        <v>0</v>
      </c>
      <c r="AL1122" s="24">
        <v>95665.1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 s="24">
        <v>95665.1</v>
      </c>
      <c r="AV1122">
        <v>0</v>
      </c>
      <c r="AW1122">
        <v>0</v>
      </c>
      <c r="AX1122">
        <v>311000</v>
      </c>
      <c r="AY1122" t="s">
        <v>161</v>
      </c>
      <c r="AZ1122">
        <v>0</v>
      </c>
      <c r="BA1122">
        <v>61</v>
      </c>
      <c r="BB1122">
        <v>-61</v>
      </c>
      <c r="BC1122" t="s">
        <v>193</v>
      </c>
      <c r="BD1122">
        <v>1509</v>
      </c>
      <c r="BE1122" t="s">
        <v>169</v>
      </c>
      <c r="BF1122" t="s">
        <v>163</v>
      </c>
      <c r="BG1122" t="s">
        <v>164</v>
      </c>
    </row>
    <row r="1123" spans="1:59">
      <c r="A1123">
        <v>1115</v>
      </c>
      <c r="B1123">
        <v>1115</v>
      </c>
      <c r="C1123">
        <v>10</v>
      </c>
      <c r="D1123">
        <v>2</v>
      </c>
      <c r="E1123" t="s">
        <v>152</v>
      </c>
      <c r="F1123" t="s">
        <v>153</v>
      </c>
      <c r="G1123" t="s">
        <v>154</v>
      </c>
      <c r="H1123">
        <v>1526006635</v>
      </c>
      <c r="I1123">
        <v>1000006910</v>
      </c>
      <c r="L1123" t="s">
        <v>355</v>
      </c>
      <c r="M1123">
        <v>5100001928</v>
      </c>
      <c r="N1123" t="s">
        <v>155</v>
      </c>
      <c r="O1123" t="s">
        <v>156</v>
      </c>
      <c r="P1123">
        <v>4110057393</v>
      </c>
      <c r="Q1123" t="s">
        <v>192</v>
      </c>
      <c r="R1123">
        <v>5000</v>
      </c>
      <c r="S1123" t="s">
        <v>166</v>
      </c>
      <c r="V1123" t="s">
        <v>167</v>
      </c>
      <c r="W1123">
        <v>1502020122</v>
      </c>
      <c r="X1123" t="s">
        <v>70</v>
      </c>
      <c r="Y1123" t="str">
        <f>VLOOKUP(W1123,Sheet4!$A$5:$B$71,2,0)</f>
        <v>MAX UG NEW EV</v>
      </c>
      <c r="Z1123">
        <v>87082900</v>
      </c>
      <c r="AA1123">
        <v>10</v>
      </c>
      <c r="AB1123" t="s">
        <v>159</v>
      </c>
      <c r="AC1123" s="24">
        <v>9566.51</v>
      </c>
      <c r="AD1123" t="s">
        <v>160</v>
      </c>
      <c r="AE1123" s="24">
        <v>95665.1</v>
      </c>
      <c r="AF1123">
        <v>0</v>
      </c>
      <c r="AG1123" s="24">
        <v>95665.1</v>
      </c>
      <c r="AH1123">
        <v>0</v>
      </c>
      <c r="AI1123">
        <v>0</v>
      </c>
      <c r="AJ1123">
        <v>0</v>
      </c>
      <c r="AK1123">
        <v>0</v>
      </c>
      <c r="AL1123" s="24">
        <v>95665.1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 s="24">
        <v>95665.1</v>
      </c>
      <c r="AV1123">
        <v>0</v>
      </c>
      <c r="AW1123">
        <v>0</v>
      </c>
      <c r="AX1123">
        <v>311000</v>
      </c>
      <c r="AY1123" t="s">
        <v>161</v>
      </c>
      <c r="AZ1123">
        <v>0</v>
      </c>
      <c r="BA1123">
        <v>61</v>
      </c>
      <c r="BB1123">
        <v>-61</v>
      </c>
      <c r="BC1123" t="s">
        <v>193</v>
      </c>
      <c r="BD1123">
        <v>1509</v>
      </c>
      <c r="BE1123" t="s">
        <v>169</v>
      </c>
      <c r="BF1123" t="s">
        <v>163</v>
      </c>
      <c r="BG1123" t="s">
        <v>164</v>
      </c>
    </row>
    <row r="1124" spans="1:59">
      <c r="A1124">
        <v>1115</v>
      </c>
      <c r="B1124">
        <v>1115</v>
      </c>
      <c r="C1124">
        <v>10</v>
      </c>
      <c r="D1124">
        <v>2</v>
      </c>
      <c r="E1124" t="s">
        <v>152</v>
      </c>
      <c r="F1124" t="s">
        <v>153</v>
      </c>
      <c r="G1124" t="s">
        <v>154</v>
      </c>
      <c r="H1124">
        <v>1526006634</v>
      </c>
      <c r="I1124">
        <v>1000006909</v>
      </c>
      <c r="L1124" t="s">
        <v>355</v>
      </c>
      <c r="M1124">
        <v>5100001928</v>
      </c>
      <c r="N1124" t="s">
        <v>155</v>
      </c>
      <c r="O1124" t="s">
        <v>156</v>
      </c>
      <c r="P1124">
        <v>4110057393</v>
      </c>
      <c r="Q1124" t="s">
        <v>192</v>
      </c>
      <c r="R1124">
        <v>5000</v>
      </c>
      <c r="S1124" t="s">
        <v>166</v>
      </c>
      <c r="V1124" t="s">
        <v>167</v>
      </c>
      <c r="W1124">
        <v>1502020122</v>
      </c>
      <c r="X1124" t="s">
        <v>70</v>
      </c>
      <c r="Y1124" t="str">
        <f>VLOOKUP(W1124,Sheet4!$A$5:$B$71,2,0)</f>
        <v>MAX UG NEW EV</v>
      </c>
      <c r="Z1124">
        <v>87082900</v>
      </c>
      <c r="AA1124">
        <v>10</v>
      </c>
      <c r="AB1124" t="s">
        <v>159</v>
      </c>
      <c r="AC1124" s="24">
        <v>9566.51</v>
      </c>
      <c r="AD1124" t="s">
        <v>160</v>
      </c>
      <c r="AE1124" s="24">
        <v>95665.1</v>
      </c>
      <c r="AF1124">
        <v>0</v>
      </c>
      <c r="AG1124" s="24">
        <v>95665.1</v>
      </c>
      <c r="AH1124">
        <v>0</v>
      </c>
      <c r="AI1124">
        <v>0</v>
      </c>
      <c r="AJ1124">
        <v>0</v>
      </c>
      <c r="AK1124">
        <v>0</v>
      </c>
      <c r="AL1124" s="24">
        <v>95665.1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 s="24">
        <v>95665.1</v>
      </c>
      <c r="AV1124">
        <v>0</v>
      </c>
      <c r="AW1124">
        <v>0</v>
      </c>
      <c r="AX1124">
        <v>311000</v>
      </c>
      <c r="AY1124" t="s">
        <v>161</v>
      </c>
      <c r="AZ1124">
        <v>0</v>
      </c>
      <c r="BA1124">
        <v>61</v>
      </c>
      <c r="BB1124">
        <v>-61</v>
      </c>
      <c r="BC1124" t="s">
        <v>193</v>
      </c>
      <c r="BD1124">
        <v>1509</v>
      </c>
      <c r="BE1124" t="s">
        <v>169</v>
      </c>
      <c r="BF1124" t="s">
        <v>163</v>
      </c>
      <c r="BG1124" t="s">
        <v>164</v>
      </c>
    </row>
    <row r="1125" spans="1:59">
      <c r="A1125">
        <v>1115</v>
      </c>
      <c r="B1125">
        <v>1115</v>
      </c>
      <c r="C1125">
        <v>10</v>
      </c>
      <c r="D1125">
        <v>2</v>
      </c>
      <c r="E1125" t="s">
        <v>152</v>
      </c>
      <c r="F1125" t="s">
        <v>153</v>
      </c>
      <c r="G1125" t="s">
        <v>154</v>
      </c>
      <c r="H1125">
        <v>1526006633</v>
      </c>
      <c r="I1125">
        <v>1000006908</v>
      </c>
      <c r="L1125" t="s">
        <v>355</v>
      </c>
      <c r="M1125">
        <v>5100001928</v>
      </c>
      <c r="N1125" t="s">
        <v>155</v>
      </c>
      <c r="O1125" t="s">
        <v>156</v>
      </c>
      <c r="P1125">
        <v>4110057393</v>
      </c>
      <c r="Q1125" t="s">
        <v>192</v>
      </c>
      <c r="R1125">
        <v>5000</v>
      </c>
      <c r="S1125" t="s">
        <v>166</v>
      </c>
      <c r="V1125" t="s">
        <v>167</v>
      </c>
      <c r="W1125">
        <v>1502020122</v>
      </c>
      <c r="X1125" t="s">
        <v>70</v>
      </c>
      <c r="Y1125" t="str">
        <f>VLOOKUP(W1125,Sheet4!$A$5:$B$71,2,0)</f>
        <v>MAX UG NEW EV</v>
      </c>
      <c r="Z1125">
        <v>87082900</v>
      </c>
      <c r="AA1125">
        <v>10</v>
      </c>
      <c r="AB1125" t="s">
        <v>159</v>
      </c>
      <c r="AC1125" s="24">
        <v>9566.51</v>
      </c>
      <c r="AD1125" t="s">
        <v>160</v>
      </c>
      <c r="AE1125" s="24">
        <v>95665.1</v>
      </c>
      <c r="AF1125">
        <v>0</v>
      </c>
      <c r="AG1125" s="24">
        <v>95665.1</v>
      </c>
      <c r="AH1125">
        <v>0</v>
      </c>
      <c r="AI1125">
        <v>0</v>
      </c>
      <c r="AJ1125">
        <v>0</v>
      </c>
      <c r="AK1125">
        <v>0</v>
      </c>
      <c r="AL1125" s="24">
        <v>95665.1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 s="24">
        <v>95665.1</v>
      </c>
      <c r="AV1125">
        <v>0</v>
      </c>
      <c r="AW1125">
        <v>0</v>
      </c>
      <c r="AX1125">
        <v>311000</v>
      </c>
      <c r="AY1125" t="s">
        <v>161</v>
      </c>
      <c r="AZ1125">
        <v>0</v>
      </c>
      <c r="BA1125">
        <v>61</v>
      </c>
      <c r="BB1125">
        <v>-61</v>
      </c>
      <c r="BC1125" t="s">
        <v>193</v>
      </c>
      <c r="BD1125">
        <v>1509</v>
      </c>
      <c r="BE1125" t="s">
        <v>169</v>
      </c>
      <c r="BF1125" t="s">
        <v>163</v>
      </c>
      <c r="BG1125" t="s">
        <v>164</v>
      </c>
    </row>
    <row r="1126" spans="1:59">
      <c r="A1126">
        <v>1115</v>
      </c>
      <c r="B1126">
        <v>1115</v>
      </c>
      <c r="C1126">
        <v>10</v>
      </c>
      <c r="D1126">
        <v>2</v>
      </c>
      <c r="E1126" t="s">
        <v>152</v>
      </c>
      <c r="F1126" t="s">
        <v>153</v>
      </c>
      <c r="G1126" t="s">
        <v>154</v>
      </c>
      <c r="H1126">
        <v>1526006632</v>
      </c>
      <c r="I1126">
        <v>1000006907</v>
      </c>
      <c r="L1126" t="s">
        <v>355</v>
      </c>
      <c r="M1126">
        <v>5100001928</v>
      </c>
      <c r="N1126" t="s">
        <v>155</v>
      </c>
      <c r="O1126" t="s">
        <v>156</v>
      </c>
      <c r="P1126">
        <v>4110057393</v>
      </c>
      <c r="Q1126" t="s">
        <v>192</v>
      </c>
      <c r="R1126">
        <v>5000</v>
      </c>
      <c r="S1126" t="s">
        <v>166</v>
      </c>
      <c r="V1126" t="s">
        <v>167</v>
      </c>
      <c r="W1126">
        <v>1502020122</v>
      </c>
      <c r="X1126" t="s">
        <v>70</v>
      </c>
      <c r="Y1126" t="str">
        <f>VLOOKUP(W1126,Sheet4!$A$5:$B$71,2,0)</f>
        <v>MAX UG NEW EV</v>
      </c>
      <c r="Z1126">
        <v>87082900</v>
      </c>
      <c r="AA1126">
        <v>10</v>
      </c>
      <c r="AB1126" t="s">
        <v>159</v>
      </c>
      <c r="AC1126" s="24">
        <v>9566.51</v>
      </c>
      <c r="AD1126" t="s">
        <v>160</v>
      </c>
      <c r="AE1126" s="24">
        <v>95665.1</v>
      </c>
      <c r="AF1126">
        <v>0</v>
      </c>
      <c r="AG1126" s="24">
        <v>95665.1</v>
      </c>
      <c r="AH1126">
        <v>0</v>
      </c>
      <c r="AI1126">
        <v>0</v>
      </c>
      <c r="AJ1126">
        <v>0</v>
      </c>
      <c r="AK1126">
        <v>0</v>
      </c>
      <c r="AL1126" s="24">
        <v>95665.1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s="24">
        <v>95665.1</v>
      </c>
      <c r="AV1126">
        <v>0</v>
      </c>
      <c r="AW1126">
        <v>0</v>
      </c>
      <c r="AX1126">
        <v>311000</v>
      </c>
      <c r="AY1126" t="s">
        <v>161</v>
      </c>
      <c r="AZ1126">
        <v>0</v>
      </c>
      <c r="BA1126">
        <v>61</v>
      </c>
      <c r="BB1126">
        <v>-61</v>
      </c>
      <c r="BC1126" t="s">
        <v>193</v>
      </c>
      <c r="BD1126">
        <v>1509</v>
      </c>
      <c r="BE1126" t="s">
        <v>169</v>
      </c>
      <c r="BF1126" t="s">
        <v>163</v>
      </c>
      <c r="BG1126" t="s">
        <v>164</v>
      </c>
    </row>
    <row r="1127" spans="1:59">
      <c r="A1127">
        <v>1115</v>
      </c>
      <c r="B1127">
        <v>1115</v>
      </c>
      <c r="C1127">
        <v>10</v>
      </c>
      <c r="D1127">
        <v>2</v>
      </c>
      <c r="E1127" t="s">
        <v>152</v>
      </c>
      <c r="F1127" t="s">
        <v>153</v>
      </c>
      <c r="G1127" t="s">
        <v>154</v>
      </c>
      <c r="H1127">
        <v>1526006631</v>
      </c>
      <c r="I1127">
        <v>1000006905</v>
      </c>
      <c r="L1127" t="s">
        <v>355</v>
      </c>
      <c r="M1127">
        <v>5100001636</v>
      </c>
      <c r="N1127" t="s">
        <v>155</v>
      </c>
      <c r="O1127" t="s">
        <v>156</v>
      </c>
      <c r="P1127">
        <v>4110026445</v>
      </c>
      <c r="Q1127" t="s">
        <v>170</v>
      </c>
      <c r="R1127">
        <v>5000</v>
      </c>
      <c r="S1127" t="s">
        <v>166</v>
      </c>
      <c r="V1127" t="s">
        <v>167</v>
      </c>
      <c r="W1127">
        <v>1502020104</v>
      </c>
      <c r="X1127" t="s">
        <v>26</v>
      </c>
      <c r="Y1127" t="str">
        <f>VLOOKUP(W1127,Sheet4!$A$5:$B$71,2,0)</f>
        <v>RE STYLING</v>
      </c>
      <c r="Z1127">
        <v>87082900</v>
      </c>
      <c r="AA1127">
        <v>15</v>
      </c>
      <c r="AB1127" t="s">
        <v>159</v>
      </c>
      <c r="AC1127" s="24">
        <v>6585.55</v>
      </c>
      <c r="AD1127" t="s">
        <v>160</v>
      </c>
      <c r="AE1127" s="24">
        <v>98783.25</v>
      </c>
      <c r="AF1127">
        <v>0</v>
      </c>
      <c r="AG1127" s="24">
        <v>98783.25</v>
      </c>
      <c r="AH1127">
        <v>0</v>
      </c>
      <c r="AI1127">
        <v>0</v>
      </c>
      <c r="AJ1127">
        <v>0</v>
      </c>
      <c r="AK1127">
        <v>0</v>
      </c>
      <c r="AL1127" s="24">
        <v>98783.25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 s="24">
        <v>98783.25</v>
      </c>
      <c r="AV1127">
        <v>0</v>
      </c>
      <c r="AW1127">
        <v>0</v>
      </c>
      <c r="AX1127">
        <v>311000</v>
      </c>
      <c r="AY1127" t="s">
        <v>161</v>
      </c>
      <c r="AZ1127">
        <v>49.75</v>
      </c>
      <c r="BA1127">
        <v>49.75</v>
      </c>
      <c r="BB1127">
        <v>0</v>
      </c>
      <c r="BC1127" t="s">
        <v>171</v>
      </c>
      <c r="BD1127">
        <v>1509</v>
      </c>
      <c r="BE1127" t="s">
        <v>169</v>
      </c>
      <c r="BF1127" t="s">
        <v>163</v>
      </c>
      <c r="BG1127" t="s">
        <v>164</v>
      </c>
    </row>
    <row r="1128" spans="1:59">
      <c r="A1128">
        <v>1115</v>
      </c>
      <c r="B1128">
        <v>1115</v>
      </c>
      <c r="C1128">
        <v>10</v>
      </c>
      <c r="D1128">
        <v>2</v>
      </c>
      <c r="E1128" t="s">
        <v>152</v>
      </c>
      <c r="F1128" t="s">
        <v>153</v>
      </c>
      <c r="G1128" t="s">
        <v>154</v>
      </c>
      <c r="H1128">
        <v>1526006630</v>
      </c>
      <c r="I1128">
        <v>1000006904</v>
      </c>
      <c r="L1128" t="s">
        <v>355</v>
      </c>
      <c r="M1128">
        <v>5100001636</v>
      </c>
      <c r="N1128" t="s">
        <v>155</v>
      </c>
      <c r="O1128" t="s">
        <v>156</v>
      </c>
      <c r="P1128">
        <v>4110026445</v>
      </c>
      <c r="Q1128" t="s">
        <v>170</v>
      </c>
      <c r="R1128">
        <v>5000</v>
      </c>
      <c r="S1128" t="s">
        <v>166</v>
      </c>
      <c r="V1128" t="s">
        <v>167</v>
      </c>
      <c r="W1128">
        <v>1502020104</v>
      </c>
      <c r="X1128" t="s">
        <v>26</v>
      </c>
      <c r="Y1128" t="str">
        <f>VLOOKUP(W1128,Sheet4!$A$5:$B$71,2,0)</f>
        <v>RE STYLING</v>
      </c>
      <c r="Z1128">
        <v>87082900</v>
      </c>
      <c r="AA1128">
        <v>15</v>
      </c>
      <c r="AB1128" t="s">
        <v>159</v>
      </c>
      <c r="AC1128" s="24">
        <v>6585.55</v>
      </c>
      <c r="AD1128" t="s">
        <v>160</v>
      </c>
      <c r="AE1128" s="24">
        <v>98783.25</v>
      </c>
      <c r="AF1128">
        <v>0</v>
      </c>
      <c r="AG1128" s="24">
        <v>98783.25</v>
      </c>
      <c r="AH1128">
        <v>0</v>
      </c>
      <c r="AI1128">
        <v>0</v>
      </c>
      <c r="AJ1128">
        <v>0</v>
      </c>
      <c r="AK1128">
        <v>0</v>
      </c>
      <c r="AL1128" s="24">
        <v>98783.25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 s="24">
        <v>98783.25</v>
      </c>
      <c r="AV1128">
        <v>0</v>
      </c>
      <c r="AW1128">
        <v>0</v>
      </c>
      <c r="AX1128">
        <v>311000</v>
      </c>
      <c r="AY1128" t="s">
        <v>161</v>
      </c>
      <c r="AZ1128">
        <v>49.75</v>
      </c>
      <c r="BA1128">
        <v>49.75</v>
      </c>
      <c r="BB1128">
        <v>0</v>
      </c>
      <c r="BC1128" t="s">
        <v>171</v>
      </c>
      <c r="BD1128">
        <v>1509</v>
      </c>
      <c r="BE1128" t="s">
        <v>169</v>
      </c>
      <c r="BF1128" t="s">
        <v>163</v>
      </c>
      <c r="BG1128" t="s">
        <v>164</v>
      </c>
    </row>
    <row r="1129" spans="1:59">
      <c r="A1129">
        <v>1115</v>
      </c>
      <c r="B1129">
        <v>1115</v>
      </c>
      <c r="C1129">
        <v>10</v>
      </c>
      <c r="D1129">
        <v>2</v>
      </c>
      <c r="E1129" t="s">
        <v>152</v>
      </c>
      <c r="F1129" t="s">
        <v>153</v>
      </c>
      <c r="G1129" t="s">
        <v>154</v>
      </c>
      <c r="H1129">
        <v>1526006629</v>
      </c>
      <c r="I1129">
        <v>1000006903</v>
      </c>
      <c r="L1129" t="s">
        <v>355</v>
      </c>
      <c r="M1129">
        <v>5100001603</v>
      </c>
      <c r="N1129" t="s">
        <v>155</v>
      </c>
      <c r="O1129" t="s">
        <v>156</v>
      </c>
      <c r="P1129">
        <v>4110025468</v>
      </c>
      <c r="Q1129" t="s">
        <v>165</v>
      </c>
      <c r="R1129">
        <v>5000</v>
      </c>
      <c r="S1129" t="s">
        <v>166</v>
      </c>
      <c r="V1129" t="s">
        <v>167</v>
      </c>
      <c r="W1129">
        <v>1502020102</v>
      </c>
      <c r="X1129" t="s">
        <v>58</v>
      </c>
      <c r="Y1129" t="str">
        <f>VLOOKUP(W1129,Sheet4!$A$5:$B$71,2,0)</f>
        <v>MAXIMA HD</v>
      </c>
      <c r="Z1129">
        <v>87082900</v>
      </c>
      <c r="AA1129">
        <v>8</v>
      </c>
      <c r="AB1129" t="s">
        <v>159</v>
      </c>
      <c r="AC1129" s="24">
        <v>8593.51</v>
      </c>
      <c r="AD1129" t="s">
        <v>160</v>
      </c>
      <c r="AE1129" s="24">
        <v>68748.08</v>
      </c>
      <c r="AF1129">
        <v>0</v>
      </c>
      <c r="AG1129" s="24">
        <v>68748.08</v>
      </c>
      <c r="AH1129">
        <v>0</v>
      </c>
      <c r="AI1129">
        <v>0</v>
      </c>
      <c r="AJ1129">
        <v>0</v>
      </c>
      <c r="AK1129">
        <v>0</v>
      </c>
      <c r="AL1129" s="24">
        <v>68748.08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 s="24">
        <v>68748.08</v>
      </c>
      <c r="AV1129">
        <v>0</v>
      </c>
      <c r="AW1129">
        <v>0</v>
      </c>
      <c r="AX1129">
        <v>311000</v>
      </c>
      <c r="AY1129" t="s">
        <v>161</v>
      </c>
      <c r="AZ1129">
        <v>93.34</v>
      </c>
      <c r="BA1129">
        <v>75.430000000000007</v>
      </c>
      <c r="BB1129">
        <v>17.91</v>
      </c>
      <c r="BC1129" t="s">
        <v>168</v>
      </c>
      <c r="BD1129">
        <v>1509</v>
      </c>
      <c r="BE1129" t="s">
        <v>169</v>
      </c>
      <c r="BF1129" t="s">
        <v>163</v>
      </c>
      <c r="BG1129" t="s">
        <v>164</v>
      </c>
    </row>
    <row r="1130" spans="1:59">
      <c r="A1130">
        <v>1115</v>
      </c>
      <c r="B1130">
        <v>1115</v>
      </c>
      <c r="C1130">
        <v>10</v>
      </c>
      <c r="D1130">
        <v>2</v>
      </c>
      <c r="E1130" t="s">
        <v>152</v>
      </c>
      <c r="F1130" t="s">
        <v>153</v>
      </c>
      <c r="G1130" t="s">
        <v>154</v>
      </c>
      <c r="H1130">
        <v>1526006628</v>
      </c>
      <c r="I1130">
        <v>1000006902</v>
      </c>
      <c r="L1130" t="s">
        <v>355</v>
      </c>
      <c r="M1130">
        <v>5100001603</v>
      </c>
      <c r="N1130" t="s">
        <v>155</v>
      </c>
      <c r="O1130" t="s">
        <v>156</v>
      </c>
      <c r="P1130">
        <v>4110025468</v>
      </c>
      <c r="Q1130" t="s">
        <v>165</v>
      </c>
      <c r="R1130">
        <v>5000</v>
      </c>
      <c r="S1130" t="s">
        <v>166</v>
      </c>
      <c r="V1130" t="s">
        <v>167</v>
      </c>
      <c r="W1130">
        <v>1502020102</v>
      </c>
      <c r="X1130" t="s">
        <v>58</v>
      </c>
      <c r="Y1130" t="str">
        <f>VLOOKUP(W1130,Sheet4!$A$5:$B$71,2,0)</f>
        <v>MAXIMA HD</v>
      </c>
      <c r="Z1130">
        <v>87082900</v>
      </c>
      <c r="AA1130">
        <v>8</v>
      </c>
      <c r="AB1130" t="s">
        <v>159</v>
      </c>
      <c r="AC1130" s="24">
        <v>8593.51</v>
      </c>
      <c r="AD1130" t="s">
        <v>160</v>
      </c>
      <c r="AE1130" s="24">
        <v>68748.08</v>
      </c>
      <c r="AF1130">
        <v>0</v>
      </c>
      <c r="AG1130" s="24">
        <v>68748.08</v>
      </c>
      <c r="AH1130">
        <v>0</v>
      </c>
      <c r="AI1130">
        <v>0</v>
      </c>
      <c r="AJ1130">
        <v>0</v>
      </c>
      <c r="AK1130">
        <v>0</v>
      </c>
      <c r="AL1130" s="24">
        <v>68748.08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 s="24">
        <v>68748.08</v>
      </c>
      <c r="AV1130">
        <v>0</v>
      </c>
      <c r="AW1130">
        <v>0</v>
      </c>
      <c r="AX1130">
        <v>311000</v>
      </c>
      <c r="AY1130" t="s">
        <v>161</v>
      </c>
      <c r="AZ1130">
        <v>93.34</v>
      </c>
      <c r="BA1130">
        <v>75.430000000000007</v>
      </c>
      <c r="BB1130">
        <v>17.91</v>
      </c>
      <c r="BC1130" t="s">
        <v>168</v>
      </c>
      <c r="BD1130">
        <v>1509</v>
      </c>
      <c r="BE1130" t="s">
        <v>169</v>
      </c>
      <c r="BF1130" t="s">
        <v>163</v>
      </c>
      <c r="BG1130" t="s">
        <v>164</v>
      </c>
    </row>
    <row r="1131" spans="1:59">
      <c r="A1131">
        <v>1115</v>
      </c>
      <c r="B1131">
        <v>1115</v>
      </c>
      <c r="C1131">
        <v>10</v>
      </c>
      <c r="D1131">
        <v>2</v>
      </c>
      <c r="E1131" t="s">
        <v>152</v>
      </c>
      <c r="F1131" t="s">
        <v>153</v>
      </c>
      <c r="G1131" t="s">
        <v>154</v>
      </c>
      <c r="H1131">
        <v>1526006627</v>
      </c>
      <c r="I1131">
        <v>1000006901</v>
      </c>
      <c r="L1131" t="s">
        <v>355</v>
      </c>
      <c r="M1131">
        <v>5100001636</v>
      </c>
      <c r="N1131" t="s">
        <v>155</v>
      </c>
      <c r="O1131" t="s">
        <v>156</v>
      </c>
      <c r="P1131">
        <v>4110026445</v>
      </c>
      <c r="Q1131" t="s">
        <v>170</v>
      </c>
      <c r="R1131">
        <v>5000</v>
      </c>
      <c r="S1131" t="s">
        <v>166</v>
      </c>
      <c r="V1131" t="s">
        <v>167</v>
      </c>
      <c r="W1131">
        <v>1502020104</v>
      </c>
      <c r="X1131" t="s">
        <v>26</v>
      </c>
      <c r="Y1131" t="str">
        <f>VLOOKUP(W1131,Sheet4!$A$5:$B$71,2,0)</f>
        <v>RE STYLING</v>
      </c>
      <c r="Z1131">
        <v>87082900</v>
      </c>
      <c r="AA1131">
        <v>15</v>
      </c>
      <c r="AB1131" t="s">
        <v>159</v>
      </c>
      <c r="AC1131" s="24">
        <v>6585.55</v>
      </c>
      <c r="AD1131" t="s">
        <v>160</v>
      </c>
      <c r="AE1131" s="24">
        <v>98783.25</v>
      </c>
      <c r="AF1131">
        <v>0</v>
      </c>
      <c r="AG1131" s="24">
        <v>98783.25</v>
      </c>
      <c r="AH1131">
        <v>0</v>
      </c>
      <c r="AI1131">
        <v>0</v>
      </c>
      <c r="AJ1131">
        <v>0</v>
      </c>
      <c r="AK1131">
        <v>0</v>
      </c>
      <c r="AL1131" s="24">
        <v>98783.25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 s="24">
        <v>98783.25</v>
      </c>
      <c r="AV1131">
        <v>0</v>
      </c>
      <c r="AW1131">
        <v>0</v>
      </c>
      <c r="AX1131">
        <v>311000</v>
      </c>
      <c r="AY1131" t="s">
        <v>161</v>
      </c>
      <c r="AZ1131">
        <v>49.75</v>
      </c>
      <c r="BA1131">
        <v>49.75</v>
      </c>
      <c r="BB1131">
        <v>0</v>
      </c>
      <c r="BC1131" t="s">
        <v>171</v>
      </c>
      <c r="BD1131">
        <v>1509</v>
      </c>
      <c r="BE1131" t="s">
        <v>169</v>
      </c>
      <c r="BF1131" t="s">
        <v>163</v>
      </c>
      <c r="BG1131" t="s">
        <v>164</v>
      </c>
    </row>
    <row r="1132" spans="1:59">
      <c r="A1132">
        <v>1115</v>
      </c>
      <c r="B1132">
        <v>1115</v>
      </c>
      <c r="C1132">
        <v>10</v>
      </c>
      <c r="D1132">
        <v>2</v>
      </c>
      <c r="E1132" t="s">
        <v>152</v>
      </c>
      <c r="F1132" t="s">
        <v>153</v>
      </c>
      <c r="G1132" t="s">
        <v>154</v>
      </c>
      <c r="H1132">
        <v>1526006626</v>
      </c>
      <c r="I1132">
        <v>1000006900</v>
      </c>
      <c r="L1132" t="s">
        <v>355</v>
      </c>
      <c r="M1132">
        <v>5100001636</v>
      </c>
      <c r="N1132" t="s">
        <v>155</v>
      </c>
      <c r="O1132" t="s">
        <v>156</v>
      </c>
      <c r="P1132">
        <v>4110026445</v>
      </c>
      <c r="Q1132" t="s">
        <v>170</v>
      </c>
      <c r="R1132">
        <v>5000</v>
      </c>
      <c r="S1132" t="s">
        <v>166</v>
      </c>
      <c r="V1132" t="s">
        <v>167</v>
      </c>
      <c r="W1132">
        <v>1502020104</v>
      </c>
      <c r="X1132" t="s">
        <v>26</v>
      </c>
      <c r="Y1132" t="str">
        <f>VLOOKUP(W1132,Sheet4!$A$5:$B$71,2,0)</f>
        <v>RE STYLING</v>
      </c>
      <c r="Z1132">
        <v>87082900</v>
      </c>
      <c r="AA1132">
        <v>15</v>
      </c>
      <c r="AB1132" t="s">
        <v>159</v>
      </c>
      <c r="AC1132" s="24">
        <v>6585.55</v>
      </c>
      <c r="AD1132" t="s">
        <v>160</v>
      </c>
      <c r="AE1132" s="24">
        <v>98783.25</v>
      </c>
      <c r="AF1132">
        <v>0</v>
      </c>
      <c r="AG1132" s="24">
        <v>98783.25</v>
      </c>
      <c r="AH1132">
        <v>0</v>
      </c>
      <c r="AI1132">
        <v>0</v>
      </c>
      <c r="AJ1132">
        <v>0</v>
      </c>
      <c r="AK1132">
        <v>0</v>
      </c>
      <c r="AL1132" s="24">
        <v>98783.25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 s="24">
        <v>98783.25</v>
      </c>
      <c r="AV1132">
        <v>0</v>
      </c>
      <c r="AW1132">
        <v>0</v>
      </c>
      <c r="AX1132">
        <v>311000</v>
      </c>
      <c r="AY1132" t="s">
        <v>161</v>
      </c>
      <c r="AZ1132">
        <v>49.75</v>
      </c>
      <c r="BA1132">
        <v>49.75</v>
      </c>
      <c r="BB1132">
        <v>0</v>
      </c>
      <c r="BC1132" t="s">
        <v>171</v>
      </c>
      <c r="BD1132">
        <v>1509</v>
      </c>
      <c r="BE1132" t="s">
        <v>169</v>
      </c>
      <c r="BF1132" t="s">
        <v>163</v>
      </c>
      <c r="BG1132" t="s">
        <v>164</v>
      </c>
    </row>
    <row r="1133" spans="1:59">
      <c r="A1133">
        <v>1115</v>
      </c>
      <c r="B1133">
        <v>1115</v>
      </c>
      <c r="C1133">
        <v>10</v>
      </c>
      <c r="D1133">
        <v>2</v>
      </c>
      <c r="E1133" t="s">
        <v>152</v>
      </c>
      <c r="F1133" t="s">
        <v>153</v>
      </c>
      <c r="G1133" t="s">
        <v>154</v>
      </c>
      <c r="H1133">
        <v>1526006624</v>
      </c>
      <c r="I1133">
        <v>1000006899</v>
      </c>
      <c r="L1133" t="s">
        <v>355</v>
      </c>
      <c r="M1133">
        <v>5100001227</v>
      </c>
      <c r="N1133" t="s">
        <v>155</v>
      </c>
      <c r="O1133" t="s">
        <v>156</v>
      </c>
      <c r="P1133">
        <v>4110011319</v>
      </c>
      <c r="Q1133" t="s">
        <v>175</v>
      </c>
      <c r="R1133">
        <v>5000</v>
      </c>
      <c r="S1133" t="s">
        <v>166</v>
      </c>
      <c r="V1133" t="s">
        <v>167</v>
      </c>
      <c r="W1133">
        <v>1502020074</v>
      </c>
      <c r="X1133" t="s">
        <v>28</v>
      </c>
      <c r="Y1133" t="str">
        <f>VLOOKUP(W1133,Sheet4!$A$5:$B$71,2,0)</f>
        <v>MAX UG NEW</v>
      </c>
      <c r="Z1133">
        <v>87082900</v>
      </c>
      <c r="AA1133">
        <v>10</v>
      </c>
      <c r="AB1133" t="s">
        <v>159</v>
      </c>
      <c r="AC1133" s="24">
        <v>9397.5</v>
      </c>
      <c r="AD1133" t="s">
        <v>160</v>
      </c>
      <c r="AE1133" s="24">
        <v>93975</v>
      </c>
      <c r="AF1133">
        <v>0</v>
      </c>
      <c r="AG1133" s="24">
        <v>93975</v>
      </c>
      <c r="AH1133">
        <v>0</v>
      </c>
      <c r="AI1133">
        <v>0</v>
      </c>
      <c r="AJ1133">
        <v>0</v>
      </c>
      <c r="AK1133">
        <v>0</v>
      </c>
      <c r="AL1133" s="24">
        <v>93975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 s="24">
        <v>93975</v>
      </c>
      <c r="AV1133">
        <v>0</v>
      </c>
      <c r="AW1133">
        <v>0</v>
      </c>
      <c r="AX1133">
        <v>311000</v>
      </c>
      <c r="AY1133" t="s">
        <v>161</v>
      </c>
      <c r="AZ1133">
        <v>69.5</v>
      </c>
      <c r="BA1133">
        <v>69.5</v>
      </c>
      <c r="BB1133">
        <v>0</v>
      </c>
      <c r="BC1133" t="s">
        <v>176</v>
      </c>
      <c r="BD1133">
        <v>1509</v>
      </c>
      <c r="BE1133" t="s">
        <v>169</v>
      </c>
      <c r="BF1133" t="s">
        <v>163</v>
      </c>
      <c r="BG1133" t="s">
        <v>164</v>
      </c>
    </row>
    <row r="1134" spans="1:59">
      <c r="A1134">
        <v>1115</v>
      </c>
      <c r="B1134">
        <v>1115</v>
      </c>
      <c r="C1134">
        <v>10</v>
      </c>
      <c r="D1134">
        <v>2</v>
      </c>
      <c r="E1134" t="s">
        <v>152</v>
      </c>
      <c r="F1134" t="s">
        <v>153</v>
      </c>
      <c r="G1134" t="s">
        <v>154</v>
      </c>
      <c r="H1134">
        <v>1526006911</v>
      </c>
      <c r="I1134">
        <v>1000007198</v>
      </c>
      <c r="L1134" t="s">
        <v>362</v>
      </c>
      <c r="M1134">
        <v>5100001666</v>
      </c>
      <c r="N1134" t="s">
        <v>155</v>
      </c>
      <c r="O1134" t="s">
        <v>156</v>
      </c>
      <c r="P1134">
        <v>4110027035</v>
      </c>
      <c r="Q1134" t="s">
        <v>225</v>
      </c>
      <c r="R1134">
        <v>5000</v>
      </c>
      <c r="S1134" t="s">
        <v>166</v>
      </c>
      <c r="V1134" t="s">
        <v>167</v>
      </c>
      <c r="W1134">
        <v>1502020105</v>
      </c>
      <c r="X1134" t="s">
        <v>226</v>
      </c>
      <c r="Y1134" t="str">
        <f>VLOOKUP(W1134,Sheet4!$A$5:$B$71,2,0)</f>
        <v>RE STYLING</v>
      </c>
      <c r="Z1134">
        <v>87082900</v>
      </c>
      <c r="AA1134">
        <v>15</v>
      </c>
      <c r="AB1134" t="s">
        <v>159</v>
      </c>
      <c r="AC1134" s="24">
        <v>6570.77</v>
      </c>
      <c r="AD1134" t="s">
        <v>160</v>
      </c>
      <c r="AE1134" s="24">
        <v>98561.55</v>
      </c>
      <c r="AF1134">
        <v>0</v>
      </c>
      <c r="AG1134" s="24">
        <v>98561.55</v>
      </c>
      <c r="AH1134">
        <v>0</v>
      </c>
      <c r="AI1134">
        <v>0</v>
      </c>
      <c r="AJ1134">
        <v>0</v>
      </c>
      <c r="AK1134">
        <v>0</v>
      </c>
      <c r="AL1134" s="24">
        <v>98561.55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 s="24">
        <v>98561.55</v>
      </c>
      <c r="AV1134">
        <v>0</v>
      </c>
      <c r="AW1134">
        <v>0</v>
      </c>
      <c r="AX1134">
        <v>311000</v>
      </c>
      <c r="AY1134" t="s">
        <v>161</v>
      </c>
      <c r="AZ1134">
        <v>49.75</v>
      </c>
      <c r="BA1134">
        <v>49.75</v>
      </c>
      <c r="BB1134">
        <v>0</v>
      </c>
      <c r="BC1134" t="s">
        <v>227</v>
      </c>
      <c r="BD1134">
        <v>1509</v>
      </c>
      <c r="BE1134" t="s">
        <v>169</v>
      </c>
      <c r="BF1134" t="s">
        <v>163</v>
      </c>
      <c r="BG1134" t="s">
        <v>164</v>
      </c>
    </row>
    <row r="1135" spans="1:59">
      <c r="A1135">
        <v>1115</v>
      </c>
      <c r="B1135">
        <v>1115</v>
      </c>
      <c r="C1135">
        <v>10</v>
      </c>
      <c r="D1135">
        <v>2</v>
      </c>
      <c r="E1135" t="s">
        <v>152</v>
      </c>
      <c r="F1135" t="s">
        <v>153</v>
      </c>
      <c r="G1135" t="s">
        <v>154</v>
      </c>
      <c r="H1135">
        <v>1526006912</v>
      </c>
      <c r="I1135">
        <v>1000007200</v>
      </c>
      <c r="L1135" t="s">
        <v>362</v>
      </c>
      <c r="M1135">
        <v>5100001666</v>
      </c>
      <c r="N1135" t="s">
        <v>155</v>
      </c>
      <c r="O1135" t="s">
        <v>156</v>
      </c>
      <c r="P1135">
        <v>4110027035</v>
      </c>
      <c r="Q1135" t="s">
        <v>225</v>
      </c>
      <c r="R1135">
        <v>5000</v>
      </c>
      <c r="S1135" t="s">
        <v>166</v>
      </c>
      <c r="V1135" t="s">
        <v>167</v>
      </c>
      <c r="W1135">
        <v>1502020105</v>
      </c>
      <c r="X1135" t="s">
        <v>226</v>
      </c>
      <c r="Y1135" t="str">
        <f>VLOOKUP(W1135,Sheet4!$A$5:$B$71,2,0)</f>
        <v>RE STYLING</v>
      </c>
      <c r="Z1135">
        <v>87082900</v>
      </c>
      <c r="AA1135">
        <v>15</v>
      </c>
      <c r="AB1135" t="s">
        <v>159</v>
      </c>
      <c r="AC1135" s="24">
        <v>6570.77</v>
      </c>
      <c r="AD1135" t="s">
        <v>160</v>
      </c>
      <c r="AE1135" s="24">
        <v>98561.55</v>
      </c>
      <c r="AF1135">
        <v>0</v>
      </c>
      <c r="AG1135" s="24">
        <v>98561.55</v>
      </c>
      <c r="AH1135">
        <v>0</v>
      </c>
      <c r="AI1135">
        <v>0</v>
      </c>
      <c r="AJ1135">
        <v>0</v>
      </c>
      <c r="AK1135">
        <v>0</v>
      </c>
      <c r="AL1135" s="24">
        <v>98561.55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 s="24">
        <v>98561.55</v>
      </c>
      <c r="AV1135">
        <v>0</v>
      </c>
      <c r="AW1135">
        <v>0</v>
      </c>
      <c r="AX1135">
        <v>311000</v>
      </c>
      <c r="AY1135" t="s">
        <v>161</v>
      </c>
      <c r="AZ1135">
        <v>49.75</v>
      </c>
      <c r="BA1135">
        <v>49.75</v>
      </c>
      <c r="BB1135">
        <v>0</v>
      </c>
      <c r="BC1135" t="s">
        <v>227</v>
      </c>
      <c r="BD1135">
        <v>1509</v>
      </c>
      <c r="BE1135" t="s">
        <v>169</v>
      </c>
      <c r="BF1135" t="s">
        <v>163</v>
      </c>
      <c r="BG1135" t="s">
        <v>164</v>
      </c>
    </row>
    <row r="1136" spans="1:59">
      <c r="A1136">
        <v>1115</v>
      </c>
      <c r="B1136">
        <v>1115</v>
      </c>
      <c r="C1136">
        <v>10</v>
      </c>
      <c r="D1136">
        <v>2</v>
      </c>
      <c r="E1136" t="s">
        <v>152</v>
      </c>
      <c r="F1136" t="s">
        <v>153</v>
      </c>
      <c r="G1136" t="s">
        <v>154</v>
      </c>
      <c r="H1136">
        <v>1526006917</v>
      </c>
      <c r="I1136">
        <v>1000007203</v>
      </c>
      <c r="L1136" t="s">
        <v>362</v>
      </c>
      <c r="M1136">
        <v>5100001955</v>
      </c>
      <c r="N1136" t="s">
        <v>155</v>
      </c>
      <c r="O1136" t="s">
        <v>156</v>
      </c>
      <c r="P1136">
        <v>5500001432</v>
      </c>
      <c r="Q1136" t="s">
        <v>320</v>
      </c>
      <c r="R1136">
        <v>5356</v>
      </c>
      <c r="S1136" t="s">
        <v>158</v>
      </c>
      <c r="W1136">
        <v>1104040829</v>
      </c>
      <c r="X1136" t="s">
        <v>321</v>
      </c>
      <c r="Y1136" t="s">
        <v>339</v>
      </c>
      <c r="Z1136">
        <v>87141090</v>
      </c>
      <c r="AA1136">
        <v>127</v>
      </c>
      <c r="AB1136" t="s">
        <v>159</v>
      </c>
      <c r="AC1136">
        <v>136.6</v>
      </c>
      <c r="AD1136" t="s">
        <v>160</v>
      </c>
      <c r="AE1136" s="24">
        <v>17348.2</v>
      </c>
      <c r="AF1136">
        <v>0</v>
      </c>
      <c r="AG1136" s="24">
        <v>17348.2</v>
      </c>
      <c r="AH1136">
        <v>0</v>
      </c>
      <c r="AI1136">
        <v>0</v>
      </c>
      <c r="AJ1136">
        <v>0</v>
      </c>
      <c r="AK1136">
        <v>0</v>
      </c>
      <c r="AL1136" s="24">
        <v>17348.2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 s="24">
        <v>17348.2</v>
      </c>
      <c r="AV1136">
        <v>0</v>
      </c>
      <c r="AW1136">
        <v>0</v>
      </c>
      <c r="AX1136">
        <v>311003</v>
      </c>
      <c r="AY1136" t="s">
        <v>322</v>
      </c>
      <c r="AZ1136">
        <v>2.62</v>
      </c>
      <c r="BA1136">
        <v>2.62</v>
      </c>
      <c r="BB1136">
        <v>0</v>
      </c>
      <c r="BC1136">
        <v>2000000894</v>
      </c>
      <c r="BD1136">
        <v>1123</v>
      </c>
      <c r="BE1136" t="s">
        <v>323</v>
      </c>
      <c r="BF1136" t="s">
        <v>163</v>
      </c>
      <c r="BG1136" t="s">
        <v>164</v>
      </c>
    </row>
    <row r="1137" spans="1:59">
      <c r="A1137">
        <v>1115</v>
      </c>
      <c r="B1137">
        <v>1115</v>
      </c>
      <c r="C1137">
        <v>10</v>
      </c>
      <c r="D1137">
        <v>2</v>
      </c>
      <c r="E1137" t="s">
        <v>152</v>
      </c>
      <c r="F1137" t="s">
        <v>153</v>
      </c>
      <c r="G1137" t="s">
        <v>154</v>
      </c>
      <c r="H1137">
        <v>1526006918</v>
      </c>
      <c r="I1137">
        <v>1000007204</v>
      </c>
      <c r="L1137" t="s">
        <v>362</v>
      </c>
      <c r="M1137">
        <v>5100001603</v>
      </c>
      <c r="N1137" t="s">
        <v>155</v>
      </c>
      <c r="O1137" t="s">
        <v>156</v>
      </c>
      <c r="P1137">
        <v>4110025468</v>
      </c>
      <c r="Q1137" t="s">
        <v>165</v>
      </c>
      <c r="R1137">
        <v>5000</v>
      </c>
      <c r="S1137" t="s">
        <v>166</v>
      </c>
      <c r="V1137" t="s">
        <v>167</v>
      </c>
      <c r="W1137">
        <v>1502020102</v>
      </c>
      <c r="X1137" t="s">
        <v>58</v>
      </c>
      <c r="Y1137" t="str">
        <f>VLOOKUP(W1137,Sheet4!$A$5:$B$71,2,0)</f>
        <v>MAXIMA HD</v>
      </c>
      <c r="Z1137">
        <v>87082900</v>
      </c>
      <c r="AA1137">
        <v>8</v>
      </c>
      <c r="AB1137" t="s">
        <v>159</v>
      </c>
      <c r="AC1137" s="24">
        <v>8593.51</v>
      </c>
      <c r="AD1137" t="s">
        <v>160</v>
      </c>
      <c r="AE1137" s="24">
        <v>68748.08</v>
      </c>
      <c r="AF1137">
        <v>0</v>
      </c>
      <c r="AG1137" s="24">
        <v>68748.08</v>
      </c>
      <c r="AH1137">
        <v>0</v>
      </c>
      <c r="AI1137">
        <v>0</v>
      </c>
      <c r="AJ1137">
        <v>0</v>
      </c>
      <c r="AK1137">
        <v>0</v>
      </c>
      <c r="AL1137" s="24">
        <v>68748.08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 s="24">
        <v>68748.08</v>
      </c>
      <c r="AV1137">
        <v>0</v>
      </c>
      <c r="AW1137">
        <v>0</v>
      </c>
      <c r="AX1137">
        <v>311000</v>
      </c>
      <c r="AY1137" t="s">
        <v>161</v>
      </c>
      <c r="AZ1137">
        <v>93.34</v>
      </c>
      <c r="BA1137">
        <v>75.430000000000007</v>
      </c>
      <c r="BB1137">
        <v>17.91</v>
      </c>
      <c r="BC1137" t="s">
        <v>168</v>
      </c>
      <c r="BD1137">
        <v>1509</v>
      </c>
      <c r="BE1137" t="s">
        <v>169</v>
      </c>
      <c r="BF1137" t="s">
        <v>163</v>
      </c>
      <c r="BG1137" t="s">
        <v>164</v>
      </c>
    </row>
    <row r="1138" spans="1:59">
      <c r="A1138">
        <v>1115</v>
      </c>
      <c r="B1138">
        <v>1115</v>
      </c>
      <c r="C1138">
        <v>10</v>
      </c>
      <c r="D1138">
        <v>2</v>
      </c>
      <c r="E1138" t="s">
        <v>152</v>
      </c>
      <c r="F1138" t="s">
        <v>153</v>
      </c>
      <c r="G1138" t="s">
        <v>154</v>
      </c>
      <c r="H1138">
        <v>1526006919</v>
      </c>
      <c r="I1138">
        <v>1000007205</v>
      </c>
      <c r="L1138" t="s">
        <v>362</v>
      </c>
      <c r="M1138">
        <v>5100001666</v>
      </c>
      <c r="N1138" t="s">
        <v>155</v>
      </c>
      <c r="O1138" t="s">
        <v>156</v>
      </c>
      <c r="P1138">
        <v>4110027035</v>
      </c>
      <c r="Q1138" t="s">
        <v>225</v>
      </c>
      <c r="R1138">
        <v>5000</v>
      </c>
      <c r="S1138" t="s">
        <v>166</v>
      </c>
      <c r="V1138" t="s">
        <v>167</v>
      </c>
      <c r="W1138">
        <v>1502020105</v>
      </c>
      <c r="X1138" t="s">
        <v>226</v>
      </c>
      <c r="Y1138" t="str">
        <f>VLOOKUP(W1138,Sheet4!$A$5:$B$71,2,0)</f>
        <v>RE STYLING</v>
      </c>
      <c r="Z1138">
        <v>87082900</v>
      </c>
      <c r="AA1138">
        <v>15</v>
      </c>
      <c r="AB1138" t="s">
        <v>159</v>
      </c>
      <c r="AC1138" s="24">
        <v>6570.77</v>
      </c>
      <c r="AD1138" t="s">
        <v>160</v>
      </c>
      <c r="AE1138" s="24">
        <v>98561.55</v>
      </c>
      <c r="AF1138">
        <v>0</v>
      </c>
      <c r="AG1138" s="24">
        <v>98561.55</v>
      </c>
      <c r="AH1138">
        <v>0</v>
      </c>
      <c r="AI1138">
        <v>0</v>
      </c>
      <c r="AJ1138">
        <v>0</v>
      </c>
      <c r="AK1138">
        <v>0</v>
      </c>
      <c r="AL1138" s="24">
        <v>98561.55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 s="24">
        <v>98561.55</v>
      </c>
      <c r="AV1138">
        <v>0</v>
      </c>
      <c r="AW1138">
        <v>0</v>
      </c>
      <c r="AX1138">
        <v>311000</v>
      </c>
      <c r="AY1138" t="s">
        <v>161</v>
      </c>
      <c r="AZ1138">
        <v>49.75</v>
      </c>
      <c r="BA1138">
        <v>49.75</v>
      </c>
      <c r="BB1138">
        <v>0</v>
      </c>
      <c r="BC1138" t="s">
        <v>227</v>
      </c>
      <c r="BD1138">
        <v>1509</v>
      </c>
      <c r="BE1138" t="s">
        <v>169</v>
      </c>
      <c r="BF1138" t="s">
        <v>163</v>
      </c>
      <c r="BG1138" t="s">
        <v>164</v>
      </c>
    </row>
    <row r="1139" spans="1:59">
      <c r="A1139">
        <v>1115</v>
      </c>
      <c r="B1139">
        <v>1115</v>
      </c>
      <c r="C1139">
        <v>10</v>
      </c>
      <c r="D1139">
        <v>2</v>
      </c>
      <c r="E1139" t="s">
        <v>152</v>
      </c>
      <c r="F1139" t="s">
        <v>153</v>
      </c>
      <c r="G1139" t="s">
        <v>154</v>
      </c>
      <c r="H1139">
        <v>1526006920</v>
      </c>
      <c r="I1139">
        <v>1000007206</v>
      </c>
      <c r="L1139" t="s">
        <v>362</v>
      </c>
      <c r="M1139">
        <v>5100001445</v>
      </c>
      <c r="N1139" t="s">
        <v>155</v>
      </c>
      <c r="O1139" t="s">
        <v>156</v>
      </c>
      <c r="P1139">
        <v>4110021696</v>
      </c>
      <c r="Q1139" t="s">
        <v>239</v>
      </c>
      <c r="R1139">
        <v>5000</v>
      </c>
      <c r="S1139" t="s">
        <v>166</v>
      </c>
      <c r="V1139" t="s">
        <v>167</v>
      </c>
      <c r="W1139">
        <v>1502040233</v>
      </c>
      <c r="X1139" t="s">
        <v>37</v>
      </c>
      <c r="Y1139" t="str">
        <f>VLOOKUP(W1139,Sheet4!$A$5:$B$71,2,0)</f>
        <v>FRONT MUDGAURD</v>
      </c>
      <c r="Z1139">
        <v>87082900</v>
      </c>
      <c r="AA1139">
        <v>800</v>
      </c>
      <c r="AB1139" t="s">
        <v>159</v>
      </c>
      <c r="AC1139">
        <v>317.45999999999998</v>
      </c>
      <c r="AD1139" t="s">
        <v>160</v>
      </c>
      <c r="AE1139" s="24">
        <v>253968</v>
      </c>
      <c r="AF1139">
        <v>0</v>
      </c>
      <c r="AG1139" s="24">
        <v>253968</v>
      </c>
      <c r="AH1139">
        <v>0</v>
      </c>
      <c r="AI1139">
        <v>0</v>
      </c>
      <c r="AJ1139">
        <v>0</v>
      </c>
      <c r="AK1139">
        <v>0</v>
      </c>
      <c r="AL1139" s="24">
        <v>253968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s="24">
        <v>253968</v>
      </c>
      <c r="AV1139">
        <v>0</v>
      </c>
      <c r="AW1139">
        <v>0</v>
      </c>
      <c r="AX1139">
        <v>311000</v>
      </c>
      <c r="AY1139" t="s">
        <v>161</v>
      </c>
      <c r="AZ1139">
        <v>3.4</v>
      </c>
      <c r="BA1139">
        <v>2</v>
      </c>
      <c r="BB1139">
        <v>1.4</v>
      </c>
      <c r="BC1139" t="s">
        <v>238</v>
      </c>
      <c r="BD1139">
        <v>1511</v>
      </c>
      <c r="BE1139" t="s">
        <v>174</v>
      </c>
      <c r="BF1139" t="s">
        <v>163</v>
      </c>
      <c r="BG1139" t="s">
        <v>164</v>
      </c>
    </row>
    <row r="1140" spans="1:59">
      <c r="A1140">
        <v>1115</v>
      </c>
      <c r="B1140">
        <v>1115</v>
      </c>
      <c r="C1140">
        <v>10</v>
      </c>
      <c r="D1140">
        <v>2</v>
      </c>
      <c r="E1140" t="s">
        <v>152</v>
      </c>
      <c r="F1140" t="s">
        <v>153</v>
      </c>
      <c r="G1140" t="s">
        <v>154</v>
      </c>
      <c r="H1140">
        <v>1526006921</v>
      </c>
      <c r="I1140">
        <v>1000007207</v>
      </c>
      <c r="L1140" t="s">
        <v>362</v>
      </c>
      <c r="M1140">
        <v>5100001603</v>
      </c>
      <c r="N1140" t="s">
        <v>155</v>
      </c>
      <c r="O1140" t="s">
        <v>156</v>
      </c>
      <c r="P1140">
        <v>4110025468</v>
      </c>
      <c r="Q1140" t="s">
        <v>165</v>
      </c>
      <c r="R1140">
        <v>5000</v>
      </c>
      <c r="S1140" t="s">
        <v>166</v>
      </c>
      <c r="V1140" t="s">
        <v>167</v>
      </c>
      <c r="W1140">
        <v>1502020102</v>
      </c>
      <c r="X1140" t="s">
        <v>58</v>
      </c>
      <c r="Y1140" t="str">
        <f>VLOOKUP(W1140,Sheet4!$A$5:$B$71,2,0)</f>
        <v>MAXIMA HD</v>
      </c>
      <c r="Z1140">
        <v>87082900</v>
      </c>
      <c r="AA1140">
        <v>4</v>
      </c>
      <c r="AB1140" t="s">
        <v>159</v>
      </c>
      <c r="AC1140" s="24">
        <v>8593.51</v>
      </c>
      <c r="AD1140" t="s">
        <v>160</v>
      </c>
      <c r="AE1140" s="24">
        <v>34374.04</v>
      </c>
      <c r="AF1140">
        <v>0</v>
      </c>
      <c r="AG1140" s="24">
        <v>34374.04</v>
      </c>
      <c r="AH1140">
        <v>0</v>
      </c>
      <c r="AI1140">
        <v>0</v>
      </c>
      <c r="AJ1140">
        <v>0</v>
      </c>
      <c r="AK1140">
        <v>0</v>
      </c>
      <c r="AL1140" s="24">
        <v>34374.04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 s="24">
        <v>34374.04</v>
      </c>
      <c r="AV1140">
        <v>0</v>
      </c>
      <c r="AW1140">
        <v>0</v>
      </c>
      <c r="AX1140">
        <v>311000</v>
      </c>
      <c r="AY1140" t="s">
        <v>161</v>
      </c>
      <c r="AZ1140">
        <v>93.34</v>
      </c>
      <c r="BA1140">
        <v>75.430000000000007</v>
      </c>
      <c r="BB1140">
        <v>17.91</v>
      </c>
      <c r="BC1140" t="s">
        <v>168</v>
      </c>
      <c r="BD1140">
        <v>1509</v>
      </c>
      <c r="BE1140" t="s">
        <v>169</v>
      </c>
      <c r="BF1140" t="s">
        <v>163</v>
      </c>
      <c r="BG1140" t="s">
        <v>164</v>
      </c>
    </row>
    <row r="1141" spans="1:59">
      <c r="A1141">
        <v>1115</v>
      </c>
      <c r="B1141">
        <v>1115</v>
      </c>
      <c r="C1141">
        <v>10</v>
      </c>
      <c r="D1141">
        <v>2</v>
      </c>
      <c r="E1141" t="s">
        <v>152</v>
      </c>
      <c r="F1141" t="s">
        <v>153</v>
      </c>
      <c r="G1141" t="s">
        <v>154</v>
      </c>
      <c r="H1141">
        <v>1526006922</v>
      </c>
      <c r="I1141">
        <v>1000007208</v>
      </c>
      <c r="L1141" t="s">
        <v>362</v>
      </c>
      <c r="M1141">
        <v>5100001899</v>
      </c>
      <c r="N1141" t="s">
        <v>155</v>
      </c>
      <c r="O1141" t="s">
        <v>156</v>
      </c>
      <c r="P1141">
        <v>4110041854</v>
      </c>
      <c r="Q1141" t="s">
        <v>172</v>
      </c>
      <c r="R1141">
        <v>5000</v>
      </c>
      <c r="S1141" t="s">
        <v>166</v>
      </c>
      <c r="V1141" t="s">
        <v>167</v>
      </c>
      <c r="W1141">
        <v>1502040267</v>
      </c>
      <c r="X1141" t="s">
        <v>63</v>
      </c>
      <c r="Y1141" t="str">
        <f>VLOOKUP(W1141,Sheet4!$A$5:$B$71,2,0)</f>
        <v>DASH BOARD</v>
      </c>
      <c r="Z1141">
        <v>87082900</v>
      </c>
      <c r="AA1141">
        <v>448</v>
      </c>
      <c r="AB1141" t="s">
        <v>159</v>
      </c>
      <c r="AC1141">
        <v>290.89999999999998</v>
      </c>
      <c r="AD1141" t="s">
        <v>160</v>
      </c>
      <c r="AE1141" s="24">
        <v>130323.2</v>
      </c>
      <c r="AF1141">
        <v>0</v>
      </c>
      <c r="AG1141" s="24">
        <v>130323.2</v>
      </c>
      <c r="AH1141">
        <v>0</v>
      </c>
      <c r="AI1141">
        <v>0</v>
      </c>
      <c r="AJ1141">
        <v>0</v>
      </c>
      <c r="AK1141">
        <v>0</v>
      </c>
      <c r="AL1141" s="24">
        <v>130323.2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 s="24">
        <v>130323.2</v>
      </c>
      <c r="AV1141">
        <v>0</v>
      </c>
      <c r="AW1141">
        <v>0</v>
      </c>
      <c r="AX1141">
        <v>311000</v>
      </c>
      <c r="AY1141" t="s">
        <v>161</v>
      </c>
      <c r="AZ1141">
        <v>4.5</v>
      </c>
      <c r="BA1141">
        <v>4.5</v>
      </c>
      <c r="BB1141">
        <v>0</v>
      </c>
      <c r="BC1141" t="s">
        <v>173</v>
      </c>
      <c r="BD1141">
        <v>1511</v>
      </c>
      <c r="BE1141" t="s">
        <v>174</v>
      </c>
      <c r="BF1141" t="s">
        <v>163</v>
      </c>
      <c r="BG1141" t="s">
        <v>164</v>
      </c>
    </row>
    <row r="1142" spans="1:59">
      <c r="A1142">
        <v>1115</v>
      </c>
      <c r="B1142">
        <v>1115</v>
      </c>
      <c r="C1142">
        <v>10</v>
      </c>
      <c r="D1142">
        <v>2</v>
      </c>
      <c r="E1142" t="s">
        <v>152</v>
      </c>
      <c r="F1142" t="s">
        <v>153</v>
      </c>
      <c r="G1142" t="s">
        <v>154</v>
      </c>
      <c r="H1142">
        <v>1526006924</v>
      </c>
      <c r="I1142">
        <v>1000007210</v>
      </c>
      <c r="L1142" t="s">
        <v>362</v>
      </c>
      <c r="M1142">
        <v>5100001949</v>
      </c>
      <c r="N1142" t="s">
        <v>155</v>
      </c>
      <c r="O1142" t="s">
        <v>156</v>
      </c>
      <c r="P1142">
        <v>4110063766</v>
      </c>
      <c r="Q1142" t="s">
        <v>252</v>
      </c>
      <c r="R1142">
        <v>5000</v>
      </c>
      <c r="S1142" t="s">
        <v>166</v>
      </c>
      <c r="V1142" t="s">
        <v>167</v>
      </c>
      <c r="W1142">
        <v>1502040322</v>
      </c>
      <c r="X1142" t="s">
        <v>250</v>
      </c>
      <c r="Y1142" t="str">
        <f>VLOOKUP(W1142,Sheet4!$A$5:$B$71,2,0)</f>
        <v>DASH BOARD</v>
      </c>
      <c r="Z1142">
        <v>87082900</v>
      </c>
      <c r="AA1142">
        <v>60</v>
      </c>
      <c r="AB1142" t="s">
        <v>159</v>
      </c>
      <c r="AC1142">
        <v>291.27999999999997</v>
      </c>
      <c r="AD1142" t="s">
        <v>160</v>
      </c>
      <c r="AE1142" s="24">
        <v>17476.8</v>
      </c>
      <c r="AF1142">
        <v>0</v>
      </c>
      <c r="AG1142" s="24">
        <v>17476.8</v>
      </c>
      <c r="AH1142">
        <v>0</v>
      </c>
      <c r="AI1142">
        <v>0</v>
      </c>
      <c r="AJ1142">
        <v>0</v>
      </c>
      <c r="AK1142">
        <v>0</v>
      </c>
      <c r="AL1142" s="24">
        <v>17476.8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 s="24">
        <v>17476.8</v>
      </c>
      <c r="AV1142">
        <v>0</v>
      </c>
      <c r="AW1142">
        <v>0</v>
      </c>
      <c r="AX1142">
        <v>311000</v>
      </c>
      <c r="AY1142" t="s">
        <v>161</v>
      </c>
      <c r="AZ1142">
        <v>2.37</v>
      </c>
      <c r="BA1142">
        <v>2.37</v>
      </c>
      <c r="BB1142">
        <v>0</v>
      </c>
      <c r="BC1142" t="s">
        <v>251</v>
      </c>
      <c r="BD1142">
        <v>1511</v>
      </c>
      <c r="BE1142" t="s">
        <v>174</v>
      </c>
      <c r="BF1142" t="s">
        <v>163</v>
      </c>
      <c r="BG1142" t="s">
        <v>164</v>
      </c>
    </row>
    <row r="1143" spans="1:59">
      <c r="A1143">
        <v>1115</v>
      </c>
      <c r="B1143">
        <v>1115</v>
      </c>
      <c r="C1143">
        <v>10</v>
      </c>
      <c r="D1143">
        <v>2</v>
      </c>
      <c r="E1143" t="s">
        <v>152</v>
      </c>
      <c r="F1143" t="s">
        <v>153</v>
      </c>
      <c r="G1143" t="s">
        <v>154</v>
      </c>
      <c r="H1143">
        <v>1526006926</v>
      </c>
      <c r="I1143">
        <v>1000007212</v>
      </c>
      <c r="L1143" t="s">
        <v>362</v>
      </c>
      <c r="M1143">
        <v>5100001636</v>
      </c>
      <c r="N1143" t="s">
        <v>155</v>
      </c>
      <c r="O1143" t="s">
        <v>156</v>
      </c>
      <c r="P1143">
        <v>4110026445</v>
      </c>
      <c r="Q1143" t="s">
        <v>170</v>
      </c>
      <c r="R1143">
        <v>5000</v>
      </c>
      <c r="S1143" t="s">
        <v>166</v>
      </c>
      <c r="V1143" t="s">
        <v>167</v>
      </c>
      <c r="W1143">
        <v>1502020104</v>
      </c>
      <c r="X1143" t="s">
        <v>26</v>
      </c>
      <c r="Y1143" t="str">
        <f>VLOOKUP(W1143,Sheet4!$A$5:$B$71,2,0)</f>
        <v>RE STYLING</v>
      </c>
      <c r="Z1143">
        <v>87082900</v>
      </c>
      <c r="AA1143">
        <v>15</v>
      </c>
      <c r="AB1143" t="s">
        <v>159</v>
      </c>
      <c r="AC1143" s="24">
        <v>6585.55</v>
      </c>
      <c r="AD1143" t="s">
        <v>160</v>
      </c>
      <c r="AE1143" s="24">
        <v>98783.25</v>
      </c>
      <c r="AF1143">
        <v>0</v>
      </c>
      <c r="AG1143" s="24">
        <v>98783.25</v>
      </c>
      <c r="AH1143">
        <v>0</v>
      </c>
      <c r="AI1143">
        <v>0</v>
      </c>
      <c r="AJ1143">
        <v>0</v>
      </c>
      <c r="AK1143">
        <v>0</v>
      </c>
      <c r="AL1143" s="24">
        <v>98783.25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 s="24">
        <v>98783.25</v>
      </c>
      <c r="AV1143">
        <v>0</v>
      </c>
      <c r="AW1143">
        <v>0</v>
      </c>
      <c r="AX1143">
        <v>311000</v>
      </c>
      <c r="AY1143" t="s">
        <v>161</v>
      </c>
      <c r="AZ1143">
        <v>49.75</v>
      </c>
      <c r="BA1143">
        <v>49.75</v>
      </c>
      <c r="BB1143">
        <v>0</v>
      </c>
      <c r="BC1143" t="s">
        <v>171</v>
      </c>
      <c r="BD1143">
        <v>1509</v>
      </c>
      <c r="BE1143" t="s">
        <v>169</v>
      </c>
      <c r="BF1143" t="s">
        <v>163</v>
      </c>
      <c r="BG1143" t="s">
        <v>164</v>
      </c>
    </row>
    <row r="1144" spans="1:59">
      <c r="A1144">
        <v>1115</v>
      </c>
      <c r="B1144">
        <v>1115</v>
      </c>
      <c r="C1144">
        <v>10</v>
      </c>
      <c r="D1144">
        <v>2</v>
      </c>
      <c r="E1144" t="s">
        <v>152</v>
      </c>
      <c r="F1144" t="s">
        <v>153</v>
      </c>
      <c r="G1144" t="s">
        <v>154</v>
      </c>
      <c r="H1144">
        <v>1526006927</v>
      </c>
      <c r="I1144">
        <v>1000007213</v>
      </c>
      <c r="L1144" t="s">
        <v>362</v>
      </c>
      <c r="M1144">
        <v>5100001636</v>
      </c>
      <c r="N1144" t="s">
        <v>155</v>
      </c>
      <c r="O1144" t="s">
        <v>156</v>
      </c>
      <c r="P1144">
        <v>4110026445</v>
      </c>
      <c r="Q1144" t="s">
        <v>170</v>
      </c>
      <c r="R1144">
        <v>5000</v>
      </c>
      <c r="S1144" t="s">
        <v>166</v>
      </c>
      <c r="V1144" t="s">
        <v>167</v>
      </c>
      <c r="W1144">
        <v>1502020104</v>
      </c>
      <c r="X1144" t="s">
        <v>26</v>
      </c>
      <c r="Y1144" t="str">
        <f>VLOOKUP(W1144,Sheet4!$A$5:$B$71,2,0)</f>
        <v>RE STYLING</v>
      </c>
      <c r="Z1144">
        <v>87082900</v>
      </c>
      <c r="AA1144">
        <v>15</v>
      </c>
      <c r="AB1144" t="s">
        <v>159</v>
      </c>
      <c r="AC1144" s="24">
        <v>6585.55</v>
      </c>
      <c r="AD1144" t="s">
        <v>160</v>
      </c>
      <c r="AE1144" s="24">
        <v>98783.25</v>
      </c>
      <c r="AF1144">
        <v>0</v>
      </c>
      <c r="AG1144" s="24">
        <v>98783.25</v>
      </c>
      <c r="AH1144">
        <v>0</v>
      </c>
      <c r="AI1144">
        <v>0</v>
      </c>
      <c r="AJ1144">
        <v>0</v>
      </c>
      <c r="AK1144">
        <v>0</v>
      </c>
      <c r="AL1144" s="24">
        <v>98783.25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 s="24">
        <v>98783.25</v>
      </c>
      <c r="AV1144">
        <v>0</v>
      </c>
      <c r="AW1144">
        <v>0</v>
      </c>
      <c r="AX1144">
        <v>311000</v>
      </c>
      <c r="AY1144" t="s">
        <v>161</v>
      </c>
      <c r="AZ1144">
        <v>49.75</v>
      </c>
      <c r="BA1144">
        <v>49.75</v>
      </c>
      <c r="BB1144">
        <v>0</v>
      </c>
      <c r="BC1144" t="s">
        <v>171</v>
      </c>
      <c r="BD1144">
        <v>1509</v>
      </c>
      <c r="BE1144" t="s">
        <v>169</v>
      </c>
      <c r="BF1144" t="s">
        <v>163</v>
      </c>
      <c r="BG1144" t="s">
        <v>164</v>
      </c>
    </row>
    <row r="1145" spans="1:59">
      <c r="A1145">
        <v>1115</v>
      </c>
      <c r="B1145">
        <v>1115</v>
      </c>
      <c r="C1145">
        <v>10</v>
      </c>
      <c r="D1145">
        <v>2</v>
      </c>
      <c r="E1145" t="s">
        <v>152</v>
      </c>
      <c r="F1145" t="s">
        <v>153</v>
      </c>
      <c r="G1145" t="s">
        <v>154</v>
      </c>
      <c r="H1145">
        <v>1526006928</v>
      </c>
      <c r="I1145">
        <v>1000007214</v>
      </c>
      <c r="L1145" t="s">
        <v>362</v>
      </c>
      <c r="M1145">
        <v>5100001636</v>
      </c>
      <c r="N1145" t="s">
        <v>155</v>
      </c>
      <c r="O1145" t="s">
        <v>156</v>
      </c>
      <c r="P1145">
        <v>4110026445</v>
      </c>
      <c r="Q1145" t="s">
        <v>170</v>
      </c>
      <c r="R1145">
        <v>5000</v>
      </c>
      <c r="S1145" t="s">
        <v>166</v>
      </c>
      <c r="V1145" t="s">
        <v>167</v>
      </c>
      <c r="W1145">
        <v>1502020104</v>
      </c>
      <c r="X1145" t="s">
        <v>26</v>
      </c>
      <c r="Y1145" t="str">
        <f>VLOOKUP(W1145,Sheet4!$A$5:$B$71,2,0)</f>
        <v>RE STYLING</v>
      </c>
      <c r="Z1145">
        <v>87082900</v>
      </c>
      <c r="AA1145">
        <v>15</v>
      </c>
      <c r="AB1145" t="s">
        <v>159</v>
      </c>
      <c r="AC1145" s="24">
        <v>6585.55</v>
      </c>
      <c r="AD1145" t="s">
        <v>160</v>
      </c>
      <c r="AE1145" s="24">
        <v>98783.25</v>
      </c>
      <c r="AF1145">
        <v>0</v>
      </c>
      <c r="AG1145" s="24">
        <v>98783.25</v>
      </c>
      <c r="AH1145">
        <v>0</v>
      </c>
      <c r="AI1145">
        <v>0</v>
      </c>
      <c r="AJ1145">
        <v>0</v>
      </c>
      <c r="AK1145">
        <v>0</v>
      </c>
      <c r="AL1145" s="24">
        <v>98783.25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 s="24">
        <v>98783.25</v>
      </c>
      <c r="AV1145">
        <v>0</v>
      </c>
      <c r="AW1145">
        <v>0</v>
      </c>
      <c r="AX1145">
        <v>311000</v>
      </c>
      <c r="AY1145" t="s">
        <v>161</v>
      </c>
      <c r="AZ1145">
        <v>49.75</v>
      </c>
      <c r="BA1145">
        <v>49.75</v>
      </c>
      <c r="BB1145">
        <v>0</v>
      </c>
      <c r="BC1145" t="s">
        <v>171</v>
      </c>
      <c r="BD1145">
        <v>1509</v>
      </c>
      <c r="BE1145" t="s">
        <v>169</v>
      </c>
      <c r="BF1145" t="s">
        <v>163</v>
      </c>
      <c r="BG1145" t="s">
        <v>164</v>
      </c>
    </row>
    <row r="1146" spans="1:59">
      <c r="A1146">
        <v>1115</v>
      </c>
      <c r="B1146">
        <v>1115</v>
      </c>
      <c r="C1146">
        <v>10</v>
      </c>
      <c r="D1146">
        <v>2</v>
      </c>
      <c r="E1146" t="s">
        <v>152</v>
      </c>
      <c r="F1146" t="s">
        <v>153</v>
      </c>
      <c r="G1146" t="s">
        <v>154</v>
      </c>
      <c r="H1146">
        <v>1526006929</v>
      </c>
      <c r="I1146">
        <v>1000007215</v>
      </c>
      <c r="L1146" t="s">
        <v>362</v>
      </c>
      <c r="M1146">
        <v>5100001636</v>
      </c>
      <c r="N1146" t="s">
        <v>155</v>
      </c>
      <c r="O1146" t="s">
        <v>156</v>
      </c>
      <c r="P1146">
        <v>4110026445</v>
      </c>
      <c r="Q1146" t="s">
        <v>170</v>
      </c>
      <c r="R1146">
        <v>5000</v>
      </c>
      <c r="S1146" t="s">
        <v>166</v>
      </c>
      <c r="V1146" t="s">
        <v>167</v>
      </c>
      <c r="W1146">
        <v>1502020104</v>
      </c>
      <c r="X1146" t="s">
        <v>26</v>
      </c>
      <c r="Y1146" t="str">
        <f>VLOOKUP(W1146,Sheet4!$A$5:$B$71,2,0)</f>
        <v>RE STYLING</v>
      </c>
      <c r="Z1146">
        <v>87082900</v>
      </c>
      <c r="AA1146">
        <v>15</v>
      </c>
      <c r="AB1146" t="s">
        <v>159</v>
      </c>
      <c r="AC1146" s="24">
        <v>6585.55</v>
      </c>
      <c r="AD1146" t="s">
        <v>160</v>
      </c>
      <c r="AE1146" s="24">
        <v>98783.25</v>
      </c>
      <c r="AF1146">
        <v>0</v>
      </c>
      <c r="AG1146" s="24">
        <v>98783.25</v>
      </c>
      <c r="AH1146">
        <v>0</v>
      </c>
      <c r="AI1146">
        <v>0</v>
      </c>
      <c r="AJ1146">
        <v>0</v>
      </c>
      <c r="AK1146">
        <v>0</v>
      </c>
      <c r="AL1146" s="24">
        <v>98783.25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 s="24">
        <v>98783.25</v>
      </c>
      <c r="AV1146">
        <v>0</v>
      </c>
      <c r="AW1146">
        <v>0</v>
      </c>
      <c r="AX1146">
        <v>311000</v>
      </c>
      <c r="AY1146" t="s">
        <v>161</v>
      </c>
      <c r="AZ1146">
        <v>49.75</v>
      </c>
      <c r="BA1146">
        <v>49.75</v>
      </c>
      <c r="BB1146">
        <v>0</v>
      </c>
      <c r="BC1146" t="s">
        <v>171</v>
      </c>
      <c r="BD1146">
        <v>1509</v>
      </c>
      <c r="BE1146" t="s">
        <v>169</v>
      </c>
      <c r="BF1146" t="s">
        <v>163</v>
      </c>
      <c r="BG1146" t="s">
        <v>164</v>
      </c>
    </row>
    <row r="1147" spans="1:59">
      <c r="A1147">
        <v>1115</v>
      </c>
      <c r="B1147">
        <v>1115</v>
      </c>
      <c r="C1147">
        <v>10</v>
      </c>
      <c r="D1147">
        <v>2</v>
      </c>
      <c r="E1147" t="s">
        <v>152</v>
      </c>
      <c r="F1147" t="s">
        <v>153</v>
      </c>
      <c r="G1147" t="s">
        <v>154</v>
      </c>
      <c r="H1147">
        <v>1526006931</v>
      </c>
      <c r="I1147">
        <v>1000007217</v>
      </c>
      <c r="L1147" t="s">
        <v>362</v>
      </c>
      <c r="M1147">
        <v>5100001636</v>
      </c>
      <c r="N1147" t="s">
        <v>155</v>
      </c>
      <c r="O1147" t="s">
        <v>156</v>
      </c>
      <c r="P1147">
        <v>4110026445</v>
      </c>
      <c r="Q1147" t="s">
        <v>170</v>
      </c>
      <c r="R1147">
        <v>5000</v>
      </c>
      <c r="S1147" t="s">
        <v>166</v>
      </c>
      <c r="V1147" t="s">
        <v>167</v>
      </c>
      <c r="W1147">
        <v>1502020104</v>
      </c>
      <c r="X1147" t="s">
        <v>26</v>
      </c>
      <c r="Y1147" t="str">
        <f>VLOOKUP(W1147,Sheet4!$A$5:$B$71,2,0)</f>
        <v>RE STYLING</v>
      </c>
      <c r="Z1147">
        <v>87082900</v>
      </c>
      <c r="AA1147">
        <v>15</v>
      </c>
      <c r="AB1147" t="s">
        <v>159</v>
      </c>
      <c r="AC1147" s="24">
        <v>6585.55</v>
      </c>
      <c r="AD1147" t="s">
        <v>160</v>
      </c>
      <c r="AE1147" s="24">
        <v>98783.25</v>
      </c>
      <c r="AF1147">
        <v>0</v>
      </c>
      <c r="AG1147" s="24">
        <v>98783.25</v>
      </c>
      <c r="AH1147">
        <v>0</v>
      </c>
      <c r="AI1147">
        <v>0</v>
      </c>
      <c r="AJ1147">
        <v>0</v>
      </c>
      <c r="AK1147">
        <v>0</v>
      </c>
      <c r="AL1147" s="24">
        <v>98783.25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 s="24">
        <v>98783.25</v>
      </c>
      <c r="AV1147">
        <v>0</v>
      </c>
      <c r="AW1147">
        <v>0</v>
      </c>
      <c r="AX1147">
        <v>311000</v>
      </c>
      <c r="AY1147" t="s">
        <v>161</v>
      </c>
      <c r="AZ1147">
        <v>49.75</v>
      </c>
      <c r="BA1147">
        <v>49.75</v>
      </c>
      <c r="BB1147">
        <v>0</v>
      </c>
      <c r="BC1147" t="s">
        <v>171</v>
      </c>
      <c r="BD1147">
        <v>1509</v>
      </c>
      <c r="BE1147" t="s">
        <v>169</v>
      </c>
      <c r="BF1147" t="s">
        <v>163</v>
      </c>
      <c r="BG1147" t="s">
        <v>164</v>
      </c>
    </row>
    <row r="1148" spans="1:59">
      <c r="A1148">
        <v>1115</v>
      </c>
      <c r="B1148">
        <v>1115</v>
      </c>
      <c r="C1148">
        <v>10</v>
      </c>
      <c r="D1148">
        <v>2</v>
      </c>
      <c r="E1148" t="s">
        <v>152</v>
      </c>
      <c r="F1148" t="s">
        <v>153</v>
      </c>
      <c r="G1148" t="s">
        <v>154</v>
      </c>
      <c r="H1148">
        <v>1526006932</v>
      </c>
      <c r="I1148">
        <v>1000007218</v>
      </c>
      <c r="L1148" t="s">
        <v>362</v>
      </c>
      <c r="M1148">
        <v>5100001636</v>
      </c>
      <c r="N1148" t="s">
        <v>155</v>
      </c>
      <c r="O1148" t="s">
        <v>156</v>
      </c>
      <c r="P1148">
        <v>4110026445</v>
      </c>
      <c r="Q1148" t="s">
        <v>170</v>
      </c>
      <c r="R1148">
        <v>5000</v>
      </c>
      <c r="S1148" t="s">
        <v>166</v>
      </c>
      <c r="V1148" t="s">
        <v>167</v>
      </c>
      <c r="W1148">
        <v>1502020104</v>
      </c>
      <c r="X1148" t="s">
        <v>26</v>
      </c>
      <c r="Y1148" t="str">
        <f>VLOOKUP(W1148,Sheet4!$A$5:$B$71,2,0)</f>
        <v>RE STYLING</v>
      </c>
      <c r="Z1148">
        <v>87082900</v>
      </c>
      <c r="AA1148">
        <v>15</v>
      </c>
      <c r="AB1148" t="s">
        <v>159</v>
      </c>
      <c r="AC1148" s="24">
        <v>6585.55</v>
      </c>
      <c r="AD1148" t="s">
        <v>160</v>
      </c>
      <c r="AE1148" s="24">
        <v>98783.25</v>
      </c>
      <c r="AF1148">
        <v>0</v>
      </c>
      <c r="AG1148" s="24">
        <v>98783.25</v>
      </c>
      <c r="AH1148">
        <v>0</v>
      </c>
      <c r="AI1148">
        <v>0</v>
      </c>
      <c r="AJ1148">
        <v>0</v>
      </c>
      <c r="AK1148">
        <v>0</v>
      </c>
      <c r="AL1148" s="24">
        <v>98783.25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 s="24">
        <v>98783.25</v>
      </c>
      <c r="AV1148">
        <v>0</v>
      </c>
      <c r="AW1148">
        <v>0</v>
      </c>
      <c r="AX1148">
        <v>311000</v>
      </c>
      <c r="AY1148" t="s">
        <v>161</v>
      </c>
      <c r="AZ1148">
        <v>49.75</v>
      </c>
      <c r="BA1148">
        <v>49.75</v>
      </c>
      <c r="BB1148">
        <v>0</v>
      </c>
      <c r="BC1148" t="s">
        <v>171</v>
      </c>
      <c r="BD1148">
        <v>1509</v>
      </c>
      <c r="BE1148" t="s">
        <v>169</v>
      </c>
      <c r="BF1148" t="s">
        <v>163</v>
      </c>
      <c r="BG1148" t="s">
        <v>164</v>
      </c>
    </row>
    <row r="1149" spans="1:59">
      <c r="A1149">
        <v>1115</v>
      </c>
      <c r="B1149">
        <v>1115</v>
      </c>
      <c r="C1149">
        <v>10</v>
      </c>
      <c r="D1149">
        <v>2</v>
      </c>
      <c r="E1149" t="s">
        <v>152</v>
      </c>
      <c r="F1149" t="s">
        <v>153</v>
      </c>
      <c r="G1149" t="s">
        <v>154</v>
      </c>
      <c r="H1149">
        <v>1526006933</v>
      </c>
      <c r="I1149">
        <v>1000007219</v>
      </c>
      <c r="L1149" t="s">
        <v>362</v>
      </c>
      <c r="M1149">
        <v>5100001636</v>
      </c>
      <c r="N1149" t="s">
        <v>155</v>
      </c>
      <c r="O1149" t="s">
        <v>156</v>
      </c>
      <c r="P1149">
        <v>4110026445</v>
      </c>
      <c r="Q1149" t="s">
        <v>170</v>
      </c>
      <c r="R1149">
        <v>5000</v>
      </c>
      <c r="S1149" t="s">
        <v>166</v>
      </c>
      <c r="V1149" t="s">
        <v>167</v>
      </c>
      <c r="W1149">
        <v>1502020104</v>
      </c>
      <c r="X1149" t="s">
        <v>26</v>
      </c>
      <c r="Y1149" t="str">
        <f>VLOOKUP(W1149,Sheet4!$A$5:$B$71,2,0)</f>
        <v>RE STYLING</v>
      </c>
      <c r="Z1149">
        <v>87082900</v>
      </c>
      <c r="AA1149">
        <v>15</v>
      </c>
      <c r="AB1149" t="s">
        <v>159</v>
      </c>
      <c r="AC1149" s="24">
        <v>6585.55</v>
      </c>
      <c r="AD1149" t="s">
        <v>160</v>
      </c>
      <c r="AE1149" s="24">
        <v>98783.25</v>
      </c>
      <c r="AF1149">
        <v>0</v>
      </c>
      <c r="AG1149" s="24">
        <v>98783.25</v>
      </c>
      <c r="AH1149">
        <v>0</v>
      </c>
      <c r="AI1149">
        <v>0</v>
      </c>
      <c r="AJ1149">
        <v>0</v>
      </c>
      <c r="AK1149">
        <v>0</v>
      </c>
      <c r="AL1149" s="24">
        <v>98783.25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 s="24">
        <v>98783.25</v>
      </c>
      <c r="AV1149">
        <v>0</v>
      </c>
      <c r="AW1149">
        <v>0</v>
      </c>
      <c r="AX1149">
        <v>311000</v>
      </c>
      <c r="AY1149" t="s">
        <v>161</v>
      </c>
      <c r="AZ1149">
        <v>49.75</v>
      </c>
      <c r="BA1149">
        <v>49.75</v>
      </c>
      <c r="BB1149">
        <v>0</v>
      </c>
      <c r="BC1149" t="s">
        <v>171</v>
      </c>
      <c r="BD1149">
        <v>1509</v>
      </c>
      <c r="BE1149" t="s">
        <v>169</v>
      </c>
      <c r="BF1149" t="s">
        <v>163</v>
      </c>
      <c r="BG1149" t="s">
        <v>164</v>
      </c>
    </row>
    <row r="1150" spans="1:59">
      <c r="A1150">
        <v>1115</v>
      </c>
      <c r="B1150">
        <v>1115</v>
      </c>
      <c r="C1150">
        <v>10</v>
      </c>
      <c r="D1150">
        <v>2</v>
      </c>
      <c r="E1150" t="s">
        <v>152</v>
      </c>
      <c r="F1150" t="s">
        <v>153</v>
      </c>
      <c r="G1150" t="s">
        <v>154</v>
      </c>
      <c r="H1150">
        <v>1526006934</v>
      </c>
      <c r="I1150">
        <v>1000007220</v>
      </c>
      <c r="L1150" t="s">
        <v>362</v>
      </c>
      <c r="M1150">
        <v>5100001636</v>
      </c>
      <c r="N1150" t="s">
        <v>155</v>
      </c>
      <c r="O1150" t="s">
        <v>156</v>
      </c>
      <c r="P1150">
        <v>4110026445</v>
      </c>
      <c r="Q1150" t="s">
        <v>170</v>
      </c>
      <c r="R1150">
        <v>5000</v>
      </c>
      <c r="S1150" t="s">
        <v>166</v>
      </c>
      <c r="V1150" t="s">
        <v>167</v>
      </c>
      <c r="W1150">
        <v>1502020104</v>
      </c>
      <c r="X1150" t="s">
        <v>26</v>
      </c>
      <c r="Y1150" t="str">
        <f>VLOOKUP(W1150,Sheet4!$A$5:$B$71,2,0)</f>
        <v>RE STYLING</v>
      </c>
      <c r="Z1150">
        <v>87082900</v>
      </c>
      <c r="AA1150">
        <v>15</v>
      </c>
      <c r="AB1150" t="s">
        <v>159</v>
      </c>
      <c r="AC1150" s="24">
        <v>6585.55</v>
      </c>
      <c r="AD1150" t="s">
        <v>160</v>
      </c>
      <c r="AE1150" s="24">
        <v>98783.25</v>
      </c>
      <c r="AF1150">
        <v>0</v>
      </c>
      <c r="AG1150" s="24">
        <v>98783.25</v>
      </c>
      <c r="AH1150">
        <v>0</v>
      </c>
      <c r="AI1150">
        <v>0</v>
      </c>
      <c r="AJ1150">
        <v>0</v>
      </c>
      <c r="AK1150">
        <v>0</v>
      </c>
      <c r="AL1150" s="24">
        <v>98783.25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 s="24">
        <v>98783.25</v>
      </c>
      <c r="AV1150">
        <v>0</v>
      </c>
      <c r="AW1150">
        <v>0</v>
      </c>
      <c r="AX1150">
        <v>311000</v>
      </c>
      <c r="AY1150" t="s">
        <v>161</v>
      </c>
      <c r="AZ1150">
        <v>49.75</v>
      </c>
      <c r="BA1150">
        <v>49.75</v>
      </c>
      <c r="BB1150">
        <v>0</v>
      </c>
      <c r="BC1150" t="s">
        <v>171</v>
      </c>
      <c r="BD1150">
        <v>1509</v>
      </c>
      <c r="BE1150" t="s">
        <v>169</v>
      </c>
      <c r="BF1150" t="s">
        <v>163</v>
      </c>
      <c r="BG1150" t="s">
        <v>164</v>
      </c>
    </row>
    <row r="1151" spans="1:59">
      <c r="A1151">
        <v>1115</v>
      </c>
      <c r="B1151">
        <v>1115</v>
      </c>
      <c r="C1151">
        <v>10</v>
      </c>
      <c r="D1151">
        <v>2</v>
      </c>
      <c r="E1151" t="s">
        <v>152</v>
      </c>
      <c r="F1151" t="s">
        <v>153</v>
      </c>
      <c r="G1151" t="s">
        <v>154</v>
      </c>
      <c r="H1151">
        <v>1526006935</v>
      </c>
      <c r="I1151">
        <v>1000007221</v>
      </c>
      <c r="L1151" t="s">
        <v>362</v>
      </c>
      <c r="M1151">
        <v>5100001407</v>
      </c>
      <c r="N1151" t="s">
        <v>155</v>
      </c>
      <c r="O1151" t="s">
        <v>156</v>
      </c>
      <c r="P1151">
        <v>4110019623</v>
      </c>
      <c r="Q1151" t="s">
        <v>188</v>
      </c>
      <c r="R1151">
        <v>5000</v>
      </c>
      <c r="S1151" t="s">
        <v>166</v>
      </c>
      <c r="V1151" t="s">
        <v>167</v>
      </c>
      <c r="W1151">
        <v>1502040216</v>
      </c>
      <c r="X1151" t="s">
        <v>64</v>
      </c>
      <c r="Y1151" t="str">
        <f>VLOOKUP(W1151,Sheet4!$A$5:$B$71,2,0)</f>
        <v>FRONT MUDGAURD</v>
      </c>
      <c r="Z1151">
        <v>87082900</v>
      </c>
      <c r="AA1151" s="24">
        <v>1280</v>
      </c>
      <c r="AB1151" t="s">
        <v>159</v>
      </c>
      <c r="AC1151">
        <v>174.11</v>
      </c>
      <c r="AD1151" t="s">
        <v>160</v>
      </c>
      <c r="AE1151" s="24">
        <v>222860.79999999999</v>
      </c>
      <c r="AF1151">
        <v>0</v>
      </c>
      <c r="AG1151" s="24">
        <v>222860.79999999999</v>
      </c>
      <c r="AH1151">
        <v>0</v>
      </c>
      <c r="AI1151">
        <v>0</v>
      </c>
      <c r="AJ1151">
        <v>0</v>
      </c>
      <c r="AK1151">
        <v>0</v>
      </c>
      <c r="AL1151" s="24">
        <v>222860.79999999999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 s="24">
        <v>222860.79999999999</v>
      </c>
      <c r="AV1151">
        <v>0</v>
      </c>
      <c r="AW1151">
        <v>0</v>
      </c>
      <c r="AX1151">
        <v>311000</v>
      </c>
      <c r="AY1151" t="s">
        <v>161</v>
      </c>
      <c r="AZ1151">
        <v>2.573</v>
      </c>
      <c r="BA1151">
        <v>1.4910000000000001</v>
      </c>
      <c r="BB1151">
        <v>1.0820000000000001</v>
      </c>
      <c r="BC1151" t="s">
        <v>189</v>
      </c>
      <c r="BD1151">
        <v>1511</v>
      </c>
      <c r="BE1151" t="s">
        <v>174</v>
      </c>
      <c r="BF1151" t="s">
        <v>163</v>
      </c>
      <c r="BG1151" t="s">
        <v>164</v>
      </c>
    </row>
    <row r="1152" spans="1:59">
      <c r="A1152">
        <v>1115</v>
      </c>
      <c r="B1152">
        <v>1115</v>
      </c>
      <c r="C1152">
        <v>10</v>
      </c>
      <c r="D1152">
        <v>2</v>
      </c>
      <c r="E1152" t="s">
        <v>152</v>
      </c>
      <c r="F1152" t="s">
        <v>153</v>
      </c>
      <c r="G1152" t="s">
        <v>154</v>
      </c>
      <c r="H1152">
        <v>1526006936</v>
      </c>
      <c r="I1152">
        <v>1000007222</v>
      </c>
      <c r="L1152" t="s">
        <v>362</v>
      </c>
      <c r="M1152">
        <v>5100001928</v>
      </c>
      <c r="N1152" t="s">
        <v>155</v>
      </c>
      <c r="O1152" t="s">
        <v>156</v>
      </c>
      <c r="P1152">
        <v>4110057393</v>
      </c>
      <c r="Q1152" t="s">
        <v>192</v>
      </c>
      <c r="R1152">
        <v>5000</v>
      </c>
      <c r="S1152" t="s">
        <v>166</v>
      </c>
      <c r="V1152" t="s">
        <v>167</v>
      </c>
      <c r="W1152">
        <v>1502020122</v>
      </c>
      <c r="X1152" t="s">
        <v>70</v>
      </c>
      <c r="Y1152" t="str">
        <f>VLOOKUP(W1152,Sheet4!$A$5:$B$71,2,0)</f>
        <v>MAX UG NEW EV</v>
      </c>
      <c r="Z1152">
        <v>87082900</v>
      </c>
      <c r="AA1152">
        <v>10</v>
      </c>
      <c r="AB1152" t="s">
        <v>159</v>
      </c>
      <c r="AC1152" s="24">
        <v>9566.51</v>
      </c>
      <c r="AD1152" t="s">
        <v>160</v>
      </c>
      <c r="AE1152" s="24">
        <v>95665.1</v>
      </c>
      <c r="AF1152">
        <v>0</v>
      </c>
      <c r="AG1152" s="24">
        <v>95665.1</v>
      </c>
      <c r="AH1152">
        <v>0</v>
      </c>
      <c r="AI1152">
        <v>0</v>
      </c>
      <c r="AJ1152">
        <v>0</v>
      </c>
      <c r="AK1152">
        <v>0</v>
      </c>
      <c r="AL1152" s="24">
        <v>95665.1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 s="24">
        <v>95665.1</v>
      </c>
      <c r="AV1152">
        <v>0</v>
      </c>
      <c r="AW1152">
        <v>0</v>
      </c>
      <c r="AX1152">
        <v>311000</v>
      </c>
      <c r="AY1152" t="s">
        <v>161</v>
      </c>
      <c r="AZ1152">
        <v>0</v>
      </c>
      <c r="BA1152">
        <v>61</v>
      </c>
      <c r="BB1152">
        <v>-61</v>
      </c>
      <c r="BC1152" t="s">
        <v>193</v>
      </c>
      <c r="BD1152">
        <v>1509</v>
      </c>
      <c r="BE1152" t="s">
        <v>169</v>
      </c>
      <c r="BF1152" t="s">
        <v>163</v>
      </c>
      <c r="BG1152" t="s">
        <v>164</v>
      </c>
    </row>
    <row r="1153" spans="1:59">
      <c r="A1153">
        <v>1115</v>
      </c>
      <c r="B1153">
        <v>1115</v>
      </c>
      <c r="C1153">
        <v>10</v>
      </c>
      <c r="D1153">
        <v>2</v>
      </c>
      <c r="E1153" t="s">
        <v>152</v>
      </c>
      <c r="F1153" t="s">
        <v>153</v>
      </c>
      <c r="G1153" t="s">
        <v>154</v>
      </c>
      <c r="H1153">
        <v>1526006937</v>
      </c>
      <c r="I1153">
        <v>1000007223</v>
      </c>
      <c r="L1153" t="s">
        <v>362</v>
      </c>
      <c r="M1153">
        <v>5100001928</v>
      </c>
      <c r="N1153" t="s">
        <v>155</v>
      </c>
      <c r="O1153" t="s">
        <v>156</v>
      </c>
      <c r="P1153">
        <v>4110057393</v>
      </c>
      <c r="Q1153" t="s">
        <v>192</v>
      </c>
      <c r="R1153">
        <v>5000</v>
      </c>
      <c r="S1153" t="s">
        <v>166</v>
      </c>
      <c r="V1153" t="s">
        <v>167</v>
      </c>
      <c r="W1153">
        <v>1502020122</v>
      </c>
      <c r="X1153" t="s">
        <v>70</v>
      </c>
      <c r="Y1153" t="str">
        <f>VLOOKUP(W1153,Sheet4!$A$5:$B$71,2,0)</f>
        <v>MAX UG NEW EV</v>
      </c>
      <c r="Z1153">
        <v>87082900</v>
      </c>
      <c r="AA1153">
        <v>10</v>
      </c>
      <c r="AB1153" t="s">
        <v>159</v>
      </c>
      <c r="AC1153" s="24">
        <v>9566.51</v>
      </c>
      <c r="AD1153" t="s">
        <v>160</v>
      </c>
      <c r="AE1153" s="24">
        <v>95665.1</v>
      </c>
      <c r="AF1153">
        <v>0</v>
      </c>
      <c r="AG1153" s="24">
        <v>95665.1</v>
      </c>
      <c r="AH1153">
        <v>0</v>
      </c>
      <c r="AI1153">
        <v>0</v>
      </c>
      <c r="AJ1153">
        <v>0</v>
      </c>
      <c r="AK1153">
        <v>0</v>
      </c>
      <c r="AL1153" s="24">
        <v>95665.1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 s="24">
        <v>95665.1</v>
      </c>
      <c r="AV1153">
        <v>0</v>
      </c>
      <c r="AW1153">
        <v>0</v>
      </c>
      <c r="AX1153">
        <v>311000</v>
      </c>
      <c r="AY1153" t="s">
        <v>161</v>
      </c>
      <c r="AZ1153">
        <v>0</v>
      </c>
      <c r="BA1153">
        <v>61</v>
      </c>
      <c r="BB1153">
        <v>-61</v>
      </c>
      <c r="BC1153" t="s">
        <v>193</v>
      </c>
      <c r="BD1153">
        <v>1509</v>
      </c>
      <c r="BE1153" t="s">
        <v>169</v>
      </c>
      <c r="BF1153" t="s">
        <v>163</v>
      </c>
      <c r="BG1153" t="s">
        <v>164</v>
      </c>
    </row>
    <row r="1154" spans="1:59">
      <c r="A1154">
        <v>1115</v>
      </c>
      <c r="B1154">
        <v>1115</v>
      </c>
      <c r="C1154">
        <v>10</v>
      </c>
      <c r="D1154">
        <v>2</v>
      </c>
      <c r="E1154" t="s">
        <v>152</v>
      </c>
      <c r="F1154" t="s">
        <v>153</v>
      </c>
      <c r="G1154" t="s">
        <v>154</v>
      </c>
      <c r="H1154">
        <v>1526006938</v>
      </c>
      <c r="I1154">
        <v>1000007224</v>
      </c>
      <c r="L1154" t="s">
        <v>362</v>
      </c>
      <c r="M1154">
        <v>5100001636</v>
      </c>
      <c r="N1154" t="s">
        <v>155</v>
      </c>
      <c r="O1154" t="s">
        <v>156</v>
      </c>
      <c r="P1154">
        <v>4110026445</v>
      </c>
      <c r="Q1154" t="s">
        <v>170</v>
      </c>
      <c r="R1154">
        <v>5000</v>
      </c>
      <c r="S1154" t="s">
        <v>166</v>
      </c>
      <c r="V1154" t="s">
        <v>167</v>
      </c>
      <c r="W1154">
        <v>1502020104</v>
      </c>
      <c r="X1154" t="s">
        <v>26</v>
      </c>
      <c r="Y1154" t="str">
        <f>VLOOKUP(W1154,Sheet4!$A$5:$B$71,2,0)</f>
        <v>RE STYLING</v>
      </c>
      <c r="Z1154">
        <v>87082900</v>
      </c>
      <c r="AA1154">
        <v>9</v>
      </c>
      <c r="AB1154" t="s">
        <v>159</v>
      </c>
      <c r="AC1154" s="24">
        <v>6585.55</v>
      </c>
      <c r="AD1154" t="s">
        <v>160</v>
      </c>
      <c r="AE1154" s="24">
        <v>59269.95</v>
      </c>
      <c r="AF1154">
        <v>0</v>
      </c>
      <c r="AG1154" s="24">
        <v>59269.95</v>
      </c>
      <c r="AH1154">
        <v>0</v>
      </c>
      <c r="AI1154">
        <v>0</v>
      </c>
      <c r="AJ1154">
        <v>0</v>
      </c>
      <c r="AK1154">
        <v>0</v>
      </c>
      <c r="AL1154" s="24">
        <v>59269.95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 s="24">
        <v>59269.95</v>
      </c>
      <c r="AV1154">
        <v>0</v>
      </c>
      <c r="AW1154">
        <v>0</v>
      </c>
      <c r="AX1154">
        <v>311000</v>
      </c>
      <c r="AY1154" t="s">
        <v>161</v>
      </c>
      <c r="AZ1154">
        <v>49.75</v>
      </c>
      <c r="BA1154">
        <v>49.75</v>
      </c>
      <c r="BB1154">
        <v>0</v>
      </c>
      <c r="BC1154" t="s">
        <v>171</v>
      </c>
      <c r="BD1154">
        <v>1509</v>
      </c>
      <c r="BE1154" t="s">
        <v>169</v>
      </c>
      <c r="BF1154" t="s">
        <v>163</v>
      </c>
      <c r="BG1154" t="s">
        <v>164</v>
      </c>
    </row>
    <row r="1155" spans="1:59">
      <c r="A1155">
        <v>1115</v>
      </c>
      <c r="B1155">
        <v>1115</v>
      </c>
      <c r="C1155">
        <v>10</v>
      </c>
      <c r="D1155">
        <v>2</v>
      </c>
      <c r="E1155" t="s">
        <v>152</v>
      </c>
      <c r="F1155" t="s">
        <v>153</v>
      </c>
      <c r="G1155" t="s">
        <v>154</v>
      </c>
      <c r="H1155">
        <v>1526006939</v>
      </c>
      <c r="I1155">
        <v>1000007225</v>
      </c>
      <c r="L1155" t="s">
        <v>362</v>
      </c>
      <c r="M1155">
        <v>5100001666</v>
      </c>
      <c r="N1155" t="s">
        <v>155</v>
      </c>
      <c r="O1155" t="s">
        <v>156</v>
      </c>
      <c r="P1155">
        <v>4110027035</v>
      </c>
      <c r="Q1155" t="s">
        <v>225</v>
      </c>
      <c r="R1155">
        <v>5000</v>
      </c>
      <c r="S1155" t="s">
        <v>166</v>
      </c>
      <c r="V1155" t="s">
        <v>167</v>
      </c>
      <c r="W1155">
        <v>1502020105</v>
      </c>
      <c r="X1155" t="s">
        <v>226</v>
      </c>
      <c r="Y1155" t="str">
        <f>VLOOKUP(W1155,Sheet4!$A$5:$B$71,2,0)</f>
        <v>RE STYLING</v>
      </c>
      <c r="Z1155">
        <v>87082900</v>
      </c>
      <c r="AA1155">
        <v>6</v>
      </c>
      <c r="AB1155" t="s">
        <v>159</v>
      </c>
      <c r="AC1155" s="24">
        <v>6570.77</v>
      </c>
      <c r="AD1155" t="s">
        <v>160</v>
      </c>
      <c r="AE1155" s="24">
        <v>39424.620000000003</v>
      </c>
      <c r="AF1155">
        <v>0</v>
      </c>
      <c r="AG1155" s="24">
        <v>39424.620000000003</v>
      </c>
      <c r="AH1155">
        <v>0</v>
      </c>
      <c r="AI1155">
        <v>0</v>
      </c>
      <c r="AJ1155">
        <v>0</v>
      </c>
      <c r="AK1155">
        <v>0</v>
      </c>
      <c r="AL1155" s="24">
        <v>39424.620000000003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 s="24">
        <v>39424.620000000003</v>
      </c>
      <c r="AV1155">
        <v>0</v>
      </c>
      <c r="AW1155">
        <v>0</v>
      </c>
      <c r="AX1155">
        <v>311000</v>
      </c>
      <c r="AY1155" t="s">
        <v>161</v>
      </c>
      <c r="AZ1155">
        <v>49.75</v>
      </c>
      <c r="BA1155">
        <v>49.75</v>
      </c>
      <c r="BB1155">
        <v>0</v>
      </c>
      <c r="BC1155" t="s">
        <v>227</v>
      </c>
      <c r="BD1155">
        <v>1509</v>
      </c>
      <c r="BE1155" t="s">
        <v>169</v>
      </c>
      <c r="BF1155" t="s">
        <v>163</v>
      </c>
      <c r="BG1155" t="s">
        <v>164</v>
      </c>
    </row>
    <row r="1156" spans="1:59">
      <c r="A1156">
        <v>1115</v>
      </c>
      <c r="B1156">
        <v>1115</v>
      </c>
      <c r="C1156">
        <v>10</v>
      </c>
      <c r="D1156">
        <v>2</v>
      </c>
      <c r="E1156" t="s">
        <v>152</v>
      </c>
      <c r="F1156" t="s">
        <v>153</v>
      </c>
      <c r="G1156" t="s">
        <v>154</v>
      </c>
      <c r="H1156">
        <v>1526006940</v>
      </c>
      <c r="I1156">
        <v>1000007226</v>
      </c>
      <c r="L1156" t="s">
        <v>362</v>
      </c>
      <c r="M1156">
        <v>5100001636</v>
      </c>
      <c r="N1156" t="s">
        <v>155</v>
      </c>
      <c r="O1156" t="s">
        <v>156</v>
      </c>
      <c r="P1156">
        <v>4110026445</v>
      </c>
      <c r="Q1156" t="s">
        <v>170</v>
      </c>
      <c r="R1156">
        <v>5000</v>
      </c>
      <c r="S1156" t="s">
        <v>166</v>
      </c>
      <c r="V1156" t="s">
        <v>167</v>
      </c>
      <c r="W1156">
        <v>1502020104</v>
      </c>
      <c r="X1156" t="s">
        <v>26</v>
      </c>
      <c r="Y1156" t="str">
        <f>VLOOKUP(W1156,Sheet4!$A$5:$B$71,2,0)</f>
        <v>RE STYLING</v>
      </c>
      <c r="Z1156">
        <v>87082900</v>
      </c>
      <c r="AA1156">
        <v>15</v>
      </c>
      <c r="AB1156" t="s">
        <v>159</v>
      </c>
      <c r="AC1156" s="24">
        <v>6585.55</v>
      </c>
      <c r="AD1156" t="s">
        <v>160</v>
      </c>
      <c r="AE1156" s="24">
        <v>98783.25</v>
      </c>
      <c r="AF1156">
        <v>0</v>
      </c>
      <c r="AG1156" s="24">
        <v>98783.25</v>
      </c>
      <c r="AH1156">
        <v>0</v>
      </c>
      <c r="AI1156">
        <v>0</v>
      </c>
      <c r="AJ1156">
        <v>0</v>
      </c>
      <c r="AK1156">
        <v>0</v>
      </c>
      <c r="AL1156" s="24">
        <v>98783.25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 s="24">
        <v>98783.25</v>
      </c>
      <c r="AV1156">
        <v>0</v>
      </c>
      <c r="AW1156">
        <v>0</v>
      </c>
      <c r="AX1156">
        <v>311000</v>
      </c>
      <c r="AY1156" t="s">
        <v>161</v>
      </c>
      <c r="AZ1156">
        <v>49.75</v>
      </c>
      <c r="BA1156">
        <v>49.75</v>
      </c>
      <c r="BB1156">
        <v>0</v>
      </c>
      <c r="BC1156" t="s">
        <v>171</v>
      </c>
      <c r="BD1156">
        <v>1509</v>
      </c>
      <c r="BE1156" t="s">
        <v>169</v>
      </c>
      <c r="BF1156" t="s">
        <v>163</v>
      </c>
      <c r="BG1156" t="s">
        <v>164</v>
      </c>
    </row>
    <row r="1157" spans="1:59">
      <c r="A1157">
        <v>1115</v>
      </c>
      <c r="B1157">
        <v>1115</v>
      </c>
      <c r="C1157">
        <v>10</v>
      </c>
      <c r="D1157">
        <v>2</v>
      </c>
      <c r="E1157" t="s">
        <v>152</v>
      </c>
      <c r="F1157" t="s">
        <v>153</v>
      </c>
      <c r="G1157" t="s">
        <v>154</v>
      </c>
      <c r="H1157">
        <v>1526006879</v>
      </c>
      <c r="I1157">
        <v>1000007167</v>
      </c>
      <c r="L1157" t="s">
        <v>362</v>
      </c>
      <c r="M1157">
        <v>5100001919</v>
      </c>
      <c r="N1157" t="s">
        <v>155</v>
      </c>
      <c r="O1157" t="s">
        <v>156</v>
      </c>
      <c r="P1157">
        <v>5500000930</v>
      </c>
      <c r="Q1157" t="s">
        <v>157</v>
      </c>
      <c r="R1157">
        <v>5356</v>
      </c>
      <c r="S1157" t="s">
        <v>158</v>
      </c>
      <c r="W1157">
        <v>1502010011</v>
      </c>
      <c r="X1157" t="s">
        <v>35</v>
      </c>
      <c r="Y1157" t="str">
        <f>VLOOKUP(W1157,Sheet4!$A$5:$B$71,2,0)</f>
        <v>REAR MUDGAURD</v>
      </c>
      <c r="Z1157">
        <v>87082900</v>
      </c>
      <c r="AA1157">
        <v>432</v>
      </c>
      <c r="AB1157" t="s">
        <v>159</v>
      </c>
      <c r="AC1157">
        <v>89.25</v>
      </c>
      <c r="AD1157" t="s">
        <v>160</v>
      </c>
      <c r="AE1157" s="24">
        <v>38556</v>
      </c>
      <c r="AF1157">
        <v>0</v>
      </c>
      <c r="AG1157" s="24">
        <v>38556</v>
      </c>
      <c r="AH1157">
        <v>0</v>
      </c>
      <c r="AI1157">
        <v>0</v>
      </c>
      <c r="AJ1157">
        <v>0</v>
      </c>
      <c r="AK1157">
        <v>0</v>
      </c>
      <c r="AL1157" s="24">
        <v>38556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 s="24">
        <v>38556</v>
      </c>
      <c r="AV1157">
        <v>0</v>
      </c>
      <c r="AW1157">
        <v>0</v>
      </c>
      <c r="AX1157">
        <v>311000</v>
      </c>
      <c r="AY1157" t="s">
        <v>161</v>
      </c>
      <c r="AZ1157">
        <v>1.32</v>
      </c>
      <c r="BA1157">
        <v>0.72399999999999998</v>
      </c>
      <c r="BB1157">
        <v>0.59599999999999997</v>
      </c>
      <c r="BC1157">
        <v>2000001017</v>
      </c>
      <c r="BD1157">
        <v>1508</v>
      </c>
      <c r="BE1157" t="s">
        <v>162</v>
      </c>
      <c r="BF1157" t="s">
        <v>163</v>
      </c>
      <c r="BG1157" t="s">
        <v>164</v>
      </c>
    </row>
    <row r="1158" spans="1:59">
      <c r="A1158">
        <v>1115</v>
      </c>
      <c r="B1158">
        <v>1115</v>
      </c>
      <c r="C1158">
        <v>10</v>
      </c>
      <c r="D1158">
        <v>2</v>
      </c>
      <c r="E1158" t="s">
        <v>152</v>
      </c>
      <c r="F1158" t="s">
        <v>153</v>
      </c>
      <c r="G1158" t="s">
        <v>154</v>
      </c>
      <c r="H1158">
        <v>1526006880</v>
      </c>
      <c r="I1158">
        <v>1000007168</v>
      </c>
      <c r="L1158" t="s">
        <v>362</v>
      </c>
      <c r="M1158">
        <v>5100001636</v>
      </c>
      <c r="N1158" t="s">
        <v>155</v>
      </c>
      <c r="O1158" t="s">
        <v>156</v>
      </c>
      <c r="P1158">
        <v>4110026445</v>
      </c>
      <c r="Q1158" t="s">
        <v>170</v>
      </c>
      <c r="R1158">
        <v>5000</v>
      </c>
      <c r="S1158" t="s">
        <v>166</v>
      </c>
      <c r="V1158" t="s">
        <v>167</v>
      </c>
      <c r="W1158">
        <v>1502020104</v>
      </c>
      <c r="X1158" t="s">
        <v>26</v>
      </c>
      <c r="Y1158" t="str">
        <f>VLOOKUP(W1158,Sheet4!$A$5:$B$71,2,0)</f>
        <v>RE STYLING</v>
      </c>
      <c r="Z1158">
        <v>87082900</v>
      </c>
      <c r="AA1158">
        <v>15</v>
      </c>
      <c r="AB1158" t="s">
        <v>159</v>
      </c>
      <c r="AC1158" s="24">
        <v>6585.55</v>
      </c>
      <c r="AD1158" t="s">
        <v>160</v>
      </c>
      <c r="AE1158" s="24">
        <v>98783.25</v>
      </c>
      <c r="AF1158">
        <v>0</v>
      </c>
      <c r="AG1158" s="24">
        <v>98783.25</v>
      </c>
      <c r="AH1158">
        <v>0</v>
      </c>
      <c r="AI1158">
        <v>0</v>
      </c>
      <c r="AJ1158">
        <v>0</v>
      </c>
      <c r="AK1158">
        <v>0</v>
      </c>
      <c r="AL1158" s="24">
        <v>98783.25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 s="24">
        <v>98783.25</v>
      </c>
      <c r="AV1158">
        <v>0</v>
      </c>
      <c r="AW1158">
        <v>0</v>
      </c>
      <c r="AX1158">
        <v>311000</v>
      </c>
      <c r="AY1158" t="s">
        <v>161</v>
      </c>
      <c r="AZ1158">
        <v>49.75</v>
      </c>
      <c r="BA1158">
        <v>49.75</v>
      </c>
      <c r="BB1158">
        <v>0</v>
      </c>
      <c r="BC1158" t="s">
        <v>171</v>
      </c>
      <c r="BD1158">
        <v>1509</v>
      </c>
      <c r="BE1158" t="s">
        <v>169</v>
      </c>
      <c r="BF1158" t="s">
        <v>163</v>
      </c>
      <c r="BG1158" t="s">
        <v>164</v>
      </c>
    </row>
    <row r="1159" spans="1:59">
      <c r="A1159">
        <v>1115</v>
      </c>
      <c r="B1159">
        <v>1115</v>
      </c>
      <c r="C1159">
        <v>10</v>
      </c>
      <c r="D1159">
        <v>2</v>
      </c>
      <c r="E1159" t="s">
        <v>152</v>
      </c>
      <c r="F1159" t="s">
        <v>153</v>
      </c>
      <c r="G1159" t="s">
        <v>154</v>
      </c>
      <c r="H1159">
        <v>1526006882</v>
      </c>
      <c r="I1159">
        <v>1000007170</v>
      </c>
      <c r="L1159" t="s">
        <v>362</v>
      </c>
      <c r="M1159">
        <v>5100001919</v>
      </c>
      <c r="N1159" t="s">
        <v>155</v>
      </c>
      <c r="O1159" t="s">
        <v>156</v>
      </c>
      <c r="P1159">
        <v>5500000930</v>
      </c>
      <c r="Q1159" t="s">
        <v>157</v>
      </c>
      <c r="R1159">
        <v>5356</v>
      </c>
      <c r="S1159" t="s">
        <v>158</v>
      </c>
      <c r="W1159">
        <v>1502010011</v>
      </c>
      <c r="X1159" t="s">
        <v>35</v>
      </c>
      <c r="Y1159" t="str">
        <f>VLOOKUP(W1159,Sheet4!$A$5:$B$71,2,0)</f>
        <v>REAR MUDGAURD</v>
      </c>
      <c r="Z1159">
        <v>87082900</v>
      </c>
      <c r="AA1159">
        <v>432</v>
      </c>
      <c r="AB1159" t="s">
        <v>159</v>
      </c>
      <c r="AC1159">
        <v>89.25</v>
      </c>
      <c r="AD1159" t="s">
        <v>160</v>
      </c>
      <c r="AE1159" s="24">
        <v>38556</v>
      </c>
      <c r="AF1159">
        <v>0</v>
      </c>
      <c r="AG1159" s="24">
        <v>38556</v>
      </c>
      <c r="AH1159">
        <v>0</v>
      </c>
      <c r="AI1159">
        <v>0</v>
      </c>
      <c r="AJ1159">
        <v>0</v>
      </c>
      <c r="AK1159">
        <v>0</v>
      </c>
      <c r="AL1159" s="24">
        <v>38556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 s="24">
        <v>38556</v>
      </c>
      <c r="AV1159">
        <v>0</v>
      </c>
      <c r="AW1159">
        <v>0</v>
      </c>
      <c r="AX1159">
        <v>311000</v>
      </c>
      <c r="AY1159" t="s">
        <v>161</v>
      </c>
      <c r="AZ1159">
        <v>1.32</v>
      </c>
      <c r="BA1159">
        <v>0.72399999999999998</v>
      </c>
      <c r="BB1159">
        <v>0.59599999999999997</v>
      </c>
      <c r="BC1159">
        <v>2000001017</v>
      </c>
      <c r="BD1159">
        <v>1508</v>
      </c>
      <c r="BE1159" t="s">
        <v>162</v>
      </c>
      <c r="BF1159" t="s">
        <v>163</v>
      </c>
      <c r="BG1159" t="s">
        <v>164</v>
      </c>
    </row>
    <row r="1160" spans="1:59">
      <c r="A1160">
        <v>1115</v>
      </c>
      <c r="B1160">
        <v>1115</v>
      </c>
      <c r="C1160">
        <v>10</v>
      </c>
      <c r="D1160">
        <v>2</v>
      </c>
      <c r="E1160" t="s">
        <v>152</v>
      </c>
      <c r="F1160" t="s">
        <v>153</v>
      </c>
      <c r="G1160" t="s">
        <v>154</v>
      </c>
      <c r="H1160">
        <v>1526006883</v>
      </c>
      <c r="I1160">
        <v>1000007171</v>
      </c>
      <c r="L1160" t="s">
        <v>362</v>
      </c>
      <c r="M1160">
        <v>5100001636</v>
      </c>
      <c r="N1160" t="s">
        <v>155</v>
      </c>
      <c r="O1160" t="s">
        <v>156</v>
      </c>
      <c r="P1160">
        <v>4110026445</v>
      </c>
      <c r="Q1160" t="s">
        <v>170</v>
      </c>
      <c r="R1160">
        <v>5000</v>
      </c>
      <c r="S1160" t="s">
        <v>166</v>
      </c>
      <c r="V1160" t="s">
        <v>167</v>
      </c>
      <c r="W1160">
        <v>1502020104</v>
      </c>
      <c r="X1160" t="s">
        <v>26</v>
      </c>
      <c r="Y1160" t="str">
        <f>VLOOKUP(W1160,Sheet4!$A$5:$B$71,2,0)</f>
        <v>RE STYLING</v>
      </c>
      <c r="Z1160">
        <v>87082900</v>
      </c>
      <c r="AA1160">
        <v>15</v>
      </c>
      <c r="AB1160" t="s">
        <v>159</v>
      </c>
      <c r="AC1160" s="24">
        <v>6585.55</v>
      </c>
      <c r="AD1160" t="s">
        <v>160</v>
      </c>
      <c r="AE1160" s="24">
        <v>98783.25</v>
      </c>
      <c r="AF1160">
        <v>0</v>
      </c>
      <c r="AG1160" s="24">
        <v>98783.25</v>
      </c>
      <c r="AH1160">
        <v>0</v>
      </c>
      <c r="AI1160">
        <v>0</v>
      </c>
      <c r="AJ1160">
        <v>0</v>
      </c>
      <c r="AK1160">
        <v>0</v>
      </c>
      <c r="AL1160" s="24">
        <v>98783.25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 s="24">
        <v>98783.25</v>
      </c>
      <c r="AV1160">
        <v>0</v>
      </c>
      <c r="AW1160">
        <v>0</v>
      </c>
      <c r="AX1160">
        <v>311000</v>
      </c>
      <c r="AY1160" t="s">
        <v>161</v>
      </c>
      <c r="AZ1160">
        <v>49.75</v>
      </c>
      <c r="BA1160">
        <v>49.75</v>
      </c>
      <c r="BB1160">
        <v>0</v>
      </c>
      <c r="BC1160" t="s">
        <v>171</v>
      </c>
      <c r="BD1160">
        <v>1509</v>
      </c>
      <c r="BE1160" t="s">
        <v>169</v>
      </c>
      <c r="BF1160" t="s">
        <v>163</v>
      </c>
      <c r="BG1160" t="s">
        <v>164</v>
      </c>
    </row>
    <row r="1161" spans="1:59">
      <c r="A1161">
        <v>1115</v>
      </c>
      <c r="B1161">
        <v>1115</v>
      </c>
      <c r="C1161">
        <v>10</v>
      </c>
      <c r="D1161">
        <v>2</v>
      </c>
      <c r="E1161" t="s">
        <v>152</v>
      </c>
      <c r="F1161" t="s">
        <v>153</v>
      </c>
      <c r="G1161" t="s">
        <v>154</v>
      </c>
      <c r="H1161">
        <v>1526006885</v>
      </c>
      <c r="I1161">
        <v>1000007172</v>
      </c>
      <c r="L1161" t="s">
        <v>362</v>
      </c>
      <c r="M1161">
        <v>5100001919</v>
      </c>
      <c r="N1161" t="s">
        <v>155</v>
      </c>
      <c r="O1161" t="s">
        <v>156</v>
      </c>
      <c r="P1161">
        <v>5500000930</v>
      </c>
      <c r="Q1161" t="s">
        <v>157</v>
      </c>
      <c r="R1161">
        <v>5356</v>
      </c>
      <c r="S1161" t="s">
        <v>158</v>
      </c>
      <c r="W1161">
        <v>1502010011</v>
      </c>
      <c r="X1161" t="s">
        <v>35</v>
      </c>
      <c r="Y1161" t="str">
        <f>VLOOKUP(W1161,Sheet4!$A$5:$B$71,2,0)</f>
        <v>REAR MUDGAURD</v>
      </c>
      <c r="Z1161">
        <v>87082900</v>
      </c>
      <c r="AA1161">
        <v>432</v>
      </c>
      <c r="AB1161" t="s">
        <v>159</v>
      </c>
      <c r="AC1161">
        <v>89.25</v>
      </c>
      <c r="AD1161" t="s">
        <v>160</v>
      </c>
      <c r="AE1161" s="24">
        <v>38556</v>
      </c>
      <c r="AF1161">
        <v>0</v>
      </c>
      <c r="AG1161" s="24">
        <v>38556</v>
      </c>
      <c r="AH1161">
        <v>0</v>
      </c>
      <c r="AI1161">
        <v>0</v>
      </c>
      <c r="AJ1161">
        <v>0</v>
      </c>
      <c r="AK1161">
        <v>0</v>
      </c>
      <c r="AL1161" s="24">
        <v>38556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 s="24">
        <v>38556</v>
      </c>
      <c r="AV1161">
        <v>0</v>
      </c>
      <c r="AW1161">
        <v>0</v>
      </c>
      <c r="AX1161">
        <v>311000</v>
      </c>
      <c r="AY1161" t="s">
        <v>161</v>
      </c>
      <c r="AZ1161">
        <v>1.32</v>
      </c>
      <c r="BA1161">
        <v>0.72399999999999998</v>
      </c>
      <c r="BB1161">
        <v>0.59599999999999997</v>
      </c>
      <c r="BC1161">
        <v>2000001017</v>
      </c>
      <c r="BD1161">
        <v>1508</v>
      </c>
      <c r="BE1161" t="s">
        <v>162</v>
      </c>
      <c r="BF1161" t="s">
        <v>163</v>
      </c>
      <c r="BG1161" t="s">
        <v>164</v>
      </c>
    </row>
    <row r="1162" spans="1:59">
      <c r="A1162">
        <v>1115</v>
      </c>
      <c r="B1162">
        <v>1115</v>
      </c>
      <c r="C1162">
        <v>10</v>
      </c>
      <c r="D1162">
        <v>2</v>
      </c>
      <c r="E1162" t="s">
        <v>152</v>
      </c>
      <c r="F1162" t="s">
        <v>153</v>
      </c>
      <c r="G1162" t="s">
        <v>154</v>
      </c>
      <c r="H1162">
        <v>1526006888</v>
      </c>
      <c r="I1162">
        <v>1000007173</v>
      </c>
      <c r="L1162" t="s">
        <v>362</v>
      </c>
      <c r="M1162">
        <v>5100001919</v>
      </c>
      <c r="N1162" t="s">
        <v>155</v>
      </c>
      <c r="O1162" t="s">
        <v>156</v>
      </c>
      <c r="P1162">
        <v>5500000930</v>
      </c>
      <c r="Q1162" t="s">
        <v>157</v>
      </c>
      <c r="R1162">
        <v>5356</v>
      </c>
      <c r="S1162" t="s">
        <v>158</v>
      </c>
      <c r="W1162">
        <v>1502010011</v>
      </c>
      <c r="X1162" t="s">
        <v>35</v>
      </c>
      <c r="Y1162" t="str">
        <f>VLOOKUP(W1162,Sheet4!$A$5:$B$71,2,0)</f>
        <v>REAR MUDGAURD</v>
      </c>
      <c r="Z1162">
        <v>87082900</v>
      </c>
      <c r="AA1162">
        <v>432</v>
      </c>
      <c r="AB1162" t="s">
        <v>159</v>
      </c>
      <c r="AC1162">
        <v>89.25</v>
      </c>
      <c r="AD1162" t="s">
        <v>160</v>
      </c>
      <c r="AE1162" s="24">
        <v>38556</v>
      </c>
      <c r="AF1162">
        <v>0</v>
      </c>
      <c r="AG1162" s="24">
        <v>38556</v>
      </c>
      <c r="AH1162">
        <v>0</v>
      </c>
      <c r="AI1162">
        <v>0</v>
      </c>
      <c r="AJ1162">
        <v>0</v>
      </c>
      <c r="AK1162">
        <v>0</v>
      </c>
      <c r="AL1162" s="24">
        <v>38556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 s="24">
        <v>38556</v>
      </c>
      <c r="AV1162">
        <v>0</v>
      </c>
      <c r="AW1162">
        <v>0</v>
      </c>
      <c r="AX1162">
        <v>311000</v>
      </c>
      <c r="AY1162" t="s">
        <v>161</v>
      </c>
      <c r="AZ1162">
        <v>1.32</v>
      </c>
      <c r="BA1162">
        <v>0.72399999999999998</v>
      </c>
      <c r="BB1162">
        <v>0.59599999999999997</v>
      </c>
      <c r="BC1162">
        <v>2000001017</v>
      </c>
      <c r="BD1162">
        <v>1508</v>
      </c>
      <c r="BE1162" t="s">
        <v>162</v>
      </c>
      <c r="BF1162" t="s">
        <v>163</v>
      </c>
      <c r="BG1162" t="s">
        <v>164</v>
      </c>
    </row>
    <row r="1163" spans="1:59">
      <c r="A1163">
        <v>1115</v>
      </c>
      <c r="B1163">
        <v>1115</v>
      </c>
      <c r="C1163">
        <v>10</v>
      </c>
      <c r="D1163">
        <v>2</v>
      </c>
      <c r="E1163" t="s">
        <v>152</v>
      </c>
      <c r="F1163" t="s">
        <v>153</v>
      </c>
      <c r="G1163" t="s">
        <v>154</v>
      </c>
      <c r="H1163">
        <v>1526006890</v>
      </c>
      <c r="I1163">
        <v>1000007174</v>
      </c>
      <c r="L1163" t="s">
        <v>362</v>
      </c>
      <c r="M1163">
        <v>5100001919</v>
      </c>
      <c r="N1163" t="s">
        <v>155</v>
      </c>
      <c r="O1163" t="s">
        <v>156</v>
      </c>
      <c r="P1163">
        <v>5500000930</v>
      </c>
      <c r="Q1163" t="s">
        <v>157</v>
      </c>
      <c r="R1163">
        <v>5356</v>
      </c>
      <c r="S1163" t="s">
        <v>158</v>
      </c>
      <c r="W1163">
        <v>1502010011</v>
      </c>
      <c r="X1163" t="s">
        <v>35</v>
      </c>
      <c r="Y1163" t="str">
        <f>VLOOKUP(W1163,Sheet4!$A$5:$B$71,2,0)</f>
        <v>REAR MUDGAURD</v>
      </c>
      <c r="Z1163">
        <v>87082900</v>
      </c>
      <c r="AA1163">
        <v>432</v>
      </c>
      <c r="AB1163" t="s">
        <v>159</v>
      </c>
      <c r="AC1163">
        <v>89.25</v>
      </c>
      <c r="AD1163" t="s">
        <v>160</v>
      </c>
      <c r="AE1163" s="24">
        <v>38556</v>
      </c>
      <c r="AF1163">
        <v>0</v>
      </c>
      <c r="AG1163" s="24">
        <v>38556</v>
      </c>
      <c r="AH1163">
        <v>0</v>
      </c>
      <c r="AI1163">
        <v>0</v>
      </c>
      <c r="AJ1163">
        <v>0</v>
      </c>
      <c r="AK1163">
        <v>0</v>
      </c>
      <c r="AL1163" s="24">
        <v>38556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s="24">
        <v>38556</v>
      </c>
      <c r="AV1163">
        <v>0</v>
      </c>
      <c r="AW1163">
        <v>0</v>
      </c>
      <c r="AX1163">
        <v>311000</v>
      </c>
      <c r="AY1163" t="s">
        <v>161</v>
      </c>
      <c r="AZ1163">
        <v>1.32</v>
      </c>
      <c r="BA1163">
        <v>0.72399999999999998</v>
      </c>
      <c r="BB1163">
        <v>0.59599999999999997</v>
      </c>
      <c r="BC1163">
        <v>2000001017</v>
      </c>
      <c r="BD1163">
        <v>1508</v>
      </c>
      <c r="BE1163" t="s">
        <v>162</v>
      </c>
      <c r="BF1163" t="s">
        <v>163</v>
      </c>
      <c r="BG1163" t="s">
        <v>164</v>
      </c>
    </row>
    <row r="1164" spans="1:59">
      <c r="A1164">
        <v>1115</v>
      </c>
      <c r="B1164">
        <v>1115</v>
      </c>
      <c r="C1164">
        <v>10</v>
      </c>
      <c r="D1164">
        <v>2</v>
      </c>
      <c r="E1164" t="s">
        <v>152</v>
      </c>
      <c r="F1164" t="s">
        <v>153</v>
      </c>
      <c r="G1164" t="s">
        <v>154</v>
      </c>
      <c r="H1164">
        <v>1526006891</v>
      </c>
      <c r="I1164">
        <v>1000007175</v>
      </c>
      <c r="L1164" t="s">
        <v>362</v>
      </c>
      <c r="M1164">
        <v>5100001919</v>
      </c>
      <c r="N1164" t="s">
        <v>155</v>
      </c>
      <c r="O1164" t="s">
        <v>156</v>
      </c>
      <c r="P1164">
        <v>5500000930</v>
      </c>
      <c r="Q1164" t="s">
        <v>157</v>
      </c>
      <c r="R1164">
        <v>5356</v>
      </c>
      <c r="S1164" t="s">
        <v>158</v>
      </c>
      <c r="W1164">
        <v>1502010011</v>
      </c>
      <c r="X1164" t="s">
        <v>35</v>
      </c>
      <c r="Y1164" t="str">
        <f>VLOOKUP(W1164,Sheet4!$A$5:$B$71,2,0)</f>
        <v>REAR MUDGAURD</v>
      </c>
      <c r="Z1164">
        <v>87082900</v>
      </c>
      <c r="AA1164">
        <v>432</v>
      </c>
      <c r="AB1164" t="s">
        <v>159</v>
      </c>
      <c r="AC1164">
        <v>89.25</v>
      </c>
      <c r="AD1164" t="s">
        <v>160</v>
      </c>
      <c r="AE1164" s="24">
        <v>38556</v>
      </c>
      <c r="AF1164">
        <v>0</v>
      </c>
      <c r="AG1164" s="24">
        <v>38556</v>
      </c>
      <c r="AH1164">
        <v>0</v>
      </c>
      <c r="AI1164">
        <v>0</v>
      </c>
      <c r="AJ1164">
        <v>0</v>
      </c>
      <c r="AK1164">
        <v>0</v>
      </c>
      <c r="AL1164" s="24">
        <v>38556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 s="24">
        <v>38556</v>
      </c>
      <c r="AV1164">
        <v>0</v>
      </c>
      <c r="AW1164">
        <v>0</v>
      </c>
      <c r="AX1164">
        <v>311000</v>
      </c>
      <c r="AY1164" t="s">
        <v>161</v>
      </c>
      <c r="AZ1164">
        <v>1.32</v>
      </c>
      <c r="BA1164">
        <v>0.72399999999999998</v>
      </c>
      <c r="BB1164">
        <v>0.59599999999999997</v>
      </c>
      <c r="BC1164">
        <v>2000001017</v>
      </c>
      <c r="BD1164">
        <v>1508</v>
      </c>
      <c r="BE1164" t="s">
        <v>162</v>
      </c>
      <c r="BF1164" t="s">
        <v>163</v>
      </c>
      <c r="BG1164" t="s">
        <v>164</v>
      </c>
    </row>
    <row r="1165" spans="1:59">
      <c r="A1165">
        <v>1115</v>
      </c>
      <c r="B1165">
        <v>1115</v>
      </c>
      <c r="C1165">
        <v>10</v>
      </c>
      <c r="D1165">
        <v>2</v>
      </c>
      <c r="E1165" t="s">
        <v>152</v>
      </c>
      <c r="F1165" t="s">
        <v>153</v>
      </c>
      <c r="G1165" t="s">
        <v>154</v>
      </c>
      <c r="H1165">
        <v>1526006895</v>
      </c>
      <c r="I1165">
        <v>1000007177</v>
      </c>
      <c r="L1165" t="s">
        <v>362</v>
      </c>
      <c r="M1165">
        <v>5100001899</v>
      </c>
      <c r="N1165" t="s">
        <v>155</v>
      </c>
      <c r="O1165" t="s">
        <v>156</v>
      </c>
      <c r="P1165">
        <v>4110041854</v>
      </c>
      <c r="Q1165" t="s">
        <v>172</v>
      </c>
      <c r="R1165">
        <v>5000</v>
      </c>
      <c r="S1165" t="s">
        <v>166</v>
      </c>
      <c r="V1165" t="s">
        <v>167</v>
      </c>
      <c r="W1165">
        <v>1502040267</v>
      </c>
      <c r="X1165" t="s">
        <v>63</v>
      </c>
      <c r="Y1165" t="str">
        <f>VLOOKUP(W1165,Sheet4!$A$5:$B$71,2,0)</f>
        <v>DASH BOARD</v>
      </c>
      <c r="Z1165">
        <v>87082900</v>
      </c>
      <c r="AA1165">
        <v>416</v>
      </c>
      <c r="AB1165" t="s">
        <v>159</v>
      </c>
      <c r="AC1165">
        <v>290.89999999999998</v>
      </c>
      <c r="AD1165" t="s">
        <v>160</v>
      </c>
      <c r="AE1165" s="24">
        <v>121014.39999999999</v>
      </c>
      <c r="AF1165">
        <v>0</v>
      </c>
      <c r="AG1165" s="24">
        <v>121014.39999999999</v>
      </c>
      <c r="AH1165">
        <v>0</v>
      </c>
      <c r="AI1165">
        <v>0</v>
      </c>
      <c r="AJ1165">
        <v>0</v>
      </c>
      <c r="AK1165">
        <v>0</v>
      </c>
      <c r="AL1165" s="24">
        <v>121014.39999999999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 s="24">
        <v>121014.39999999999</v>
      </c>
      <c r="AV1165">
        <v>0</v>
      </c>
      <c r="AW1165">
        <v>0</v>
      </c>
      <c r="AX1165">
        <v>311000</v>
      </c>
      <c r="AY1165" t="s">
        <v>161</v>
      </c>
      <c r="AZ1165">
        <v>4.5</v>
      </c>
      <c r="BA1165">
        <v>4.5</v>
      </c>
      <c r="BB1165">
        <v>0</v>
      </c>
      <c r="BC1165" t="s">
        <v>173</v>
      </c>
      <c r="BD1165">
        <v>1511</v>
      </c>
      <c r="BE1165" t="s">
        <v>174</v>
      </c>
      <c r="BF1165" t="s">
        <v>163</v>
      </c>
      <c r="BG1165" t="s">
        <v>164</v>
      </c>
    </row>
    <row r="1166" spans="1:59">
      <c r="A1166">
        <v>1115</v>
      </c>
      <c r="B1166">
        <v>1115</v>
      </c>
      <c r="C1166">
        <v>10</v>
      </c>
      <c r="D1166">
        <v>2</v>
      </c>
      <c r="E1166" t="s">
        <v>152</v>
      </c>
      <c r="F1166" t="s">
        <v>153</v>
      </c>
      <c r="G1166" t="s">
        <v>154</v>
      </c>
      <c r="H1166">
        <v>1526006896</v>
      </c>
      <c r="I1166">
        <v>1000007178</v>
      </c>
      <c r="L1166" t="s">
        <v>362</v>
      </c>
      <c r="M1166">
        <v>5100001949</v>
      </c>
      <c r="N1166" t="s">
        <v>155</v>
      </c>
      <c r="O1166" t="s">
        <v>156</v>
      </c>
      <c r="P1166">
        <v>4110063766</v>
      </c>
      <c r="Q1166" t="s">
        <v>252</v>
      </c>
      <c r="R1166">
        <v>5000</v>
      </c>
      <c r="S1166" t="s">
        <v>166</v>
      </c>
      <c r="V1166" t="s">
        <v>167</v>
      </c>
      <c r="W1166">
        <v>1502040322</v>
      </c>
      <c r="X1166" t="s">
        <v>250</v>
      </c>
      <c r="Y1166" t="str">
        <f>VLOOKUP(W1166,Sheet4!$A$5:$B$71,2,0)</f>
        <v>DASH BOARD</v>
      </c>
      <c r="Z1166">
        <v>87082900</v>
      </c>
      <c r="AA1166">
        <v>90</v>
      </c>
      <c r="AB1166" t="s">
        <v>159</v>
      </c>
      <c r="AC1166">
        <v>291.27999999999997</v>
      </c>
      <c r="AD1166" t="s">
        <v>160</v>
      </c>
      <c r="AE1166" s="24">
        <v>26215.200000000001</v>
      </c>
      <c r="AF1166">
        <v>0</v>
      </c>
      <c r="AG1166" s="24">
        <v>26215.200000000001</v>
      </c>
      <c r="AH1166">
        <v>0</v>
      </c>
      <c r="AI1166">
        <v>0</v>
      </c>
      <c r="AJ1166">
        <v>0</v>
      </c>
      <c r="AK1166">
        <v>0</v>
      </c>
      <c r="AL1166" s="24">
        <v>26215.200000000001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 s="24">
        <v>26215.200000000001</v>
      </c>
      <c r="AV1166">
        <v>0</v>
      </c>
      <c r="AW1166">
        <v>0</v>
      </c>
      <c r="AX1166">
        <v>311000</v>
      </c>
      <c r="AY1166" t="s">
        <v>161</v>
      </c>
      <c r="AZ1166">
        <v>2.37</v>
      </c>
      <c r="BA1166">
        <v>2.37</v>
      </c>
      <c r="BB1166">
        <v>0</v>
      </c>
      <c r="BC1166" t="s">
        <v>251</v>
      </c>
      <c r="BD1166">
        <v>1511</v>
      </c>
      <c r="BE1166" t="s">
        <v>174</v>
      </c>
      <c r="BF1166" t="s">
        <v>163</v>
      </c>
      <c r="BG1166" t="s">
        <v>164</v>
      </c>
    </row>
    <row r="1167" spans="1:59">
      <c r="A1167">
        <v>1115</v>
      </c>
      <c r="B1167">
        <v>1115</v>
      </c>
      <c r="C1167">
        <v>10</v>
      </c>
      <c r="D1167">
        <v>2</v>
      </c>
      <c r="E1167" t="s">
        <v>152</v>
      </c>
      <c r="F1167" t="s">
        <v>153</v>
      </c>
      <c r="G1167" t="s">
        <v>154</v>
      </c>
      <c r="H1167">
        <v>1526006897</v>
      </c>
      <c r="I1167">
        <v>1000007179</v>
      </c>
      <c r="L1167" t="s">
        <v>362</v>
      </c>
      <c r="M1167">
        <v>5100001928</v>
      </c>
      <c r="N1167" t="s">
        <v>155</v>
      </c>
      <c r="O1167" t="s">
        <v>156</v>
      </c>
      <c r="P1167">
        <v>4110057393</v>
      </c>
      <c r="Q1167" t="s">
        <v>192</v>
      </c>
      <c r="R1167">
        <v>5000</v>
      </c>
      <c r="S1167" t="s">
        <v>166</v>
      </c>
      <c r="V1167" t="s">
        <v>167</v>
      </c>
      <c r="W1167">
        <v>1502020122</v>
      </c>
      <c r="X1167" t="s">
        <v>70</v>
      </c>
      <c r="Y1167" t="str">
        <f>VLOOKUP(W1167,Sheet4!$A$5:$B$71,2,0)</f>
        <v>MAX UG NEW EV</v>
      </c>
      <c r="Z1167">
        <v>87082900</v>
      </c>
      <c r="AA1167">
        <v>10</v>
      </c>
      <c r="AB1167" t="s">
        <v>159</v>
      </c>
      <c r="AC1167" s="24">
        <v>9566.51</v>
      </c>
      <c r="AD1167" t="s">
        <v>160</v>
      </c>
      <c r="AE1167" s="24">
        <v>95665.1</v>
      </c>
      <c r="AF1167">
        <v>0</v>
      </c>
      <c r="AG1167" s="24">
        <v>95665.1</v>
      </c>
      <c r="AH1167">
        <v>0</v>
      </c>
      <c r="AI1167">
        <v>0</v>
      </c>
      <c r="AJ1167">
        <v>0</v>
      </c>
      <c r="AK1167">
        <v>0</v>
      </c>
      <c r="AL1167" s="24">
        <v>95665.1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 s="24">
        <v>95665.1</v>
      </c>
      <c r="AV1167">
        <v>0</v>
      </c>
      <c r="AW1167">
        <v>0</v>
      </c>
      <c r="AX1167">
        <v>311000</v>
      </c>
      <c r="AY1167" t="s">
        <v>161</v>
      </c>
      <c r="AZ1167">
        <v>0</v>
      </c>
      <c r="BA1167">
        <v>61</v>
      </c>
      <c r="BB1167">
        <v>-61</v>
      </c>
      <c r="BC1167" t="s">
        <v>193</v>
      </c>
      <c r="BD1167">
        <v>1509</v>
      </c>
      <c r="BE1167" t="s">
        <v>169</v>
      </c>
      <c r="BF1167" t="s">
        <v>163</v>
      </c>
      <c r="BG1167" t="s">
        <v>164</v>
      </c>
    </row>
    <row r="1168" spans="1:59">
      <c r="A1168">
        <v>1115</v>
      </c>
      <c r="B1168">
        <v>1115</v>
      </c>
      <c r="C1168">
        <v>10</v>
      </c>
      <c r="D1168">
        <v>2</v>
      </c>
      <c r="E1168" t="s">
        <v>152</v>
      </c>
      <c r="F1168" t="s">
        <v>153</v>
      </c>
      <c r="G1168" t="s">
        <v>154</v>
      </c>
      <c r="H1168">
        <v>1526006898</v>
      </c>
      <c r="I1168">
        <v>1000007180</v>
      </c>
      <c r="L1168" t="s">
        <v>362</v>
      </c>
      <c r="M1168">
        <v>5100001928</v>
      </c>
      <c r="N1168" t="s">
        <v>155</v>
      </c>
      <c r="O1168" t="s">
        <v>156</v>
      </c>
      <c r="P1168">
        <v>4110057393</v>
      </c>
      <c r="Q1168" t="s">
        <v>192</v>
      </c>
      <c r="R1168">
        <v>5000</v>
      </c>
      <c r="S1168" t="s">
        <v>166</v>
      </c>
      <c r="V1168" t="s">
        <v>167</v>
      </c>
      <c r="W1168">
        <v>1502020122</v>
      </c>
      <c r="X1168" t="s">
        <v>70</v>
      </c>
      <c r="Y1168" t="str">
        <f>VLOOKUP(W1168,Sheet4!$A$5:$B$71,2,0)</f>
        <v>MAX UG NEW EV</v>
      </c>
      <c r="Z1168">
        <v>87082900</v>
      </c>
      <c r="AA1168">
        <v>10</v>
      </c>
      <c r="AB1168" t="s">
        <v>159</v>
      </c>
      <c r="AC1168" s="24">
        <v>9566.51</v>
      </c>
      <c r="AD1168" t="s">
        <v>160</v>
      </c>
      <c r="AE1168" s="24">
        <v>95665.1</v>
      </c>
      <c r="AF1168">
        <v>0</v>
      </c>
      <c r="AG1168" s="24">
        <v>95665.1</v>
      </c>
      <c r="AH1168">
        <v>0</v>
      </c>
      <c r="AI1168">
        <v>0</v>
      </c>
      <c r="AJ1168">
        <v>0</v>
      </c>
      <c r="AK1168">
        <v>0</v>
      </c>
      <c r="AL1168" s="24">
        <v>95665.1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 s="24">
        <v>95665.1</v>
      </c>
      <c r="AV1168">
        <v>0</v>
      </c>
      <c r="AW1168">
        <v>0</v>
      </c>
      <c r="AX1168">
        <v>311000</v>
      </c>
      <c r="AY1168" t="s">
        <v>161</v>
      </c>
      <c r="AZ1168">
        <v>0</v>
      </c>
      <c r="BA1168">
        <v>61</v>
      </c>
      <c r="BB1168">
        <v>-61</v>
      </c>
      <c r="BC1168" t="s">
        <v>193</v>
      </c>
      <c r="BD1168">
        <v>1509</v>
      </c>
      <c r="BE1168" t="s">
        <v>169</v>
      </c>
      <c r="BF1168" t="s">
        <v>163</v>
      </c>
      <c r="BG1168" t="s">
        <v>164</v>
      </c>
    </row>
    <row r="1169" spans="1:59">
      <c r="A1169">
        <v>1115</v>
      </c>
      <c r="B1169">
        <v>1115</v>
      </c>
      <c r="C1169">
        <v>10</v>
      </c>
      <c r="D1169">
        <v>2</v>
      </c>
      <c r="E1169" t="s">
        <v>152</v>
      </c>
      <c r="F1169" t="s">
        <v>153</v>
      </c>
      <c r="G1169" t="s">
        <v>154</v>
      </c>
      <c r="H1169">
        <v>1526006899</v>
      </c>
      <c r="I1169">
        <v>1000007183</v>
      </c>
      <c r="L1169" t="s">
        <v>362</v>
      </c>
      <c r="M1169">
        <v>5100001928</v>
      </c>
      <c r="N1169" t="s">
        <v>155</v>
      </c>
      <c r="O1169" t="s">
        <v>156</v>
      </c>
      <c r="P1169">
        <v>4110057393</v>
      </c>
      <c r="Q1169" t="s">
        <v>192</v>
      </c>
      <c r="R1169">
        <v>5000</v>
      </c>
      <c r="S1169" t="s">
        <v>166</v>
      </c>
      <c r="V1169" t="s">
        <v>167</v>
      </c>
      <c r="W1169">
        <v>1502020122</v>
      </c>
      <c r="X1169" t="s">
        <v>70</v>
      </c>
      <c r="Y1169" t="str">
        <f>VLOOKUP(W1169,Sheet4!$A$5:$B$71,2,0)</f>
        <v>MAX UG NEW EV</v>
      </c>
      <c r="Z1169">
        <v>87082900</v>
      </c>
      <c r="AA1169">
        <v>10</v>
      </c>
      <c r="AB1169" t="s">
        <v>159</v>
      </c>
      <c r="AC1169" s="24">
        <v>9566.51</v>
      </c>
      <c r="AD1169" t="s">
        <v>160</v>
      </c>
      <c r="AE1169" s="24">
        <v>95665.1</v>
      </c>
      <c r="AF1169">
        <v>0</v>
      </c>
      <c r="AG1169" s="24">
        <v>95665.1</v>
      </c>
      <c r="AH1169">
        <v>0</v>
      </c>
      <c r="AI1169">
        <v>0</v>
      </c>
      <c r="AJ1169">
        <v>0</v>
      </c>
      <c r="AK1169">
        <v>0</v>
      </c>
      <c r="AL1169" s="24">
        <v>95665.1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 s="24">
        <v>95665.1</v>
      </c>
      <c r="AV1169">
        <v>0</v>
      </c>
      <c r="AW1169">
        <v>0</v>
      </c>
      <c r="AX1169">
        <v>311000</v>
      </c>
      <c r="AY1169" t="s">
        <v>161</v>
      </c>
      <c r="AZ1169">
        <v>0</v>
      </c>
      <c r="BA1169">
        <v>61</v>
      </c>
      <c r="BB1169">
        <v>-61</v>
      </c>
      <c r="BC1169" t="s">
        <v>193</v>
      </c>
      <c r="BD1169">
        <v>1509</v>
      </c>
      <c r="BE1169" t="s">
        <v>169</v>
      </c>
      <c r="BF1169" t="s">
        <v>163</v>
      </c>
      <c r="BG1169" t="s">
        <v>164</v>
      </c>
    </row>
    <row r="1170" spans="1:59">
      <c r="A1170">
        <v>1115</v>
      </c>
      <c r="B1170">
        <v>1115</v>
      </c>
      <c r="C1170">
        <v>10</v>
      </c>
      <c r="D1170">
        <v>2</v>
      </c>
      <c r="E1170" t="s">
        <v>152</v>
      </c>
      <c r="F1170" t="s">
        <v>153</v>
      </c>
      <c r="G1170" t="s">
        <v>154</v>
      </c>
      <c r="H1170">
        <v>1526006900</v>
      </c>
      <c r="I1170">
        <v>1000007184</v>
      </c>
      <c r="L1170" t="s">
        <v>362</v>
      </c>
      <c r="M1170">
        <v>5100001913</v>
      </c>
      <c r="N1170" t="s">
        <v>155</v>
      </c>
      <c r="O1170" t="s">
        <v>156</v>
      </c>
      <c r="P1170">
        <v>4110050475</v>
      </c>
      <c r="Q1170" t="s">
        <v>178</v>
      </c>
      <c r="R1170">
        <v>5000</v>
      </c>
      <c r="S1170" t="s">
        <v>166</v>
      </c>
      <c r="V1170" t="s">
        <v>167</v>
      </c>
      <c r="W1170">
        <v>1502040289</v>
      </c>
      <c r="X1170" t="s">
        <v>49</v>
      </c>
      <c r="Y1170" t="str">
        <f>VLOOKUP(W1170,Sheet4!$A$5:$B$71,2,0)</f>
        <v>SUPPORT TOP</v>
      </c>
      <c r="Z1170">
        <v>87082900</v>
      </c>
      <c r="AA1170">
        <v>384</v>
      </c>
      <c r="AB1170" t="s">
        <v>159</v>
      </c>
      <c r="AC1170">
        <v>174.61</v>
      </c>
      <c r="AD1170" t="s">
        <v>160</v>
      </c>
      <c r="AE1170" s="24">
        <v>67050.240000000005</v>
      </c>
      <c r="AF1170">
        <v>0</v>
      </c>
      <c r="AG1170" s="24">
        <v>67050.240000000005</v>
      </c>
      <c r="AH1170">
        <v>0</v>
      </c>
      <c r="AI1170">
        <v>0</v>
      </c>
      <c r="AJ1170">
        <v>0</v>
      </c>
      <c r="AK1170">
        <v>0</v>
      </c>
      <c r="AL1170" s="24">
        <v>67050.240000000005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 s="24">
        <v>67050.240000000005</v>
      </c>
      <c r="AV1170">
        <v>0</v>
      </c>
      <c r="AW1170">
        <v>0</v>
      </c>
      <c r="AX1170">
        <v>311000</v>
      </c>
      <c r="AY1170" t="s">
        <v>161</v>
      </c>
      <c r="AZ1170">
        <v>0</v>
      </c>
      <c r="BA1170">
        <v>0</v>
      </c>
      <c r="BB1170">
        <v>0</v>
      </c>
      <c r="BC1170" t="s">
        <v>179</v>
      </c>
      <c r="BD1170">
        <v>1511</v>
      </c>
      <c r="BE1170" t="s">
        <v>174</v>
      </c>
      <c r="BF1170" t="s">
        <v>163</v>
      </c>
      <c r="BG1170" t="s">
        <v>164</v>
      </c>
    </row>
    <row r="1171" spans="1:59">
      <c r="A1171">
        <v>1115</v>
      </c>
      <c r="B1171">
        <v>1115</v>
      </c>
      <c r="C1171">
        <v>10</v>
      </c>
      <c r="D1171">
        <v>2</v>
      </c>
      <c r="E1171" t="s">
        <v>152</v>
      </c>
      <c r="F1171" t="s">
        <v>153</v>
      </c>
      <c r="G1171" t="s">
        <v>154</v>
      </c>
      <c r="H1171">
        <v>1526006901</v>
      </c>
      <c r="I1171">
        <v>1000007185</v>
      </c>
      <c r="L1171" t="s">
        <v>362</v>
      </c>
      <c r="M1171">
        <v>5100001928</v>
      </c>
      <c r="N1171" t="s">
        <v>155</v>
      </c>
      <c r="O1171" t="s">
        <v>156</v>
      </c>
      <c r="P1171">
        <v>4110057393</v>
      </c>
      <c r="Q1171" t="s">
        <v>192</v>
      </c>
      <c r="R1171">
        <v>5000</v>
      </c>
      <c r="S1171" t="s">
        <v>166</v>
      </c>
      <c r="V1171" t="s">
        <v>167</v>
      </c>
      <c r="W1171">
        <v>1502020122</v>
      </c>
      <c r="X1171" t="s">
        <v>70</v>
      </c>
      <c r="Y1171" t="str">
        <f>VLOOKUP(W1171,Sheet4!$A$5:$B$71,2,0)</f>
        <v>MAX UG NEW EV</v>
      </c>
      <c r="Z1171">
        <v>87082900</v>
      </c>
      <c r="AA1171">
        <v>10</v>
      </c>
      <c r="AB1171" t="s">
        <v>159</v>
      </c>
      <c r="AC1171" s="24">
        <v>9566.51</v>
      </c>
      <c r="AD1171" t="s">
        <v>160</v>
      </c>
      <c r="AE1171" s="24">
        <v>95665.1</v>
      </c>
      <c r="AF1171">
        <v>0</v>
      </c>
      <c r="AG1171" s="24">
        <v>95665.1</v>
      </c>
      <c r="AH1171">
        <v>0</v>
      </c>
      <c r="AI1171">
        <v>0</v>
      </c>
      <c r="AJ1171">
        <v>0</v>
      </c>
      <c r="AK1171">
        <v>0</v>
      </c>
      <c r="AL1171" s="24">
        <v>95665.1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 s="24">
        <v>95665.1</v>
      </c>
      <c r="AV1171">
        <v>0</v>
      </c>
      <c r="AW1171">
        <v>0</v>
      </c>
      <c r="AX1171">
        <v>311000</v>
      </c>
      <c r="AY1171" t="s">
        <v>161</v>
      </c>
      <c r="AZ1171">
        <v>0</v>
      </c>
      <c r="BA1171">
        <v>61</v>
      </c>
      <c r="BB1171">
        <v>-61</v>
      </c>
      <c r="BC1171" t="s">
        <v>193</v>
      </c>
      <c r="BD1171">
        <v>1509</v>
      </c>
      <c r="BE1171" t="s">
        <v>169</v>
      </c>
      <c r="BF1171" t="s">
        <v>163</v>
      </c>
      <c r="BG1171" t="s">
        <v>164</v>
      </c>
    </row>
    <row r="1172" spans="1:59">
      <c r="A1172">
        <v>1115</v>
      </c>
      <c r="B1172">
        <v>1115</v>
      </c>
      <c r="C1172">
        <v>10</v>
      </c>
      <c r="D1172">
        <v>2</v>
      </c>
      <c r="E1172" t="s">
        <v>152</v>
      </c>
      <c r="F1172" t="s">
        <v>153</v>
      </c>
      <c r="G1172" t="s">
        <v>154</v>
      </c>
      <c r="H1172">
        <v>1526006902</v>
      </c>
      <c r="I1172">
        <v>1000007186</v>
      </c>
      <c r="L1172" t="s">
        <v>362</v>
      </c>
      <c r="M1172">
        <v>5100001928</v>
      </c>
      <c r="N1172" t="s">
        <v>155</v>
      </c>
      <c r="O1172" t="s">
        <v>156</v>
      </c>
      <c r="P1172">
        <v>4110057393</v>
      </c>
      <c r="Q1172" t="s">
        <v>192</v>
      </c>
      <c r="R1172">
        <v>5000</v>
      </c>
      <c r="S1172" t="s">
        <v>166</v>
      </c>
      <c r="V1172" t="s">
        <v>167</v>
      </c>
      <c r="W1172">
        <v>1502020122</v>
      </c>
      <c r="X1172" t="s">
        <v>70</v>
      </c>
      <c r="Y1172" t="str">
        <f>VLOOKUP(W1172,Sheet4!$A$5:$B$71,2,0)</f>
        <v>MAX UG NEW EV</v>
      </c>
      <c r="Z1172">
        <v>87082900</v>
      </c>
      <c r="AA1172">
        <v>10</v>
      </c>
      <c r="AB1172" t="s">
        <v>159</v>
      </c>
      <c r="AC1172" s="24">
        <v>9566.51</v>
      </c>
      <c r="AD1172" t="s">
        <v>160</v>
      </c>
      <c r="AE1172" s="24">
        <v>95665.1</v>
      </c>
      <c r="AF1172">
        <v>0</v>
      </c>
      <c r="AG1172" s="24">
        <v>95665.1</v>
      </c>
      <c r="AH1172">
        <v>0</v>
      </c>
      <c r="AI1172">
        <v>0</v>
      </c>
      <c r="AJ1172">
        <v>0</v>
      </c>
      <c r="AK1172">
        <v>0</v>
      </c>
      <c r="AL1172" s="24">
        <v>95665.1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 s="24">
        <v>95665.1</v>
      </c>
      <c r="AV1172">
        <v>0</v>
      </c>
      <c r="AW1172">
        <v>0</v>
      </c>
      <c r="AX1172">
        <v>311000</v>
      </c>
      <c r="AY1172" t="s">
        <v>161</v>
      </c>
      <c r="AZ1172">
        <v>0</v>
      </c>
      <c r="BA1172">
        <v>61</v>
      </c>
      <c r="BB1172">
        <v>-61</v>
      </c>
      <c r="BC1172" t="s">
        <v>193</v>
      </c>
      <c r="BD1172">
        <v>1509</v>
      </c>
      <c r="BE1172" t="s">
        <v>169</v>
      </c>
      <c r="BF1172" t="s">
        <v>163</v>
      </c>
      <c r="BG1172" t="s">
        <v>164</v>
      </c>
    </row>
    <row r="1173" spans="1:59">
      <c r="A1173">
        <v>1115</v>
      </c>
      <c r="B1173">
        <v>1115</v>
      </c>
      <c r="C1173">
        <v>10</v>
      </c>
      <c r="D1173">
        <v>2</v>
      </c>
      <c r="E1173" t="s">
        <v>152</v>
      </c>
      <c r="F1173" t="s">
        <v>153</v>
      </c>
      <c r="G1173" t="s">
        <v>154</v>
      </c>
      <c r="H1173">
        <v>1526006903</v>
      </c>
      <c r="I1173">
        <v>1000007187</v>
      </c>
      <c r="L1173" t="s">
        <v>362</v>
      </c>
      <c r="M1173">
        <v>5100001101</v>
      </c>
      <c r="N1173" t="s">
        <v>155</v>
      </c>
      <c r="O1173" t="s">
        <v>156</v>
      </c>
      <c r="P1173">
        <v>4110004653</v>
      </c>
      <c r="Q1173" t="s">
        <v>177</v>
      </c>
      <c r="R1173">
        <v>5000</v>
      </c>
      <c r="S1173" t="s">
        <v>166</v>
      </c>
      <c r="V1173" t="s">
        <v>167</v>
      </c>
      <c r="W1173">
        <v>1502040194</v>
      </c>
      <c r="X1173" t="s">
        <v>44</v>
      </c>
      <c r="Y1173" t="str">
        <f>VLOOKUP(W1173,Sheet4!$A$5:$B$71,2,0)</f>
        <v>CRADEL</v>
      </c>
      <c r="Z1173">
        <v>87082900</v>
      </c>
      <c r="AA1173">
        <v>48</v>
      </c>
      <c r="AB1173" t="s">
        <v>159</v>
      </c>
      <c r="AC1173">
        <v>956.92</v>
      </c>
      <c r="AD1173" t="s">
        <v>160</v>
      </c>
      <c r="AE1173" s="24">
        <v>45932.160000000003</v>
      </c>
      <c r="AF1173">
        <v>0</v>
      </c>
      <c r="AG1173" s="24">
        <v>45932.160000000003</v>
      </c>
      <c r="AH1173">
        <v>0</v>
      </c>
      <c r="AI1173">
        <v>0</v>
      </c>
      <c r="AJ1173">
        <v>0</v>
      </c>
      <c r="AK1173">
        <v>0</v>
      </c>
      <c r="AL1173" s="24">
        <v>45932.160000000003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 s="24">
        <v>45932.160000000003</v>
      </c>
      <c r="AV1173">
        <v>0</v>
      </c>
      <c r="AW1173">
        <v>0</v>
      </c>
      <c r="AX1173">
        <v>311000</v>
      </c>
      <c r="AY1173" t="s">
        <v>161</v>
      </c>
      <c r="AZ1173">
        <v>6.3769999999999998</v>
      </c>
      <c r="BA1173">
        <v>6.3769999999999998</v>
      </c>
      <c r="BB1173">
        <v>0</v>
      </c>
      <c r="BC1173" t="s">
        <v>184</v>
      </c>
      <c r="BD1173">
        <v>1511</v>
      </c>
      <c r="BE1173" t="s">
        <v>174</v>
      </c>
      <c r="BF1173" t="s">
        <v>163</v>
      </c>
      <c r="BG1173" t="s">
        <v>164</v>
      </c>
    </row>
    <row r="1174" spans="1:59">
      <c r="A1174">
        <v>1115</v>
      </c>
      <c r="B1174">
        <v>1115</v>
      </c>
      <c r="C1174">
        <v>10</v>
      </c>
      <c r="D1174">
        <v>2</v>
      </c>
      <c r="E1174" t="s">
        <v>152</v>
      </c>
      <c r="F1174" t="s">
        <v>153</v>
      </c>
      <c r="G1174" t="s">
        <v>154</v>
      </c>
      <c r="H1174">
        <v>1526006904</v>
      </c>
      <c r="I1174">
        <v>1000007190</v>
      </c>
      <c r="L1174" t="s">
        <v>362</v>
      </c>
      <c r="M1174">
        <v>5100001603</v>
      </c>
      <c r="N1174" t="s">
        <v>155</v>
      </c>
      <c r="O1174" t="s">
        <v>156</v>
      </c>
      <c r="P1174">
        <v>4110025468</v>
      </c>
      <c r="Q1174" t="s">
        <v>165</v>
      </c>
      <c r="R1174">
        <v>5000</v>
      </c>
      <c r="S1174" t="s">
        <v>166</v>
      </c>
      <c r="V1174" t="s">
        <v>167</v>
      </c>
      <c r="W1174">
        <v>1502020102</v>
      </c>
      <c r="X1174" t="s">
        <v>58</v>
      </c>
      <c r="Y1174" t="str">
        <f>VLOOKUP(W1174,Sheet4!$A$5:$B$71,2,0)</f>
        <v>MAXIMA HD</v>
      </c>
      <c r="Z1174">
        <v>87082900</v>
      </c>
      <c r="AA1174">
        <v>6</v>
      </c>
      <c r="AB1174" t="s">
        <v>159</v>
      </c>
      <c r="AC1174" s="24">
        <v>8593.51</v>
      </c>
      <c r="AD1174" t="s">
        <v>160</v>
      </c>
      <c r="AE1174" s="24">
        <v>51561.06</v>
      </c>
      <c r="AF1174">
        <v>0</v>
      </c>
      <c r="AG1174" s="24">
        <v>51561.06</v>
      </c>
      <c r="AH1174">
        <v>0</v>
      </c>
      <c r="AI1174">
        <v>0</v>
      </c>
      <c r="AJ1174">
        <v>0</v>
      </c>
      <c r="AK1174">
        <v>0</v>
      </c>
      <c r="AL1174" s="24">
        <v>51561.06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 s="24">
        <v>51561.06</v>
      </c>
      <c r="AV1174">
        <v>0</v>
      </c>
      <c r="AW1174">
        <v>0</v>
      </c>
      <c r="AX1174">
        <v>311000</v>
      </c>
      <c r="AY1174" t="s">
        <v>161</v>
      </c>
      <c r="AZ1174">
        <v>93.34</v>
      </c>
      <c r="BA1174">
        <v>75.430000000000007</v>
      </c>
      <c r="BB1174">
        <v>17.91</v>
      </c>
      <c r="BC1174" t="s">
        <v>168</v>
      </c>
      <c r="BD1174">
        <v>1509</v>
      </c>
      <c r="BE1174" t="s">
        <v>169</v>
      </c>
      <c r="BF1174" t="s">
        <v>163</v>
      </c>
      <c r="BG1174" t="s">
        <v>164</v>
      </c>
    </row>
    <row r="1175" spans="1:59">
      <c r="A1175">
        <v>1115</v>
      </c>
      <c r="B1175">
        <v>1115</v>
      </c>
      <c r="C1175">
        <v>10</v>
      </c>
      <c r="D1175">
        <v>2</v>
      </c>
      <c r="E1175" t="s">
        <v>152</v>
      </c>
      <c r="F1175" t="s">
        <v>153</v>
      </c>
      <c r="G1175" t="s">
        <v>154</v>
      </c>
      <c r="H1175">
        <v>1526006905</v>
      </c>
      <c r="I1175">
        <v>1000007191</v>
      </c>
      <c r="L1175" t="s">
        <v>362</v>
      </c>
      <c r="M1175">
        <v>5100001934</v>
      </c>
      <c r="N1175" t="s">
        <v>155</v>
      </c>
      <c r="O1175" t="s">
        <v>156</v>
      </c>
      <c r="P1175">
        <v>4110058649</v>
      </c>
      <c r="Q1175" t="s">
        <v>196</v>
      </c>
      <c r="R1175">
        <v>5000</v>
      </c>
      <c r="S1175" t="s">
        <v>166</v>
      </c>
      <c r="V1175" t="s">
        <v>167</v>
      </c>
      <c r="W1175">
        <v>1502040217</v>
      </c>
      <c r="X1175" t="s">
        <v>197</v>
      </c>
      <c r="Y1175" t="str">
        <f>VLOOKUP(W1175,Sheet4!$A$5:$B$71,2,0)</f>
        <v>FRONT MUDGARD GOGO</v>
      </c>
      <c r="Z1175">
        <v>87082900</v>
      </c>
      <c r="AA1175">
        <v>150</v>
      </c>
      <c r="AB1175" t="s">
        <v>159</v>
      </c>
      <c r="AC1175">
        <v>380.93</v>
      </c>
      <c r="AD1175" t="s">
        <v>160</v>
      </c>
      <c r="AE1175" s="24">
        <v>57139.5</v>
      </c>
      <c r="AF1175">
        <v>0</v>
      </c>
      <c r="AG1175" s="24">
        <v>57139.5</v>
      </c>
      <c r="AH1175">
        <v>0</v>
      </c>
      <c r="AI1175">
        <v>0</v>
      </c>
      <c r="AJ1175">
        <v>0</v>
      </c>
      <c r="AK1175">
        <v>0</v>
      </c>
      <c r="AL1175" s="24">
        <v>57139.5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 s="24">
        <v>57139.5</v>
      </c>
      <c r="AV1175">
        <v>0</v>
      </c>
      <c r="AW1175">
        <v>0</v>
      </c>
      <c r="AX1175">
        <v>311000</v>
      </c>
      <c r="AY1175" t="s">
        <v>161</v>
      </c>
      <c r="AZ1175">
        <v>2.13</v>
      </c>
      <c r="BA1175">
        <v>2.13</v>
      </c>
      <c r="BB1175">
        <v>0</v>
      </c>
      <c r="BC1175" t="s">
        <v>198</v>
      </c>
      <c r="BD1175">
        <v>1511</v>
      </c>
      <c r="BE1175" t="s">
        <v>174</v>
      </c>
      <c r="BF1175" t="s">
        <v>163</v>
      </c>
      <c r="BG1175" t="s">
        <v>164</v>
      </c>
    </row>
    <row r="1176" spans="1:59">
      <c r="A1176">
        <v>1115</v>
      </c>
      <c r="B1176">
        <v>1115</v>
      </c>
      <c r="C1176">
        <v>10</v>
      </c>
      <c r="D1176">
        <v>2</v>
      </c>
      <c r="E1176" t="s">
        <v>152</v>
      </c>
      <c r="F1176" t="s">
        <v>253</v>
      </c>
      <c r="G1176" t="s">
        <v>363</v>
      </c>
      <c r="H1176">
        <v>1526006906</v>
      </c>
      <c r="I1176">
        <v>1000007192</v>
      </c>
      <c r="L1176" t="s">
        <v>362</v>
      </c>
      <c r="M1176">
        <v>5600014439</v>
      </c>
      <c r="N1176" t="s">
        <v>364</v>
      </c>
      <c r="O1176" t="s">
        <v>365</v>
      </c>
      <c r="P1176">
        <v>5600014439</v>
      </c>
      <c r="Q1176" t="s">
        <v>362</v>
      </c>
      <c r="R1176">
        <v>5000</v>
      </c>
      <c r="S1176" t="s">
        <v>166</v>
      </c>
      <c r="V1176" t="s">
        <v>167</v>
      </c>
      <c r="W1176">
        <v>1502040061</v>
      </c>
      <c r="X1176" t="s">
        <v>40</v>
      </c>
      <c r="Y1176" t="str">
        <f>VLOOKUP(W1176,Sheet4!$A$5:$B$71,2,0)</f>
        <v>LOGISTICS</v>
      </c>
      <c r="Z1176">
        <v>87082900</v>
      </c>
      <c r="AA1176">
        <v>-3</v>
      </c>
      <c r="AB1176" t="s">
        <v>159</v>
      </c>
      <c r="AC1176">
        <v>209.55</v>
      </c>
      <c r="AD1176" t="s">
        <v>160</v>
      </c>
      <c r="AE1176">
        <v>-628.65</v>
      </c>
      <c r="AF1176">
        <v>0</v>
      </c>
      <c r="AG1176">
        <v>-628.65</v>
      </c>
      <c r="AH1176">
        <v>0</v>
      </c>
      <c r="AI1176">
        <v>0</v>
      </c>
      <c r="AJ1176">
        <v>0</v>
      </c>
      <c r="AK1176">
        <v>0</v>
      </c>
      <c r="AL1176">
        <v>-628.65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-628.65</v>
      </c>
      <c r="AV1176">
        <v>0</v>
      </c>
      <c r="AW1176">
        <v>0</v>
      </c>
      <c r="AX1176">
        <v>311000</v>
      </c>
      <c r="AY1176" t="s">
        <v>161</v>
      </c>
      <c r="AZ1176">
        <v>1.68</v>
      </c>
      <c r="BA1176">
        <v>1.68</v>
      </c>
      <c r="BB1176">
        <v>0</v>
      </c>
      <c r="BC1176" t="s">
        <v>194</v>
      </c>
      <c r="BD1176">
        <v>1511</v>
      </c>
      <c r="BE1176" t="s">
        <v>174</v>
      </c>
      <c r="BF1176" t="s">
        <v>163</v>
      </c>
      <c r="BG1176" t="s">
        <v>164</v>
      </c>
    </row>
    <row r="1177" spans="1:59">
      <c r="A1177">
        <v>1115</v>
      </c>
      <c r="B1177">
        <v>1115</v>
      </c>
      <c r="C1177">
        <v>10</v>
      </c>
      <c r="D1177">
        <v>2</v>
      </c>
      <c r="E1177" t="s">
        <v>152</v>
      </c>
      <c r="F1177" t="s">
        <v>253</v>
      </c>
      <c r="G1177" t="s">
        <v>363</v>
      </c>
      <c r="H1177">
        <v>1526006907</v>
      </c>
      <c r="I1177">
        <v>1000007193</v>
      </c>
      <c r="L1177" t="s">
        <v>362</v>
      </c>
      <c r="M1177">
        <v>5600014440</v>
      </c>
      <c r="N1177" t="s">
        <v>364</v>
      </c>
      <c r="O1177" t="s">
        <v>365</v>
      </c>
      <c r="P1177">
        <v>5600014440</v>
      </c>
      <c r="Q1177" t="s">
        <v>362</v>
      </c>
      <c r="R1177">
        <v>5000</v>
      </c>
      <c r="S1177" t="s">
        <v>166</v>
      </c>
      <c r="V1177" t="s">
        <v>167</v>
      </c>
      <c r="W1177">
        <v>1502040068</v>
      </c>
      <c r="X1177" t="s">
        <v>41</v>
      </c>
      <c r="Y1177" t="str">
        <f>VLOOKUP(W1177,Sheet4!$A$5:$B$71,2,0)</f>
        <v>ENG BKT</v>
      </c>
      <c r="Z1177">
        <v>87082900</v>
      </c>
      <c r="AA1177">
        <v>-3</v>
      </c>
      <c r="AB1177" t="s">
        <v>159</v>
      </c>
      <c r="AC1177">
        <v>221.62</v>
      </c>
      <c r="AD1177" t="s">
        <v>160</v>
      </c>
      <c r="AE1177">
        <v>-664.86</v>
      </c>
      <c r="AF1177">
        <v>0</v>
      </c>
      <c r="AG1177">
        <v>-664.86</v>
      </c>
      <c r="AH1177">
        <v>0</v>
      </c>
      <c r="AI1177">
        <v>0</v>
      </c>
      <c r="AJ1177">
        <v>0</v>
      </c>
      <c r="AK1177">
        <v>0</v>
      </c>
      <c r="AL1177">
        <v>-664.86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-664.86</v>
      </c>
      <c r="AV1177">
        <v>0</v>
      </c>
      <c r="AW1177">
        <v>0</v>
      </c>
      <c r="AX1177">
        <v>311000</v>
      </c>
      <c r="AY1177" t="s">
        <v>161</v>
      </c>
      <c r="AZ1177">
        <v>1.68</v>
      </c>
      <c r="BA1177">
        <v>1.68</v>
      </c>
      <c r="BB1177">
        <v>0</v>
      </c>
      <c r="BC1177" t="s">
        <v>195</v>
      </c>
      <c r="BD1177">
        <v>1511</v>
      </c>
      <c r="BE1177" t="s">
        <v>174</v>
      </c>
      <c r="BF1177" t="s">
        <v>163</v>
      </c>
      <c r="BG1177" t="s">
        <v>164</v>
      </c>
    </row>
    <row r="1178" spans="1:59">
      <c r="A1178">
        <v>1115</v>
      </c>
      <c r="B1178">
        <v>1115</v>
      </c>
      <c r="C1178">
        <v>10</v>
      </c>
      <c r="D1178">
        <v>2</v>
      </c>
      <c r="E1178" t="s">
        <v>152</v>
      </c>
      <c r="F1178" t="s">
        <v>253</v>
      </c>
      <c r="G1178" t="s">
        <v>363</v>
      </c>
      <c r="H1178">
        <v>1526006908</v>
      </c>
      <c r="I1178">
        <v>1000007194</v>
      </c>
      <c r="L1178" t="s">
        <v>362</v>
      </c>
      <c r="M1178">
        <v>5600014441</v>
      </c>
      <c r="N1178" t="s">
        <v>364</v>
      </c>
      <c r="O1178" t="s">
        <v>365</v>
      </c>
      <c r="P1178">
        <v>5600014441</v>
      </c>
      <c r="Q1178" t="s">
        <v>362</v>
      </c>
      <c r="R1178">
        <v>5000</v>
      </c>
      <c r="S1178" t="s">
        <v>166</v>
      </c>
      <c r="V1178" t="s">
        <v>167</v>
      </c>
      <c r="W1178">
        <v>1502040235</v>
      </c>
      <c r="X1178" t="s">
        <v>47</v>
      </c>
      <c r="Y1178" t="str">
        <f>VLOOKUP(W1178,Sheet4!$A$5:$B$71,2,0)</f>
        <v>STARTING HANDLE</v>
      </c>
      <c r="Z1178">
        <v>87082900</v>
      </c>
      <c r="AA1178">
        <v>-1</v>
      </c>
      <c r="AB1178" t="s">
        <v>159</v>
      </c>
      <c r="AC1178">
        <v>217.33</v>
      </c>
      <c r="AD1178" t="s">
        <v>160</v>
      </c>
      <c r="AE1178">
        <v>-217.33</v>
      </c>
      <c r="AF1178">
        <v>0</v>
      </c>
      <c r="AG1178">
        <v>-217.33</v>
      </c>
      <c r="AH1178">
        <v>0</v>
      </c>
      <c r="AI1178">
        <v>0</v>
      </c>
      <c r="AJ1178">
        <v>0</v>
      </c>
      <c r="AK1178">
        <v>0</v>
      </c>
      <c r="AL1178">
        <v>-217.33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-217.33</v>
      </c>
      <c r="AV1178">
        <v>0</v>
      </c>
      <c r="AW1178">
        <v>0</v>
      </c>
      <c r="AX1178">
        <v>311000</v>
      </c>
      <c r="AY1178" t="s">
        <v>161</v>
      </c>
      <c r="AZ1178">
        <v>1.19</v>
      </c>
      <c r="BA1178">
        <v>1.19</v>
      </c>
      <c r="BB1178">
        <v>0</v>
      </c>
      <c r="BC1178" t="s">
        <v>181</v>
      </c>
      <c r="BD1178">
        <v>1511</v>
      </c>
      <c r="BE1178" t="s">
        <v>174</v>
      </c>
      <c r="BF1178" t="s">
        <v>163</v>
      </c>
      <c r="BG1178" t="s">
        <v>164</v>
      </c>
    </row>
    <row r="1179" spans="1:59">
      <c r="A1179">
        <v>1115</v>
      </c>
      <c r="B1179">
        <v>1115</v>
      </c>
      <c r="C1179">
        <v>10</v>
      </c>
      <c r="D1179">
        <v>2</v>
      </c>
      <c r="E1179" t="s">
        <v>152</v>
      </c>
      <c r="F1179" t="s">
        <v>153</v>
      </c>
      <c r="G1179" t="s">
        <v>154</v>
      </c>
      <c r="H1179">
        <v>1526006909</v>
      </c>
      <c r="I1179">
        <v>1000007196</v>
      </c>
      <c r="L1179" t="s">
        <v>362</v>
      </c>
      <c r="M1179">
        <v>5100001666</v>
      </c>
      <c r="N1179" t="s">
        <v>155</v>
      </c>
      <c r="O1179" t="s">
        <v>156</v>
      </c>
      <c r="P1179">
        <v>4110027035</v>
      </c>
      <c r="Q1179" t="s">
        <v>225</v>
      </c>
      <c r="R1179">
        <v>5000</v>
      </c>
      <c r="S1179" t="s">
        <v>166</v>
      </c>
      <c r="V1179" t="s">
        <v>167</v>
      </c>
      <c r="W1179">
        <v>1502020105</v>
      </c>
      <c r="X1179" t="s">
        <v>226</v>
      </c>
      <c r="Y1179" t="str">
        <f>VLOOKUP(W1179,Sheet4!$A$5:$B$71,2,0)</f>
        <v>RE STYLING</v>
      </c>
      <c r="Z1179">
        <v>87082900</v>
      </c>
      <c r="AA1179">
        <v>15</v>
      </c>
      <c r="AB1179" t="s">
        <v>159</v>
      </c>
      <c r="AC1179" s="24">
        <v>6570.77</v>
      </c>
      <c r="AD1179" t="s">
        <v>160</v>
      </c>
      <c r="AE1179" s="24">
        <v>98561.55</v>
      </c>
      <c r="AF1179">
        <v>0</v>
      </c>
      <c r="AG1179" s="24">
        <v>98561.55</v>
      </c>
      <c r="AH1179">
        <v>0</v>
      </c>
      <c r="AI1179">
        <v>0</v>
      </c>
      <c r="AJ1179">
        <v>0</v>
      </c>
      <c r="AK1179">
        <v>0</v>
      </c>
      <c r="AL1179" s="24">
        <v>98561.55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 s="24">
        <v>98561.55</v>
      </c>
      <c r="AV1179">
        <v>0</v>
      </c>
      <c r="AW1179">
        <v>0</v>
      </c>
      <c r="AX1179">
        <v>311000</v>
      </c>
      <c r="AY1179" t="s">
        <v>161</v>
      </c>
      <c r="AZ1179">
        <v>49.75</v>
      </c>
      <c r="BA1179">
        <v>49.75</v>
      </c>
      <c r="BB1179">
        <v>0</v>
      </c>
      <c r="BC1179" t="s">
        <v>227</v>
      </c>
      <c r="BD1179">
        <v>1509</v>
      </c>
      <c r="BE1179" t="s">
        <v>169</v>
      </c>
      <c r="BF1179" t="s">
        <v>163</v>
      </c>
      <c r="BG1179" t="s">
        <v>164</v>
      </c>
    </row>
    <row r="1180" spans="1:59">
      <c r="A1180">
        <v>1115</v>
      </c>
      <c r="B1180">
        <v>1115</v>
      </c>
      <c r="C1180">
        <v>10</v>
      </c>
      <c r="D1180">
        <v>2</v>
      </c>
      <c r="E1180" t="s">
        <v>152</v>
      </c>
      <c r="F1180" t="s">
        <v>153</v>
      </c>
      <c r="G1180" t="s">
        <v>154</v>
      </c>
      <c r="H1180">
        <v>1526006941</v>
      </c>
      <c r="I1180">
        <v>1000007227</v>
      </c>
      <c r="L1180" t="s">
        <v>362</v>
      </c>
      <c r="M1180">
        <v>5100001636</v>
      </c>
      <c r="N1180" t="s">
        <v>155</v>
      </c>
      <c r="O1180" t="s">
        <v>156</v>
      </c>
      <c r="P1180">
        <v>4110026445</v>
      </c>
      <c r="Q1180" t="s">
        <v>170</v>
      </c>
      <c r="R1180">
        <v>5000</v>
      </c>
      <c r="S1180" t="s">
        <v>166</v>
      </c>
      <c r="V1180" t="s">
        <v>167</v>
      </c>
      <c r="W1180">
        <v>1502020104</v>
      </c>
      <c r="X1180" t="s">
        <v>26</v>
      </c>
      <c r="Y1180" t="str">
        <f>VLOOKUP(W1180,Sheet4!$A$5:$B$71,2,0)</f>
        <v>RE STYLING</v>
      </c>
      <c r="Z1180">
        <v>87082900</v>
      </c>
      <c r="AA1180">
        <v>15</v>
      </c>
      <c r="AB1180" t="s">
        <v>159</v>
      </c>
      <c r="AC1180" s="24">
        <v>6585.55</v>
      </c>
      <c r="AD1180" t="s">
        <v>160</v>
      </c>
      <c r="AE1180" s="24">
        <v>98783.25</v>
      </c>
      <c r="AF1180">
        <v>0</v>
      </c>
      <c r="AG1180" s="24">
        <v>98783.25</v>
      </c>
      <c r="AH1180">
        <v>0</v>
      </c>
      <c r="AI1180">
        <v>0</v>
      </c>
      <c r="AJ1180">
        <v>0</v>
      </c>
      <c r="AK1180">
        <v>0</v>
      </c>
      <c r="AL1180" s="24">
        <v>98783.25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 s="24">
        <v>98783.25</v>
      </c>
      <c r="AV1180">
        <v>0</v>
      </c>
      <c r="AW1180">
        <v>0</v>
      </c>
      <c r="AX1180">
        <v>311000</v>
      </c>
      <c r="AY1180" t="s">
        <v>161</v>
      </c>
      <c r="AZ1180">
        <v>49.75</v>
      </c>
      <c r="BA1180">
        <v>49.75</v>
      </c>
      <c r="BB1180">
        <v>0</v>
      </c>
      <c r="BC1180" t="s">
        <v>171</v>
      </c>
      <c r="BD1180">
        <v>1509</v>
      </c>
      <c r="BE1180" t="s">
        <v>169</v>
      </c>
      <c r="BF1180" t="s">
        <v>163</v>
      </c>
      <c r="BG1180" t="s">
        <v>164</v>
      </c>
    </row>
    <row r="1181" spans="1:59">
      <c r="A1181">
        <v>1115</v>
      </c>
      <c r="B1181">
        <v>1115</v>
      </c>
      <c r="C1181">
        <v>10</v>
      </c>
      <c r="D1181">
        <v>2</v>
      </c>
      <c r="E1181" t="s">
        <v>152</v>
      </c>
      <c r="F1181" t="s">
        <v>153</v>
      </c>
      <c r="G1181" t="s">
        <v>154</v>
      </c>
      <c r="H1181">
        <v>1526006966</v>
      </c>
      <c r="I1181">
        <v>1000007251</v>
      </c>
      <c r="L1181" t="s">
        <v>366</v>
      </c>
      <c r="M1181">
        <v>5100001948</v>
      </c>
      <c r="N1181" t="s">
        <v>155</v>
      </c>
      <c r="O1181" t="s">
        <v>156</v>
      </c>
      <c r="P1181">
        <v>4110063856</v>
      </c>
      <c r="Q1181" t="s">
        <v>356</v>
      </c>
      <c r="R1181">
        <v>5000</v>
      </c>
      <c r="S1181" t="s">
        <v>166</v>
      </c>
      <c r="V1181" t="s">
        <v>167</v>
      </c>
      <c r="W1181">
        <v>1502020141</v>
      </c>
      <c r="X1181" t="s">
        <v>357</v>
      </c>
      <c r="Y1181" t="str">
        <f>VLOOKUP(W1181,Sheet4!$A$5:$B$71,2,0)</f>
        <v>RE STYLING</v>
      </c>
      <c r="Z1181">
        <v>87082900</v>
      </c>
      <c r="AA1181">
        <v>15</v>
      </c>
      <c r="AB1181" t="s">
        <v>159</v>
      </c>
      <c r="AC1181" s="24">
        <v>6509.4</v>
      </c>
      <c r="AD1181" t="s">
        <v>160</v>
      </c>
      <c r="AE1181" s="24">
        <v>97641</v>
      </c>
      <c r="AF1181">
        <v>0</v>
      </c>
      <c r="AG1181" s="24">
        <v>97641</v>
      </c>
      <c r="AH1181">
        <v>0</v>
      </c>
      <c r="AI1181">
        <v>0</v>
      </c>
      <c r="AJ1181">
        <v>0</v>
      </c>
      <c r="AK1181">
        <v>0</v>
      </c>
      <c r="AL1181" s="24">
        <v>97641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 s="24">
        <v>97641</v>
      </c>
      <c r="AV1181">
        <v>0</v>
      </c>
      <c r="AW1181">
        <v>0</v>
      </c>
      <c r="AX1181">
        <v>311000</v>
      </c>
      <c r="AY1181" t="s">
        <v>161</v>
      </c>
      <c r="AZ1181">
        <v>53</v>
      </c>
      <c r="BA1181">
        <v>0</v>
      </c>
      <c r="BB1181">
        <v>53</v>
      </c>
      <c r="BC1181" t="s">
        <v>358</v>
      </c>
      <c r="BD1181">
        <v>1509</v>
      </c>
      <c r="BE1181" t="s">
        <v>169</v>
      </c>
      <c r="BF1181" t="s">
        <v>163</v>
      </c>
      <c r="BG1181" t="s">
        <v>164</v>
      </c>
    </row>
    <row r="1182" spans="1:59">
      <c r="A1182">
        <v>1115</v>
      </c>
      <c r="B1182">
        <v>1115</v>
      </c>
      <c r="C1182">
        <v>10</v>
      </c>
      <c r="D1182">
        <v>2</v>
      </c>
      <c r="E1182" t="s">
        <v>152</v>
      </c>
      <c r="F1182" t="s">
        <v>153</v>
      </c>
      <c r="G1182" t="s">
        <v>154</v>
      </c>
      <c r="H1182">
        <v>1526006967</v>
      </c>
      <c r="I1182">
        <v>1000007252</v>
      </c>
      <c r="L1182" t="s">
        <v>366</v>
      </c>
      <c r="M1182">
        <v>5100001636</v>
      </c>
      <c r="N1182" t="s">
        <v>155</v>
      </c>
      <c r="O1182" t="s">
        <v>156</v>
      </c>
      <c r="P1182">
        <v>4110026445</v>
      </c>
      <c r="Q1182" t="s">
        <v>170</v>
      </c>
      <c r="R1182">
        <v>5000</v>
      </c>
      <c r="S1182" t="s">
        <v>166</v>
      </c>
      <c r="V1182" t="s">
        <v>167</v>
      </c>
      <c r="W1182">
        <v>1502020104</v>
      </c>
      <c r="X1182" t="s">
        <v>26</v>
      </c>
      <c r="Y1182" t="str">
        <f>VLOOKUP(W1182,Sheet4!$A$5:$B$71,2,0)</f>
        <v>RE STYLING</v>
      </c>
      <c r="Z1182">
        <v>87082900</v>
      </c>
      <c r="AA1182">
        <v>15</v>
      </c>
      <c r="AB1182" t="s">
        <v>159</v>
      </c>
      <c r="AC1182" s="24">
        <v>6585.55</v>
      </c>
      <c r="AD1182" t="s">
        <v>160</v>
      </c>
      <c r="AE1182" s="24">
        <v>98783.25</v>
      </c>
      <c r="AF1182">
        <v>0</v>
      </c>
      <c r="AG1182" s="24">
        <v>98783.25</v>
      </c>
      <c r="AH1182">
        <v>0</v>
      </c>
      <c r="AI1182">
        <v>0</v>
      </c>
      <c r="AJ1182">
        <v>0</v>
      </c>
      <c r="AK1182">
        <v>0</v>
      </c>
      <c r="AL1182" s="24">
        <v>98783.25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 s="24">
        <v>98783.25</v>
      </c>
      <c r="AV1182">
        <v>0</v>
      </c>
      <c r="AW1182">
        <v>0</v>
      </c>
      <c r="AX1182">
        <v>311000</v>
      </c>
      <c r="AY1182" t="s">
        <v>161</v>
      </c>
      <c r="AZ1182">
        <v>49.75</v>
      </c>
      <c r="BA1182">
        <v>49.75</v>
      </c>
      <c r="BB1182">
        <v>0</v>
      </c>
      <c r="BC1182" t="s">
        <v>171</v>
      </c>
      <c r="BD1182">
        <v>1509</v>
      </c>
      <c r="BE1182" t="s">
        <v>169</v>
      </c>
      <c r="BF1182" t="s">
        <v>163</v>
      </c>
      <c r="BG1182" t="s">
        <v>164</v>
      </c>
    </row>
    <row r="1183" spans="1:59">
      <c r="A1183">
        <v>1115</v>
      </c>
      <c r="B1183">
        <v>1115</v>
      </c>
      <c r="C1183">
        <v>10</v>
      </c>
      <c r="D1183">
        <v>2</v>
      </c>
      <c r="E1183" t="s">
        <v>152</v>
      </c>
      <c r="F1183" t="s">
        <v>153</v>
      </c>
      <c r="G1183" t="s">
        <v>154</v>
      </c>
      <c r="H1183">
        <v>1526006968</v>
      </c>
      <c r="I1183">
        <v>1000007253</v>
      </c>
      <c r="L1183" t="s">
        <v>366</v>
      </c>
      <c r="M1183">
        <v>5100001948</v>
      </c>
      <c r="N1183" t="s">
        <v>155</v>
      </c>
      <c r="O1183" t="s">
        <v>156</v>
      </c>
      <c r="P1183">
        <v>4110063856</v>
      </c>
      <c r="Q1183" t="s">
        <v>356</v>
      </c>
      <c r="R1183">
        <v>5000</v>
      </c>
      <c r="S1183" t="s">
        <v>166</v>
      </c>
      <c r="V1183" t="s">
        <v>167</v>
      </c>
      <c r="W1183">
        <v>1502020141</v>
      </c>
      <c r="X1183" t="s">
        <v>357</v>
      </c>
      <c r="Y1183" t="str">
        <f>VLOOKUP(W1183,Sheet4!$A$5:$B$71,2,0)</f>
        <v>RE STYLING</v>
      </c>
      <c r="Z1183">
        <v>87082900</v>
      </c>
      <c r="AA1183">
        <v>15</v>
      </c>
      <c r="AB1183" t="s">
        <v>159</v>
      </c>
      <c r="AC1183" s="24">
        <v>6509.4</v>
      </c>
      <c r="AD1183" t="s">
        <v>160</v>
      </c>
      <c r="AE1183" s="24">
        <v>97641</v>
      </c>
      <c r="AF1183">
        <v>0</v>
      </c>
      <c r="AG1183" s="24">
        <v>97641</v>
      </c>
      <c r="AH1183">
        <v>0</v>
      </c>
      <c r="AI1183">
        <v>0</v>
      </c>
      <c r="AJ1183">
        <v>0</v>
      </c>
      <c r="AK1183">
        <v>0</v>
      </c>
      <c r="AL1183" s="24">
        <v>97641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 s="24">
        <v>97641</v>
      </c>
      <c r="AV1183">
        <v>0</v>
      </c>
      <c r="AW1183">
        <v>0</v>
      </c>
      <c r="AX1183">
        <v>311000</v>
      </c>
      <c r="AY1183" t="s">
        <v>161</v>
      </c>
      <c r="AZ1183">
        <v>53</v>
      </c>
      <c r="BA1183">
        <v>0</v>
      </c>
      <c r="BB1183">
        <v>53</v>
      </c>
      <c r="BC1183" t="s">
        <v>358</v>
      </c>
      <c r="BD1183">
        <v>1509</v>
      </c>
      <c r="BE1183" t="s">
        <v>169</v>
      </c>
      <c r="BF1183" t="s">
        <v>163</v>
      </c>
      <c r="BG1183" t="s">
        <v>164</v>
      </c>
    </row>
    <row r="1184" spans="1:59">
      <c r="A1184">
        <v>1115</v>
      </c>
      <c r="B1184">
        <v>1115</v>
      </c>
      <c r="C1184">
        <v>10</v>
      </c>
      <c r="D1184">
        <v>2</v>
      </c>
      <c r="E1184" t="s">
        <v>152</v>
      </c>
      <c r="F1184" t="s">
        <v>153</v>
      </c>
      <c r="G1184" t="s">
        <v>154</v>
      </c>
      <c r="H1184">
        <v>1526006969</v>
      </c>
      <c r="I1184">
        <v>1000007254</v>
      </c>
      <c r="L1184" t="s">
        <v>366</v>
      </c>
      <c r="M1184">
        <v>5100001948</v>
      </c>
      <c r="N1184" t="s">
        <v>155</v>
      </c>
      <c r="O1184" t="s">
        <v>156</v>
      </c>
      <c r="P1184">
        <v>4110063856</v>
      </c>
      <c r="Q1184" t="s">
        <v>356</v>
      </c>
      <c r="R1184">
        <v>5000</v>
      </c>
      <c r="S1184" t="s">
        <v>166</v>
      </c>
      <c r="V1184" t="s">
        <v>167</v>
      </c>
      <c r="W1184">
        <v>1502020141</v>
      </c>
      <c r="X1184" t="s">
        <v>357</v>
      </c>
      <c r="Y1184" t="str">
        <f>VLOOKUP(W1184,Sheet4!$A$5:$B$71,2,0)</f>
        <v>RE STYLING</v>
      </c>
      <c r="Z1184">
        <v>87082900</v>
      </c>
      <c r="AA1184">
        <v>15</v>
      </c>
      <c r="AB1184" t="s">
        <v>159</v>
      </c>
      <c r="AC1184" s="24">
        <v>6509.4</v>
      </c>
      <c r="AD1184" t="s">
        <v>160</v>
      </c>
      <c r="AE1184" s="24">
        <v>97641</v>
      </c>
      <c r="AF1184">
        <v>0</v>
      </c>
      <c r="AG1184" s="24">
        <v>97641</v>
      </c>
      <c r="AH1184">
        <v>0</v>
      </c>
      <c r="AI1184">
        <v>0</v>
      </c>
      <c r="AJ1184">
        <v>0</v>
      </c>
      <c r="AK1184">
        <v>0</v>
      </c>
      <c r="AL1184" s="24">
        <v>97641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 s="24">
        <v>97641</v>
      </c>
      <c r="AV1184">
        <v>0</v>
      </c>
      <c r="AW1184">
        <v>0</v>
      </c>
      <c r="AX1184">
        <v>311000</v>
      </c>
      <c r="AY1184" t="s">
        <v>161</v>
      </c>
      <c r="AZ1184">
        <v>53</v>
      </c>
      <c r="BA1184">
        <v>0</v>
      </c>
      <c r="BB1184">
        <v>53</v>
      </c>
      <c r="BC1184" t="s">
        <v>358</v>
      </c>
      <c r="BD1184">
        <v>1509</v>
      </c>
      <c r="BE1184" t="s">
        <v>169</v>
      </c>
      <c r="BF1184" t="s">
        <v>163</v>
      </c>
      <c r="BG1184" t="s">
        <v>164</v>
      </c>
    </row>
    <row r="1185" spans="1:59">
      <c r="A1185">
        <v>1115</v>
      </c>
      <c r="B1185">
        <v>1115</v>
      </c>
      <c r="C1185">
        <v>10</v>
      </c>
      <c r="D1185">
        <v>2</v>
      </c>
      <c r="E1185" t="s">
        <v>152</v>
      </c>
      <c r="F1185" t="s">
        <v>153</v>
      </c>
      <c r="G1185" t="s">
        <v>154</v>
      </c>
      <c r="H1185">
        <v>1526006970</v>
      </c>
      <c r="I1185">
        <v>1000007255</v>
      </c>
      <c r="L1185" t="s">
        <v>366</v>
      </c>
      <c r="M1185">
        <v>5100001948</v>
      </c>
      <c r="N1185" t="s">
        <v>155</v>
      </c>
      <c r="O1185" t="s">
        <v>156</v>
      </c>
      <c r="P1185">
        <v>4110063856</v>
      </c>
      <c r="Q1185" t="s">
        <v>356</v>
      </c>
      <c r="R1185">
        <v>5000</v>
      </c>
      <c r="S1185" t="s">
        <v>166</v>
      </c>
      <c r="V1185" t="s">
        <v>167</v>
      </c>
      <c r="W1185">
        <v>1502020141</v>
      </c>
      <c r="X1185" t="s">
        <v>357</v>
      </c>
      <c r="Y1185" t="str">
        <f>VLOOKUP(W1185,Sheet4!$A$5:$B$71,2,0)</f>
        <v>RE STYLING</v>
      </c>
      <c r="Z1185">
        <v>87082900</v>
      </c>
      <c r="AA1185">
        <v>15</v>
      </c>
      <c r="AB1185" t="s">
        <v>159</v>
      </c>
      <c r="AC1185" s="24">
        <v>6509.4</v>
      </c>
      <c r="AD1185" t="s">
        <v>160</v>
      </c>
      <c r="AE1185" s="24">
        <v>97641</v>
      </c>
      <c r="AF1185">
        <v>0</v>
      </c>
      <c r="AG1185" s="24">
        <v>97641</v>
      </c>
      <c r="AH1185">
        <v>0</v>
      </c>
      <c r="AI1185">
        <v>0</v>
      </c>
      <c r="AJ1185">
        <v>0</v>
      </c>
      <c r="AK1185">
        <v>0</v>
      </c>
      <c r="AL1185" s="24">
        <v>97641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 s="24">
        <v>97641</v>
      </c>
      <c r="AV1185">
        <v>0</v>
      </c>
      <c r="AW1185">
        <v>0</v>
      </c>
      <c r="AX1185">
        <v>311000</v>
      </c>
      <c r="AY1185" t="s">
        <v>161</v>
      </c>
      <c r="AZ1185">
        <v>53</v>
      </c>
      <c r="BA1185">
        <v>0</v>
      </c>
      <c r="BB1185">
        <v>53</v>
      </c>
      <c r="BC1185" t="s">
        <v>358</v>
      </c>
      <c r="BD1185">
        <v>1509</v>
      </c>
      <c r="BE1185" t="s">
        <v>169</v>
      </c>
      <c r="BF1185" t="s">
        <v>163</v>
      </c>
      <c r="BG1185" t="s">
        <v>164</v>
      </c>
    </row>
    <row r="1186" spans="1:59">
      <c r="A1186">
        <v>1115</v>
      </c>
      <c r="B1186">
        <v>1115</v>
      </c>
      <c r="C1186">
        <v>10</v>
      </c>
      <c r="D1186">
        <v>2</v>
      </c>
      <c r="E1186" t="s">
        <v>152</v>
      </c>
      <c r="F1186" t="s">
        <v>153</v>
      </c>
      <c r="G1186" t="s">
        <v>154</v>
      </c>
      <c r="H1186">
        <v>1526006971</v>
      </c>
      <c r="I1186">
        <v>1000007256</v>
      </c>
      <c r="L1186" t="s">
        <v>366</v>
      </c>
      <c r="M1186">
        <v>5100001928</v>
      </c>
      <c r="N1186" t="s">
        <v>155</v>
      </c>
      <c r="O1186" t="s">
        <v>156</v>
      </c>
      <c r="P1186">
        <v>4110057393</v>
      </c>
      <c r="Q1186" t="s">
        <v>192</v>
      </c>
      <c r="R1186">
        <v>5000</v>
      </c>
      <c r="S1186" t="s">
        <v>166</v>
      </c>
      <c r="V1186" t="s">
        <v>167</v>
      </c>
      <c r="W1186">
        <v>1502020122</v>
      </c>
      <c r="X1186" t="s">
        <v>70</v>
      </c>
      <c r="Y1186" t="str">
        <f>VLOOKUP(W1186,Sheet4!$A$5:$B$71,2,0)</f>
        <v>MAX UG NEW EV</v>
      </c>
      <c r="Z1186">
        <v>87082900</v>
      </c>
      <c r="AA1186">
        <v>10</v>
      </c>
      <c r="AB1186" t="s">
        <v>159</v>
      </c>
      <c r="AC1186" s="24">
        <v>9566.51</v>
      </c>
      <c r="AD1186" t="s">
        <v>160</v>
      </c>
      <c r="AE1186" s="24">
        <v>95665.1</v>
      </c>
      <c r="AF1186">
        <v>0</v>
      </c>
      <c r="AG1186" s="24">
        <v>95665.1</v>
      </c>
      <c r="AH1186">
        <v>0</v>
      </c>
      <c r="AI1186">
        <v>0</v>
      </c>
      <c r="AJ1186">
        <v>0</v>
      </c>
      <c r="AK1186">
        <v>0</v>
      </c>
      <c r="AL1186" s="24">
        <v>95665.1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 s="24">
        <v>95665.1</v>
      </c>
      <c r="AV1186">
        <v>0</v>
      </c>
      <c r="AW1186">
        <v>0</v>
      </c>
      <c r="AX1186">
        <v>311000</v>
      </c>
      <c r="AY1186" t="s">
        <v>161</v>
      </c>
      <c r="AZ1186">
        <v>0</v>
      </c>
      <c r="BA1186">
        <v>61</v>
      </c>
      <c r="BB1186">
        <v>-61</v>
      </c>
      <c r="BC1186" t="s">
        <v>193</v>
      </c>
      <c r="BD1186">
        <v>1509</v>
      </c>
      <c r="BE1186" t="s">
        <v>169</v>
      </c>
      <c r="BF1186" t="s">
        <v>163</v>
      </c>
      <c r="BG1186" t="s">
        <v>164</v>
      </c>
    </row>
    <row r="1187" spans="1:59">
      <c r="A1187">
        <v>1115</v>
      </c>
      <c r="B1187">
        <v>1115</v>
      </c>
      <c r="C1187">
        <v>10</v>
      </c>
      <c r="D1187">
        <v>2</v>
      </c>
      <c r="E1187" t="s">
        <v>152</v>
      </c>
      <c r="F1187" t="s">
        <v>153</v>
      </c>
      <c r="G1187" t="s">
        <v>154</v>
      </c>
      <c r="H1187">
        <v>1526006972</v>
      </c>
      <c r="I1187">
        <v>1000007257</v>
      </c>
      <c r="L1187" t="s">
        <v>366</v>
      </c>
      <c r="M1187">
        <v>5100001928</v>
      </c>
      <c r="N1187" t="s">
        <v>155</v>
      </c>
      <c r="O1187" t="s">
        <v>156</v>
      </c>
      <c r="P1187">
        <v>4110057393</v>
      </c>
      <c r="Q1187" t="s">
        <v>192</v>
      </c>
      <c r="R1187">
        <v>5000</v>
      </c>
      <c r="S1187" t="s">
        <v>166</v>
      </c>
      <c r="V1187" t="s">
        <v>167</v>
      </c>
      <c r="W1187">
        <v>1502020122</v>
      </c>
      <c r="X1187" t="s">
        <v>70</v>
      </c>
      <c r="Y1187" t="str">
        <f>VLOOKUP(W1187,Sheet4!$A$5:$B$71,2,0)</f>
        <v>MAX UG NEW EV</v>
      </c>
      <c r="Z1187">
        <v>87082900</v>
      </c>
      <c r="AA1187">
        <v>10</v>
      </c>
      <c r="AB1187" t="s">
        <v>159</v>
      </c>
      <c r="AC1187" s="24">
        <v>9566.51</v>
      </c>
      <c r="AD1187" t="s">
        <v>160</v>
      </c>
      <c r="AE1187" s="24">
        <v>95665.1</v>
      </c>
      <c r="AF1187">
        <v>0</v>
      </c>
      <c r="AG1187" s="24">
        <v>95665.1</v>
      </c>
      <c r="AH1187">
        <v>0</v>
      </c>
      <c r="AI1187">
        <v>0</v>
      </c>
      <c r="AJ1187">
        <v>0</v>
      </c>
      <c r="AK1187">
        <v>0</v>
      </c>
      <c r="AL1187" s="24">
        <v>95665.1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 s="24">
        <v>95665.1</v>
      </c>
      <c r="AV1187">
        <v>0</v>
      </c>
      <c r="AW1187">
        <v>0</v>
      </c>
      <c r="AX1187">
        <v>311000</v>
      </c>
      <c r="AY1187" t="s">
        <v>161</v>
      </c>
      <c r="AZ1187">
        <v>0</v>
      </c>
      <c r="BA1187">
        <v>61</v>
      </c>
      <c r="BB1187">
        <v>-61</v>
      </c>
      <c r="BC1187" t="s">
        <v>193</v>
      </c>
      <c r="BD1187">
        <v>1509</v>
      </c>
      <c r="BE1187" t="s">
        <v>169</v>
      </c>
      <c r="BF1187" t="s">
        <v>163</v>
      </c>
      <c r="BG1187" t="s">
        <v>164</v>
      </c>
    </row>
    <row r="1188" spans="1:59">
      <c r="A1188">
        <v>1115</v>
      </c>
      <c r="B1188">
        <v>1115</v>
      </c>
      <c r="C1188">
        <v>10</v>
      </c>
      <c r="D1188">
        <v>2</v>
      </c>
      <c r="E1188" t="s">
        <v>152</v>
      </c>
      <c r="F1188" t="s">
        <v>153</v>
      </c>
      <c r="G1188" t="s">
        <v>154</v>
      </c>
      <c r="H1188">
        <v>1526006973</v>
      </c>
      <c r="I1188">
        <v>1000007258</v>
      </c>
      <c r="L1188" t="s">
        <v>366</v>
      </c>
      <c r="M1188">
        <v>5100001928</v>
      </c>
      <c r="N1188" t="s">
        <v>155</v>
      </c>
      <c r="O1188" t="s">
        <v>156</v>
      </c>
      <c r="P1188">
        <v>4110057393</v>
      </c>
      <c r="Q1188" t="s">
        <v>192</v>
      </c>
      <c r="R1188">
        <v>5000</v>
      </c>
      <c r="S1188" t="s">
        <v>166</v>
      </c>
      <c r="V1188" t="s">
        <v>167</v>
      </c>
      <c r="W1188">
        <v>1502020122</v>
      </c>
      <c r="X1188" t="s">
        <v>70</v>
      </c>
      <c r="Y1188" t="str">
        <f>VLOOKUP(W1188,Sheet4!$A$5:$B$71,2,0)</f>
        <v>MAX UG NEW EV</v>
      </c>
      <c r="Z1188">
        <v>87082900</v>
      </c>
      <c r="AA1188">
        <v>10</v>
      </c>
      <c r="AB1188" t="s">
        <v>159</v>
      </c>
      <c r="AC1188" s="24">
        <v>9566.51</v>
      </c>
      <c r="AD1188" t="s">
        <v>160</v>
      </c>
      <c r="AE1188" s="24">
        <v>95665.1</v>
      </c>
      <c r="AF1188">
        <v>0</v>
      </c>
      <c r="AG1188" s="24">
        <v>95665.1</v>
      </c>
      <c r="AH1188">
        <v>0</v>
      </c>
      <c r="AI1188">
        <v>0</v>
      </c>
      <c r="AJ1188">
        <v>0</v>
      </c>
      <c r="AK1188">
        <v>0</v>
      </c>
      <c r="AL1188" s="24">
        <v>95665.1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 s="24">
        <v>95665.1</v>
      </c>
      <c r="AV1188">
        <v>0</v>
      </c>
      <c r="AW1188">
        <v>0</v>
      </c>
      <c r="AX1188">
        <v>311000</v>
      </c>
      <c r="AY1188" t="s">
        <v>161</v>
      </c>
      <c r="AZ1188">
        <v>0</v>
      </c>
      <c r="BA1188">
        <v>61</v>
      </c>
      <c r="BB1188">
        <v>-61</v>
      </c>
      <c r="BC1188" t="s">
        <v>193</v>
      </c>
      <c r="BD1188">
        <v>1509</v>
      </c>
      <c r="BE1188" t="s">
        <v>169</v>
      </c>
      <c r="BF1188" t="s">
        <v>163</v>
      </c>
      <c r="BG1188" t="s">
        <v>164</v>
      </c>
    </row>
    <row r="1189" spans="1:59">
      <c r="A1189">
        <v>1115</v>
      </c>
      <c r="B1189">
        <v>1115</v>
      </c>
      <c r="C1189">
        <v>10</v>
      </c>
      <c r="D1189">
        <v>2</v>
      </c>
      <c r="E1189" t="s">
        <v>152</v>
      </c>
      <c r="F1189" t="s">
        <v>153</v>
      </c>
      <c r="G1189" t="s">
        <v>154</v>
      </c>
      <c r="H1189">
        <v>1526006974</v>
      </c>
      <c r="I1189">
        <v>1000007259</v>
      </c>
      <c r="L1189" t="s">
        <v>366</v>
      </c>
      <c r="M1189">
        <v>5100001928</v>
      </c>
      <c r="N1189" t="s">
        <v>155</v>
      </c>
      <c r="O1189" t="s">
        <v>156</v>
      </c>
      <c r="P1189">
        <v>4110057393</v>
      </c>
      <c r="Q1189" t="s">
        <v>192</v>
      </c>
      <c r="R1189">
        <v>5000</v>
      </c>
      <c r="S1189" t="s">
        <v>166</v>
      </c>
      <c r="V1189" t="s">
        <v>167</v>
      </c>
      <c r="W1189">
        <v>1502020122</v>
      </c>
      <c r="X1189" t="s">
        <v>70</v>
      </c>
      <c r="Y1189" t="str">
        <f>VLOOKUP(W1189,Sheet4!$A$5:$B$71,2,0)</f>
        <v>MAX UG NEW EV</v>
      </c>
      <c r="Z1189">
        <v>87082900</v>
      </c>
      <c r="AA1189">
        <v>10</v>
      </c>
      <c r="AB1189" t="s">
        <v>159</v>
      </c>
      <c r="AC1189" s="24">
        <v>9566.51</v>
      </c>
      <c r="AD1189" t="s">
        <v>160</v>
      </c>
      <c r="AE1189" s="24">
        <v>95665.1</v>
      </c>
      <c r="AF1189">
        <v>0</v>
      </c>
      <c r="AG1189" s="24">
        <v>95665.1</v>
      </c>
      <c r="AH1189">
        <v>0</v>
      </c>
      <c r="AI1189">
        <v>0</v>
      </c>
      <c r="AJ1189">
        <v>0</v>
      </c>
      <c r="AK1189">
        <v>0</v>
      </c>
      <c r="AL1189" s="24">
        <v>95665.1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 s="24">
        <v>95665.1</v>
      </c>
      <c r="AV1189">
        <v>0</v>
      </c>
      <c r="AW1189">
        <v>0</v>
      </c>
      <c r="AX1189">
        <v>311000</v>
      </c>
      <c r="AY1189" t="s">
        <v>161</v>
      </c>
      <c r="AZ1189">
        <v>0</v>
      </c>
      <c r="BA1189">
        <v>61</v>
      </c>
      <c r="BB1189">
        <v>-61</v>
      </c>
      <c r="BC1189" t="s">
        <v>193</v>
      </c>
      <c r="BD1189">
        <v>1509</v>
      </c>
      <c r="BE1189" t="s">
        <v>169</v>
      </c>
      <c r="BF1189" t="s">
        <v>163</v>
      </c>
      <c r="BG1189" t="s">
        <v>164</v>
      </c>
    </row>
    <row r="1190" spans="1:59">
      <c r="A1190">
        <v>1115</v>
      </c>
      <c r="B1190">
        <v>1115</v>
      </c>
      <c r="C1190">
        <v>10</v>
      </c>
      <c r="D1190">
        <v>2</v>
      </c>
      <c r="E1190" t="s">
        <v>152</v>
      </c>
      <c r="F1190" t="s">
        <v>153</v>
      </c>
      <c r="G1190" t="s">
        <v>154</v>
      </c>
      <c r="H1190">
        <v>1526006975</v>
      </c>
      <c r="I1190">
        <v>1000007260</v>
      </c>
      <c r="L1190" t="s">
        <v>366</v>
      </c>
      <c r="M1190">
        <v>5100001899</v>
      </c>
      <c r="N1190" t="s">
        <v>155</v>
      </c>
      <c r="O1190" t="s">
        <v>156</v>
      </c>
      <c r="P1190">
        <v>4110041854</v>
      </c>
      <c r="Q1190" t="s">
        <v>172</v>
      </c>
      <c r="R1190">
        <v>5000</v>
      </c>
      <c r="S1190" t="s">
        <v>166</v>
      </c>
      <c r="V1190" t="s">
        <v>167</v>
      </c>
      <c r="W1190">
        <v>1502040267</v>
      </c>
      <c r="X1190" t="s">
        <v>63</v>
      </c>
      <c r="Y1190" t="str">
        <f>VLOOKUP(W1190,Sheet4!$A$5:$B$71,2,0)</f>
        <v>DASH BOARD</v>
      </c>
      <c r="Z1190">
        <v>87082900</v>
      </c>
      <c r="AA1190">
        <v>416</v>
      </c>
      <c r="AB1190" t="s">
        <v>159</v>
      </c>
      <c r="AC1190">
        <v>290.89999999999998</v>
      </c>
      <c r="AD1190" t="s">
        <v>160</v>
      </c>
      <c r="AE1190" s="24">
        <v>121014.39999999999</v>
      </c>
      <c r="AF1190">
        <v>0</v>
      </c>
      <c r="AG1190" s="24">
        <v>121014.39999999999</v>
      </c>
      <c r="AH1190">
        <v>0</v>
      </c>
      <c r="AI1190">
        <v>0</v>
      </c>
      <c r="AJ1190">
        <v>0</v>
      </c>
      <c r="AK1190">
        <v>0</v>
      </c>
      <c r="AL1190" s="24">
        <v>121014.39999999999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 s="24">
        <v>121014.39999999999</v>
      </c>
      <c r="AV1190">
        <v>0</v>
      </c>
      <c r="AW1190">
        <v>0</v>
      </c>
      <c r="AX1190">
        <v>311000</v>
      </c>
      <c r="AY1190" t="s">
        <v>161</v>
      </c>
      <c r="AZ1190">
        <v>4.5</v>
      </c>
      <c r="BA1190">
        <v>4.5</v>
      </c>
      <c r="BB1190">
        <v>0</v>
      </c>
      <c r="BC1190" t="s">
        <v>173</v>
      </c>
      <c r="BD1190">
        <v>1511</v>
      </c>
      <c r="BE1190" t="s">
        <v>174</v>
      </c>
      <c r="BF1190" t="s">
        <v>163</v>
      </c>
      <c r="BG1190" t="s">
        <v>164</v>
      </c>
    </row>
    <row r="1191" spans="1:59">
      <c r="A1191">
        <v>1115</v>
      </c>
      <c r="B1191">
        <v>1115</v>
      </c>
      <c r="C1191">
        <v>10</v>
      </c>
      <c r="D1191">
        <v>2</v>
      </c>
      <c r="E1191" t="s">
        <v>152</v>
      </c>
      <c r="F1191" t="s">
        <v>153</v>
      </c>
      <c r="G1191" t="s">
        <v>154</v>
      </c>
      <c r="H1191">
        <v>1526006976</v>
      </c>
      <c r="I1191">
        <v>1000007261</v>
      </c>
      <c r="L1191" t="s">
        <v>366</v>
      </c>
      <c r="M1191">
        <v>5100001919</v>
      </c>
      <c r="N1191" t="s">
        <v>155</v>
      </c>
      <c r="O1191" t="s">
        <v>156</v>
      </c>
      <c r="P1191">
        <v>5500000930</v>
      </c>
      <c r="Q1191" t="s">
        <v>157</v>
      </c>
      <c r="R1191">
        <v>5356</v>
      </c>
      <c r="S1191" t="s">
        <v>158</v>
      </c>
      <c r="W1191">
        <v>1502010011</v>
      </c>
      <c r="X1191" t="s">
        <v>35</v>
      </c>
      <c r="Y1191" t="str">
        <f>VLOOKUP(W1191,Sheet4!$A$5:$B$71,2,0)</f>
        <v>REAR MUDGAURD</v>
      </c>
      <c r="Z1191">
        <v>87082900</v>
      </c>
      <c r="AA1191">
        <v>432</v>
      </c>
      <c r="AB1191" t="s">
        <v>159</v>
      </c>
      <c r="AC1191">
        <v>89.25</v>
      </c>
      <c r="AD1191" t="s">
        <v>160</v>
      </c>
      <c r="AE1191" s="24">
        <v>38556</v>
      </c>
      <c r="AF1191">
        <v>0</v>
      </c>
      <c r="AG1191" s="24">
        <v>38556</v>
      </c>
      <c r="AH1191">
        <v>0</v>
      </c>
      <c r="AI1191">
        <v>0</v>
      </c>
      <c r="AJ1191">
        <v>0</v>
      </c>
      <c r="AK1191">
        <v>0</v>
      </c>
      <c r="AL1191" s="24">
        <v>38556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 s="24">
        <v>38556</v>
      </c>
      <c r="AV1191">
        <v>0</v>
      </c>
      <c r="AW1191">
        <v>0</v>
      </c>
      <c r="AX1191">
        <v>311000</v>
      </c>
      <c r="AY1191" t="s">
        <v>161</v>
      </c>
      <c r="AZ1191">
        <v>1.32</v>
      </c>
      <c r="BA1191">
        <v>0.72399999999999998</v>
      </c>
      <c r="BB1191">
        <v>0.59599999999999997</v>
      </c>
      <c r="BC1191">
        <v>2000001017</v>
      </c>
      <c r="BD1191">
        <v>1508</v>
      </c>
      <c r="BE1191" t="s">
        <v>162</v>
      </c>
      <c r="BF1191" t="s">
        <v>163</v>
      </c>
      <c r="BG1191" t="s">
        <v>164</v>
      </c>
    </row>
    <row r="1192" spans="1:59">
      <c r="A1192">
        <v>1115</v>
      </c>
      <c r="B1192">
        <v>1115</v>
      </c>
      <c r="C1192">
        <v>10</v>
      </c>
      <c r="D1192">
        <v>2</v>
      </c>
      <c r="E1192" t="s">
        <v>152</v>
      </c>
      <c r="F1192" t="s">
        <v>153</v>
      </c>
      <c r="G1192" t="s">
        <v>154</v>
      </c>
      <c r="H1192">
        <v>1526006977</v>
      </c>
      <c r="I1192">
        <v>1000007262</v>
      </c>
      <c r="L1192" t="s">
        <v>366</v>
      </c>
      <c r="M1192">
        <v>5100001919</v>
      </c>
      <c r="N1192" t="s">
        <v>155</v>
      </c>
      <c r="O1192" t="s">
        <v>156</v>
      </c>
      <c r="P1192">
        <v>5500000930</v>
      </c>
      <c r="Q1192" t="s">
        <v>157</v>
      </c>
      <c r="R1192">
        <v>5356</v>
      </c>
      <c r="S1192" t="s">
        <v>158</v>
      </c>
      <c r="W1192">
        <v>1502010011</v>
      </c>
      <c r="X1192" t="s">
        <v>35</v>
      </c>
      <c r="Y1192" t="str">
        <f>VLOOKUP(W1192,Sheet4!$A$5:$B$71,2,0)</f>
        <v>REAR MUDGAURD</v>
      </c>
      <c r="Z1192">
        <v>87082900</v>
      </c>
      <c r="AA1192">
        <v>432</v>
      </c>
      <c r="AB1192" t="s">
        <v>159</v>
      </c>
      <c r="AC1192">
        <v>89.25</v>
      </c>
      <c r="AD1192" t="s">
        <v>160</v>
      </c>
      <c r="AE1192" s="24">
        <v>38556</v>
      </c>
      <c r="AF1192">
        <v>0</v>
      </c>
      <c r="AG1192" s="24">
        <v>38556</v>
      </c>
      <c r="AH1192">
        <v>0</v>
      </c>
      <c r="AI1192">
        <v>0</v>
      </c>
      <c r="AJ1192">
        <v>0</v>
      </c>
      <c r="AK1192">
        <v>0</v>
      </c>
      <c r="AL1192" s="24">
        <v>38556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 s="24">
        <v>38556</v>
      </c>
      <c r="AV1192">
        <v>0</v>
      </c>
      <c r="AW1192">
        <v>0</v>
      </c>
      <c r="AX1192">
        <v>311000</v>
      </c>
      <c r="AY1192" t="s">
        <v>161</v>
      </c>
      <c r="AZ1192">
        <v>1.32</v>
      </c>
      <c r="BA1192">
        <v>0.72399999999999998</v>
      </c>
      <c r="BB1192">
        <v>0.59599999999999997</v>
      </c>
      <c r="BC1192">
        <v>2000001017</v>
      </c>
      <c r="BD1192">
        <v>1508</v>
      </c>
      <c r="BE1192" t="s">
        <v>162</v>
      </c>
      <c r="BF1192" t="s">
        <v>163</v>
      </c>
      <c r="BG1192" t="s">
        <v>164</v>
      </c>
    </row>
    <row r="1193" spans="1:59">
      <c r="A1193">
        <v>1115</v>
      </c>
      <c r="B1193">
        <v>1115</v>
      </c>
      <c r="C1193">
        <v>10</v>
      </c>
      <c r="D1193">
        <v>2</v>
      </c>
      <c r="E1193" t="s">
        <v>152</v>
      </c>
      <c r="F1193" t="s">
        <v>153</v>
      </c>
      <c r="G1193" t="s">
        <v>154</v>
      </c>
      <c r="H1193">
        <v>1526006978</v>
      </c>
      <c r="I1193">
        <v>1000007263</v>
      </c>
      <c r="L1193" t="s">
        <v>366</v>
      </c>
      <c r="M1193">
        <v>5100001919</v>
      </c>
      <c r="N1193" t="s">
        <v>155</v>
      </c>
      <c r="O1193" t="s">
        <v>156</v>
      </c>
      <c r="P1193">
        <v>5500000930</v>
      </c>
      <c r="Q1193" t="s">
        <v>157</v>
      </c>
      <c r="R1193">
        <v>5356</v>
      </c>
      <c r="S1193" t="s">
        <v>158</v>
      </c>
      <c r="W1193">
        <v>1502010011</v>
      </c>
      <c r="X1193" t="s">
        <v>35</v>
      </c>
      <c r="Y1193" t="str">
        <f>VLOOKUP(W1193,Sheet4!$A$5:$B$71,2,0)</f>
        <v>REAR MUDGAURD</v>
      </c>
      <c r="Z1193">
        <v>87082900</v>
      </c>
      <c r="AA1193">
        <v>432</v>
      </c>
      <c r="AB1193" t="s">
        <v>159</v>
      </c>
      <c r="AC1193">
        <v>89.25</v>
      </c>
      <c r="AD1193" t="s">
        <v>160</v>
      </c>
      <c r="AE1193" s="24">
        <v>38556</v>
      </c>
      <c r="AF1193">
        <v>0</v>
      </c>
      <c r="AG1193" s="24">
        <v>38556</v>
      </c>
      <c r="AH1193">
        <v>0</v>
      </c>
      <c r="AI1193">
        <v>0</v>
      </c>
      <c r="AJ1193">
        <v>0</v>
      </c>
      <c r="AK1193">
        <v>0</v>
      </c>
      <c r="AL1193" s="24">
        <v>38556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 s="24">
        <v>38556</v>
      </c>
      <c r="AV1193">
        <v>0</v>
      </c>
      <c r="AW1193">
        <v>0</v>
      </c>
      <c r="AX1193">
        <v>311000</v>
      </c>
      <c r="AY1193" t="s">
        <v>161</v>
      </c>
      <c r="AZ1193">
        <v>1.32</v>
      </c>
      <c r="BA1193">
        <v>0.72399999999999998</v>
      </c>
      <c r="BB1193">
        <v>0.59599999999999997</v>
      </c>
      <c r="BC1193">
        <v>2000001017</v>
      </c>
      <c r="BD1193">
        <v>1508</v>
      </c>
      <c r="BE1193" t="s">
        <v>162</v>
      </c>
      <c r="BF1193" t="s">
        <v>163</v>
      </c>
      <c r="BG1193" t="s">
        <v>164</v>
      </c>
    </row>
    <row r="1194" spans="1:59">
      <c r="A1194">
        <v>1115</v>
      </c>
      <c r="B1194">
        <v>1115</v>
      </c>
      <c r="C1194">
        <v>10</v>
      </c>
      <c r="D1194">
        <v>2</v>
      </c>
      <c r="E1194" t="s">
        <v>152</v>
      </c>
      <c r="F1194" t="s">
        <v>153</v>
      </c>
      <c r="G1194" t="s">
        <v>154</v>
      </c>
      <c r="H1194">
        <v>1526006979</v>
      </c>
      <c r="I1194">
        <v>1000007264</v>
      </c>
      <c r="L1194" t="s">
        <v>366</v>
      </c>
      <c r="M1194">
        <v>5100001919</v>
      </c>
      <c r="N1194" t="s">
        <v>155</v>
      </c>
      <c r="O1194" t="s">
        <v>156</v>
      </c>
      <c r="P1194">
        <v>5500000930</v>
      </c>
      <c r="Q1194" t="s">
        <v>157</v>
      </c>
      <c r="R1194">
        <v>5356</v>
      </c>
      <c r="S1194" t="s">
        <v>158</v>
      </c>
      <c r="W1194">
        <v>1502010011</v>
      </c>
      <c r="X1194" t="s">
        <v>35</v>
      </c>
      <c r="Y1194" t="str">
        <f>VLOOKUP(W1194,Sheet4!$A$5:$B$71,2,0)</f>
        <v>REAR MUDGAURD</v>
      </c>
      <c r="Z1194">
        <v>87082900</v>
      </c>
      <c r="AA1194">
        <v>432</v>
      </c>
      <c r="AB1194" t="s">
        <v>159</v>
      </c>
      <c r="AC1194">
        <v>89.25</v>
      </c>
      <c r="AD1194" t="s">
        <v>160</v>
      </c>
      <c r="AE1194" s="24">
        <v>38556</v>
      </c>
      <c r="AF1194">
        <v>0</v>
      </c>
      <c r="AG1194" s="24">
        <v>38556</v>
      </c>
      <c r="AH1194">
        <v>0</v>
      </c>
      <c r="AI1194">
        <v>0</v>
      </c>
      <c r="AJ1194">
        <v>0</v>
      </c>
      <c r="AK1194">
        <v>0</v>
      </c>
      <c r="AL1194" s="24">
        <v>38556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 s="24">
        <v>38556</v>
      </c>
      <c r="AV1194">
        <v>0</v>
      </c>
      <c r="AW1194">
        <v>0</v>
      </c>
      <c r="AX1194">
        <v>311000</v>
      </c>
      <c r="AY1194" t="s">
        <v>161</v>
      </c>
      <c r="AZ1194">
        <v>1.32</v>
      </c>
      <c r="BA1194">
        <v>0.72399999999999998</v>
      </c>
      <c r="BB1194">
        <v>0.59599999999999997</v>
      </c>
      <c r="BC1194">
        <v>2000001017</v>
      </c>
      <c r="BD1194">
        <v>1508</v>
      </c>
      <c r="BE1194" t="s">
        <v>162</v>
      </c>
      <c r="BF1194" t="s">
        <v>163</v>
      </c>
      <c r="BG1194" t="s">
        <v>164</v>
      </c>
    </row>
    <row r="1195" spans="1:59">
      <c r="A1195">
        <v>1115</v>
      </c>
      <c r="B1195">
        <v>1115</v>
      </c>
      <c r="C1195">
        <v>10</v>
      </c>
      <c r="D1195">
        <v>2</v>
      </c>
      <c r="E1195" t="s">
        <v>152</v>
      </c>
      <c r="F1195" t="s">
        <v>153</v>
      </c>
      <c r="G1195" t="s">
        <v>154</v>
      </c>
      <c r="H1195">
        <v>1526006980</v>
      </c>
      <c r="I1195">
        <v>1000007265</v>
      </c>
      <c r="L1195" t="s">
        <v>366</v>
      </c>
      <c r="M1195">
        <v>5100001919</v>
      </c>
      <c r="N1195" t="s">
        <v>155</v>
      </c>
      <c r="O1195" t="s">
        <v>156</v>
      </c>
      <c r="P1195">
        <v>5500000930</v>
      </c>
      <c r="Q1195" t="s">
        <v>157</v>
      </c>
      <c r="R1195">
        <v>5356</v>
      </c>
      <c r="S1195" t="s">
        <v>158</v>
      </c>
      <c r="W1195">
        <v>1502010011</v>
      </c>
      <c r="X1195" t="s">
        <v>35</v>
      </c>
      <c r="Y1195" t="str">
        <f>VLOOKUP(W1195,Sheet4!$A$5:$B$71,2,0)</f>
        <v>REAR MUDGAURD</v>
      </c>
      <c r="Z1195">
        <v>87082900</v>
      </c>
      <c r="AA1195">
        <v>432</v>
      </c>
      <c r="AB1195" t="s">
        <v>159</v>
      </c>
      <c r="AC1195">
        <v>89.25</v>
      </c>
      <c r="AD1195" t="s">
        <v>160</v>
      </c>
      <c r="AE1195" s="24">
        <v>38556</v>
      </c>
      <c r="AF1195">
        <v>0</v>
      </c>
      <c r="AG1195" s="24">
        <v>38556</v>
      </c>
      <c r="AH1195">
        <v>0</v>
      </c>
      <c r="AI1195">
        <v>0</v>
      </c>
      <c r="AJ1195">
        <v>0</v>
      </c>
      <c r="AK1195">
        <v>0</v>
      </c>
      <c r="AL1195" s="24">
        <v>38556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 s="24">
        <v>38556</v>
      </c>
      <c r="AV1195">
        <v>0</v>
      </c>
      <c r="AW1195">
        <v>0</v>
      </c>
      <c r="AX1195">
        <v>311000</v>
      </c>
      <c r="AY1195" t="s">
        <v>161</v>
      </c>
      <c r="AZ1195">
        <v>1.32</v>
      </c>
      <c r="BA1195">
        <v>0.72399999999999998</v>
      </c>
      <c r="BB1195">
        <v>0.59599999999999997</v>
      </c>
      <c r="BC1195">
        <v>2000001017</v>
      </c>
      <c r="BD1195">
        <v>1508</v>
      </c>
      <c r="BE1195" t="s">
        <v>162</v>
      </c>
      <c r="BF1195" t="s">
        <v>163</v>
      </c>
      <c r="BG1195" t="s">
        <v>164</v>
      </c>
    </row>
    <row r="1196" spans="1:59">
      <c r="A1196">
        <v>1115</v>
      </c>
      <c r="B1196">
        <v>1115</v>
      </c>
      <c r="C1196">
        <v>10</v>
      </c>
      <c r="D1196">
        <v>2</v>
      </c>
      <c r="E1196" t="s">
        <v>152</v>
      </c>
      <c r="F1196" t="s">
        <v>153</v>
      </c>
      <c r="G1196" t="s">
        <v>154</v>
      </c>
      <c r="H1196">
        <v>1526006981</v>
      </c>
      <c r="I1196">
        <v>1000007266</v>
      </c>
      <c r="L1196" t="s">
        <v>366</v>
      </c>
      <c r="M1196">
        <v>5100001928</v>
      </c>
      <c r="N1196" t="s">
        <v>155</v>
      </c>
      <c r="O1196" t="s">
        <v>156</v>
      </c>
      <c r="P1196">
        <v>4110057393</v>
      </c>
      <c r="Q1196" t="s">
        <v>192</v>
      </c>
      <c r="R1196">
        <v>5000</v>
      </c>
      <c r="S1196" t="s">
        <v>166</v>
      </c>
      <c r="V1196" t="s">
        <v>167</v>
      </c>
      <c r="W1196">
        <v>1502020122</v>
      </c>
      <c r="X1196" t="s">
        <v>70</v>
      </c>
      <c r="Y1196" t="str">
        <f>VLOOKUP(W1196,Sheet4!$A$5:$B$71,2,0)</f>
        <v>MAX UG NEW EV</v>
      </c>
      <c r="Z1196">
        <v>87082900</v>
      </c>
      <c r="AA1196">
        <v>10</v>
      </c>
      <c r="AB1196" t="s">
        <v>159</v>
      </c>
      <c r="AC1196" s="24">
        <v>9566.51</v>
      </c>
      <c r="AD1196" t="s">
        <v>160</v>
      </c>
      <c r="AE1196" s="24">
        <v>95665.1</v>
      </c>
      <c r="AF1196">
        <v>0</v>
      </c>
      <c r="AG1196" s="24">
        <v>95665.1</v>
      </c>
      <c r="AH1196">
        <v>0</v>
      </c>
      <c r="AI1196">
        <v>0</v>
      </c>
      <c r="AJ1196">
        <v>0</v>
      </c>
      <c r="AK1196">
        <v>0</v>
      </c>
      <c r="AL1196" s="24">
        <v>95665.1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 s="24">
        <v>95665.1</v>
      </c>
      <c r="AV1196">
        <v>0</v>
      </c>
      <c r="AW1196">
        <v>0</v>
      </c>
      <c r="AX1196">
        <v>311000</v>
      </c>
      <c r="AY1196" t="s">
        <v>161</v>
      </c>
      <c r="AZ1196">
        <v>0</v>
      </c>
      <c r="BA1196">
        <v>61</v>
      </c>
      <c r="BB1196">
        <v>-61</v>
      </c>
      <c r="BC1196" t="s">
        <v>193</v>
      </c>
      <c r="BD1196">
        <v>1509</v>
      </c>
      <c r="BE1196" t="s">
        <v>169</v>
      </c>
      <c r="BF1196" t="s">
        <v>163</v>
      </c>
      <c r="BG1196" t="s">
        <v>164</v>
      </c>
    </row>
    <row r="1197" spans="1:59">
      <c r="A1197">
        <v>1115</v>
      </c>
      <c r="B1197">
        <v>1115</v>
      </c>
      <c r="C1197">
        <v>10</v>
      </c>
      <c r="D1197">
        <v>2</v>
      </c>
      <c r="E1197" t="s">
        <v>152</v>
      </c>
      <c r="F1197" t="s">
        <v>153</v>
      </c>
      <c r="G1197" t="s">
        <v>154</v>
      </c>
      <c r="H1197">
        <v>1526006982</v>
      </c>
      <c r="I1197">
        <v>1000007267</v>
      </c>
      <c r="L1197" t="s">
        <v>366</v>
      </c>
      <c r="M1197">
        <v>5100001928</v>
      </c>
      <c r="N1197" t="s">
        <v>155</v>
      </c>
      <c r="O1197" t="s">
        <v>156</v>
      </c>
      <c r="P1197">
        <v>4110057393</v>
      </c>
      <c r="Q1197" t="s">
        <v>192</v>
      </c>
      <c r="R1197">
        <v>5000</v>
      </c>
      <c r="S1197" t="s">
        <v>166</v>
      </c>
      <c r="V1197" t="s">
        <v>167</v>
      </c>
      <c r="W1197">
        <v>1502020122</v>
      </c>
      <c r="X1197" t="s">
        <v>70</v>
      </c>
      <c r="Y1197" t="str">
        <f>VLOOKUP(W1197,Sheet4!$A$5:$B$71,2,0)</f>
        <v>MAX UG NEW EV</v>
      </c>
      <c r="Z1197">
        <v>87082900</v>
      </c>
      <c r="AA1197">
        <v>10</v>
      </c>
      <c r="AB1197" t="s">
        <v>159</v>
      </c>
      <c r="AC1197" s="24">
        <v>9566.51</v>
      </c>
      <c r="AD1197" t="s">
        <v>160</v>
      </c>
      <c r="AE1197" s="24">
        <v>95665.1</v>
      </c>
      <c r="AF1197">
        <v>0</v>
      </c>
      <c r="AG1197" s="24">
        <v>95665.1</v>
      </c>
      <c r="AH1197">
        <v>0</v>
      </c>
      <c r="AI1197">
        <v>0</v>
      </c>
      <c r="AJ1197">
        <v>0</v>
      </c>
      <c r="AK1197">
        <v>0</v>
      </c>
      <c r="AL1197" s="24">
        <v>95665.1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 s="24">
        <v>95665.1</v>
      </c>
      <c r="AV1197">
        <v>0</v>
      </c>
      <c r="AW1197">
        <v>0</v>
      </c>
      <c r="AX1197">
        <v>311000</v>
      </c>
      <c r="AY1197" t="s">
        <v>161</v>
      </c>
      <c r="AZ1197">
        <v>0</v>
      </c>
      <c r="BA1197">
        <v>61</v>
      </c>
      <c r="BB1197">
        <v>-61</v>
      </c>
      <c r="BC1197" t="s">
        <v>193</v>
      </c>
      <c r="BD1197">
        <v>1509</v>
      </c>
      <c r="BE1197" t="s">
        <v>169</v>
      </c>
      <c r="BF1197" t="s">
        <v>163</v>
      </c>
      <c r="BG1197" t="s">
        <v>164</v>
      </c>
    </row>
    <row r="1198" spans="1:59">
      <c r="A1198">
        <v>1115</v>
      </c>
      <c r="B1198">
        <v>1115</v>
      </c>
      <c r="C1198">
        <v>10</v>
      </c>
      <c r="D1198">
        <v>2</v>
      </c>
      <c r="E1198" t="s">
        <v>152</v>
      </c>
      <c r="F1198" t="s">
        <v>153</v>
      </c>
      <c r="G1198" t="s">
        <v>154</v>
      </c>
      <c r="H1198">
        <v>1526006983</v>
      </c>
      <c r="I1198">
        <v>1000007268</v>
      </c>
      <c r="L1198" t="s">
        <v>366</v>
      </c>
      <c r="M1198">
        <v>5100001928</v>
      </c>
      <c r="N1198" t="s">
        <v>155</v>
      </c>
      <c r="O1198" t="s">
        <v>156</v>
      </c>
      <c r="P1198">
        <v>4110057393</v>
      </c>
      <c r="Q1198" t="s">
        <v>192</v>
      </c>
      <c r="R1198">
        <v>5000</v>
      </c>
      <c r="S1198" t="s">
        <v>166</v>
      </c>
      <c r="V1198" t="s">
        <v>167</v>
      </c>
      <c r="W1198">
        <v>1502020122</v>
      </c>
      <c r="X1198" t="s">
        <v>70</v>
      </c>
      <c r="Y1198" t="str">
        <f>VLOOKUP(W1198,Sheet4!$A$5:$B$71,2,0)</f>
        <v>MAX UG NEW EV</v>
      </c>
      <c r="Z1198">
        <v>87082900</v>
      </c>
      <c r="AA1198">
        <v>10</v>
      </c>
      <c r="AB1198" t="s">
        <v>159</v>
      </c>
      <c r="AC1198" s="24">
        <v>9566.51</v>
      </c>
      <c r="AD1198" t="s">
        <v>160</v>
      </c>
      <c r="AE1198" s="24">
        <v>95665.1</v>
      </c>
      <c r="AF1198">
        <v>0</v>
      </c>
      <c r="AG1198" s="24">
        <v>95665.1</v>
      </c>
      <c r="AH1198">
        <v>0</v>
      </c>
      <c r="AI1198">
        <v>0</v>
      </c>
      <c r="AJ1198">
        <v>0</v>
      </c>
      <c r="AK1198">
        <v>0</v>
      </c>
      <c r="AL1198" s="24">
        <v>95665.1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 s="24">
        <v>95665.1</v>
      </c>
      <c r="AV1198">
        <v>0</v>
      </c>
      <c r="AW1198">
        <v>0</v>
      </c>
      <c r="AX1198">
        <v>311000</v>
      </c>
      <c r="AY1198" t="s">
        <v>161</v>
      </c>
      <c r="AZ1198">
        <v>0</v>
      </c>
      <c r="BA1198">
        <v>61</v>
      </c>
      <c r="BB1198">
        <v>-61</v>
      </c>
      <c r="BC1198" t="s">
        <v>193</v>
      </c>
      <c r="BD1198">
        <v>1509</v>
      </c>
      <c r="BE1198" t="s">
        <v>169</v>
      </c>
      <c r="BF1198" t="s">
        <v>163</v>
      </c>
      <c r="BG1198" t="s">
        <v>164</v>
      </c>
    </row>
    <row r="1199" spans="1:59">
      <c r="A1199">
        <v>1115</v>
      </c>
      <c r="B1199">
        <v>1115</v>
      </c>
      <c r="C1199">
        <v>10</v>
      </c>
      <c r="D1199">
        <v>2</v>
      </c>
      <c r="E1199" t="s">
        <v>152</v>
      </c>
      <c r="F1199" t="s">
        <v>153</v>
      </c>
      <c r="G1199" t="s">
        <v>154</v>
      </c>
      <c r="H1199">
        <v>1526006984</v>
      </c>
      <c r="I1199">
        <v>1000007269</v>
      </c>
      <c r="L1199" t="s">
        <v>366</v>
      </c>
      <c r="M1199">
        <v>5100001928</v>
      </c>
      <c r="N1199" t="s">
        <v>155</v>
      </c>
      <c r="O1199" t="s">
        <v>156</v>
      </c>
      <c r="P1199">
        <v>4110057393</v>
      </c>
      <c r="Q1199" t="s">
        <v>192</v>
      </c>
      <c r="R1199">
        <v>5000</v>
      </c>
      <c r="S1199" t="s">
        <v>166</v>
      </c>
      <c r="V1199" t="s">
        <v>167</v>
      </c>
      <c r="W1199">
        <v>1502020122</v>
      </c>
      <c r="X1199" t="s">
        <v>70</v>
      </c>
      <c r="Y1199" t="str">
        <f>VLOOKUP(W1199,Sheet4!$A$5:$B$71,2,0)</f>
        <v>MAX UG NEW EV</v>
      </c>
      <c r="Z1199">
        <v>87082900</v>
      </c>
      <c r="AA1199">
        <v>10</v>
      </c>
      <c r="AB1199" t="s">
        <v>159</v>
      </c>
      <c r="AC1199" s="24">
        <v>9566.51</v>
      </c>
      <c r="AD1199" t="s">
        <v>160</v>
      </c>
      <c r="AE1199" s="24">
        <v>95665.1</v>
      </c>
      <c r="AF1199">
        <v>0</v>
      </c>
      <c r="AG1199" s="24">
        <v>95665.1</v>
      </c>
      <c r="AH1199">
        <v>0</v>
      </c>
      <c r="AI1199">
        <v>0</v>
      </c>
      <c r="AJ1199">
        <v>0</v>
      </c>
      <c r="AK1199">
        <v>0</v>
      </c>
      <c r="AL1199" s="24">
        <v>95665.1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 s="24">
        <v>95665.1</v>
      </c>
      <c r="AV1199">
        <v>0</v>
      </c>
      <c r="AW1199">
        <v>0</v>
      </c>
      <c r="AX1199">
        <v>311000</v>
      </c>
      <c r="AY1199" t="s">
        <v>161</v>
      </c>
      <c r="AZ1199">
        <v>0</v>
      </c>
      <c r="BA1199">
        <v>61</v>
      </c>
      <c r="BB1199">
        <v>-61</v>
      </c>
      <c r="BC1199" t="s">
        <v>193</v>
      </c>
      <c r="BD1199">
        <v>1509</v>
      </c>
      <c r="BE1199" t="s">
        <v>169</v>
      </c>
      <c r="BF1199" t="s">
        <v>163</v>
      </c>
      <c r="BG1199" t="s">
        <v>164</v>
      </c>
    </row>
    <row r="1200" spans="1:59">
      <c r="A1200">
        <v>1115</v>
      </c>
      <c r="B1200">
        <v>1115</v>
      </c>
      <c r="C1200">
        <v>10</v>
      </c>
      <c r="D1200">
        <v>2</v>
      </c>
      <c r="E1200" t="s">
        <v>152</v>
      </c>
      <c r="F1200" t="s">
        <v>153</v>
      </c>
      <c r="G1200" t="s">
        <v>154</v>
      </c>
      <c r="H1200">
        <v>1526006985</v>
      </c>
      <c r="I1200">
        <v>1000007270</v>
      </c>
      <c r="L1200" t="s">
        <v>366</v>
      </c>
      <c r="M1200">
        <v>5100001928</v>
      </c>
      <c r="N1200" t="s">
        <v>155</v>
      </c>
      <c r="O1200" t="s">
        <v>156</v>
      </c>
      <c r="P1200">
        <v>4110057393</v>
      </c>
      <c r="Q1200" t="s">
        <v>192</v>
      </c>
      <c r="R1200">
        <v>5000</v>
      </c>
      <c r="S1200" t="s">
        <v>166</v>
      </c>
      <c r="V1200" t="s">
        <v>167</v>
      </c>
      <c r="W1200">
        <v>1502020122</v>
      </c>
      <c r="X1200" t="s">
        <v>70</v>
      </c>
      <c r="Y1200" t="str">
        <f>VLOOKUP(W1200,Sheet4!$A$5:$B$71,2,0)</f>
        <v>MAX UG NEW EV</v>
      </c>
      <c r="Z1200">
        <v>87082900</v>
      </c>
      <c r="AA1200">
        <v>10</v>
      </c>
      <c r="AB1200" t="s">
        <v>159</v>
      </c>
      <c r="AC1200" s="24">
        <v>9566.51</v>
      </c>
      <c r="AD1200" t="s">
        <v>160</v>
      </c>
      <c r="AE1200" s="24">
        <v>95665.1</v>
      </c>
      <c r="AF1200">
        <v>0</v>
      </c>
      <c r="AG1200" s="24">
        <v>95665.1</v>
      </c>
      <c r="AH1200">
        <v>0</v>
      </c>
      <c r="AI1200">
        <v>0</v>
      </c>
      <c r="AJ1200">
        <v>0</v>
      </c>
      <c r="AK1200">
        <v>0</v>
      </c>
      <c r="AL1200" s="24">
        <v>95665.1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 s="24">
        <v>95665.1</v>
      </c>
      <c r="AV1200">
        <v>0</v>
      </c>
      <c r="AW1200">
        <v>0</v>
      </c>
      <c r="AX1200">
        <v>311000</v>
      </c>
      <c r="AY1200" t="s">
        <v>161</v>
      </c>
      <c r="AZ1200">
        <v>0</v>
      </c>
      <c r="BA1200">
        <v>61</v>
      </c>
      <c r="BB1200">
        <v>-61</v>
      </c>
      <c r="BC1200" t="s">
        <v>193</v>
      </c>
      <c r="BD1200">
        <v>1509</v>
      </c>
      <c r="BE1200" t="s">
        <v>169</v>
      </c>
      <c r="BF1200" t="s">
        <v>163</v>
      </c>
      <c r="BG1200" t="s">
        <v>164</v>
      </c>
    </row>
    <row r="1201" spans="1:59">
      <c r="A1201">
        <v>1115</v>
      </c>
      <c r="B1201">
        <v>1115</v>
      </c>
      <c r="C1201">
        <v>10</v>
      </c>
      <c r="D1201">
        <v>2</v>
      </c>
      <c r="E1201" t="s">
        <v>152</v>
      </c>
      <c r="F1201" t="s">
        <v>153</v>
      </c>
      <c r="G1201" t="s">
        <v>154</v>
      </c>
      <c r="H1201">
        <v>1526006986</v>
      </c>
      <c r="I1201">
        <v>1000007271</v>
      </c>
      <c r="L1201" t="s">
        <v>366</v>
      </c>
      <c r="M1201">
        <v>5100001928</v>
      </c>
      <c r="N1201" t="s">
        <v>155</v>
      </c>
      <c r="O1201" t="s">
        <v>156</v>
      </c>
      <c r="P1201">
        <v>4110057393</v>
      </c>
      <c r="Q1201" t="s">
        <v>192</v>
      </c>
      <c r="R1201">
        <v>5000</v>
      </c>
      <c r="S1201" t="s">
        <v>166</v>
      </c>
      <c r="V1201" t="s">
        <v>167</v>
      </c>
      <c r="W1201">
        <v>1502020122</v>
      </c>
      <c r="X1201" t="s">
        <v>70</v>
      </c>
      <c r="Y1201" t="str">
        <f>VLOOKUP(W1201,Sheet4!$A$5:$B$71,2,0)</f>
        <v>MAX UG NEW EV</v>
      </c>
      <c r="Z1201">
        <v>87082900</v>
      </c>
      <c r="AA1201">
        <v>10</v>
      </c>
      <c r="AB1201" t="s">
        <v>159</v>
      </c>
      <c r="AC1201" s="24">
        <v>9566.51</v>
      </c>
      <c r="AD1201" t="s">
        <v>160</v>
      </c>
      <c r="AE1201" s="24">
        <v>95665.1</v>
      </c>
      <c r="AF1201">
        <v>0</v>
      </c>
      <c r="AG1201" s="24">
        <v>95665.1</v>
      </c>
      <c r="AH1201">
        <v>0</v>
      </c>
      <c r="AI1201">
        <v>0</v>
      </c>
      <c r="AJ1201">
        <v>0</v>
      </c>
      <c r="AK1201">
        <v>0</v>
      </c>
      <c r="AL1201" s="24">
        <v>95665.1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 s="24">
        <v>95665.1</v>
      </c>
      <c r="AV1201">
        <v>0</v>
      </c>
      <c r="AW1201">
        <v>0</v>
      </c>
      <c r="AX1201">
        <v>311000</v>
      </c>
      <c r="AY1201" t="s">
        <v>161</v>
      </c>
      <c r="AZ1201">
        <v>0</v>
      </c>
      <c r="BA1201">
        <v>61</v>
      </c>
      <c r="BB1201">
        <v>-61</v>
      </c>
      <c r="BC1201" t="s">
        <v>193</v>
      </c>
      <c r="BD1201">
        <v>1509</v>
      </c>
      <c r="BE1201" t="s">
        <v>169</v>
      </c>
      <c r="BF1201" t="s">
        <v>163</v>
      </c>
      <c r="BG1201" t="s">
        <v>164</v>
      </c>
    </row>
    <row r="1202" spans="1:59">
      <c r="A1202">
        <v>1115</v>
      </c>
      <c r="B1202">
        <v>1115</v>
      </c>
      <c r="C1202">
        <v>10</v>
      </c>
      <c r="D1202">
        <v>2</v>
      </c>
      <c r="E1202" t="s">
        <v>152</v>
      </c>
      <c r="F1202" t="s">
        <v>153</v>
      </c>
      <c r="G1202" t="s">
        <v>154</v>
      </c>
      <c r="H1202">
        <v>1526006987</v>
      </c>
      <c r="I1202">
        <v>1000007272</v>
      </c>
      <c r="L1202" t="s">
        <v>366</v>
      </c>
      <c r="M1202">
        <v>5100001928</v>
      </c>
      <c r="N1202" t="s">
        <v>155</v>
      </c>
      <c r="O1202" t="s">
        <v>156</v>
      </c>
      <c r="P1202">
        <v>4110057393</v>
      </c>
      <c r="Q1202" t="s">
        <v>192</v>
      </c>
      <c r="R1202">
        <v>5000</v>
      </c>
      <c r="S1202" t="s">
        <v>166</v>
      </c>
      <c r="V1202" t="s">
        <v>167</v>
      </c>
      <c r="W1202">
        <v>1502020122</v>
      </c>
      <c r="X1202" t="s">
        <v>70</v>
      </c>
      <c r="Y1202" t="str">
        <f>VLOOKUP(W1202,Sheet4!$A$5:$B$71,2,0)</f>
        <v>MAX UG NEW EV</v>
      </c>
      <c r="Z1202">
        <v>87082900</v>
      </c>
      <c r="AA1202">
        <v>10</v>
      </c>
      <c r="AB1202" t="s">
        <v>159</v>
      </c>
      <c r="AC1202" s="24">
        <v>9566.51</v>
      </c>
      <c r="AD1202" t="s">
        <v>160</v>
      </c>
      <c r="AE1202" s="24">
        <v>95665.1</v>
      </c>
      <c r="AF1202">
        <v>0</v>
      </c>
      <c r="AG1202" s="24">
        <v>95665.1</v>
      </c>
      <c r="AH1202">
        <v>0</v>
      </c>
      <c r="AI1202">
        <v>0</v>
      </c>
      <c r="AJ1202">
        <v>0</v>
      </c>
      <c r="AK1202">
        <v>0</v>
      </c>
      <c r="AL1202" s="24">
        <v>95665.1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 s="24">
        <v>95665.1</v>
      </c>
      <c r="AV1202">
        <v>0</v>
      </c>
      <c r="AW1202">
        <v>0</v>
      </c>
      <c r="AX1202">
        <v>311000</v>
      </c>
      <c r="AY1202" t="s">
        <v>161</v>
      </c>
      <c r="AZ1202">
        <v>0</v>
      </c>
      <c r="BA1202">
        <v>61</v>
      </c>
      <c r="BB1202">
        <v>-61</v>
      </c>
      <c r="BC1202" t="s">
        <v>193</v>
      </c>
      <c r="BD1202">
        <v>1509</v>
      </c>
      <c r="BE1202" t="s">
        <v>169</v>
      </c>
      <c r="BF1202" t="s">
        <v>163</v>
      </c>
      <c r="BG1202" t="s">
        <v>164</v>
      </c>
    </row>
    <row r="1203" spans="1:59">
      <c r="A1203">
        <v>1115</v>
      </c>
      <c r="B1203">
        <v>1115</v>
      </c>
      <c r="C1203">
        <v>10</v>
      </c>
      <c r="D1203">
        <v>2</v>
      </c>
      <c r="E1203" t="s">
        <v>152</v>
      </c>
      <c r="F1203" t="s">
        <v>153</v>
      </c>
      <c r="G1203" t="s">
        <v>154</v>
      </c>
      <c r="H1203">
        <v>1526006988</v>
      </c>
      <c r="I1203">
        <v>1000007273</v>
      </c>
      <c r="L1203" t="s">
        <v>366</v>
      </c>
      <c r="M1203">
        <v>5100001636</v>
      </c>
      <c r="N1203" t="s">
        <v>155</v>
      </c>
      <c r="O1203" t="s">
        <v>156</v>
      </c>
      <c r="P1203">
        <v>4110026445</v>
      </c>
      <c r="Q1203" t="s">
        <v>170</v>
      </c>
      <c r="R1203">
        <v>5000</v>
      </c>
      <c r="S1203" t="s">
        <v>166</v>
      </c>
      <c r="V1203" t="s">
        <v>167</v>
      </c>
      <c r="W1203">
        <v>1502020104</v>
      </c>
      <c r="X1203" t="s">
        <v>26</v>
      </c>
      <c r="Y1203" t="str">
        <f>VLOOKUP(W1203,Sheet4!$A$5:$B$71,2,0)</f>
        <v>RE STYLING</v>
      </c>
      <c r="Z1203">
        <v>87082900</v>
      </c>
      <c r="AA1203">
        <v>15</v>
      </c>
      <c r="AB1203" t="s">
        <v>159</v>
      </c>
      <c r="AC1203" s="24">
        <v>6585.55</v>
      </c>
      <c r="AD1203" t="s">
        <v>160</v>
      </c>
      <c r="AE1203" s="24">
        <v>98783.25</v>
      </c>
      <c r="AF1203">
        <v>0</v>
      </c>
      <c r="AG1203" s="24">
        <v>98783.25</v>
      </c>
      <c r="AH1203">
        <v>0</v>
      </c>
      <c r="AI1203">
        <v>0</v>
      </c>
      <c r="AJ1203">
        <v>0</v>
      </c>
      <c r="AK1203">
        <v>0</v>
      </c>
      <c r="AL1203" s="24">
        <v>98783.25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 s="24">
        <v>98783.25</v>
      </c>
      <c r="AV1203">
        <v>0</v>
      </c>
      <c r="AW1203">
        <v>0</v>
      </c>
      <c r="AX1203">
        <v>311000</v>
      </c>
      <c r="AY1203" t="s">
        <v>161</v>
      </c>
      <c r="AZ1203">
        <v>49.75</v>
      </c>
      <c r="BA1203">
        <v>49.75</v>
      </c>
      <c r="BB1203">
        <v>0</v>
      </c>
      <c r="BC1203" t="s">
        <v>171</v>
      </c>
      <c r="BD1203">
        <v>1509</v>
      </c>
      <c r="BE1203" t="s">
        <v>169</v>
      </c>
      <c r="BF1203" t="s">
        <v>163</v>
      </c>
      <c r="BG1203" t="s">
        <v>164</v>
      </c>
    </row>
    <row r="1204" spans="1:59">
      <c r="A1204">
        <v>1115</v>
      </c>
      <c r="B1204">
        <v>1115</v>
      </c>
      <c r="C1204">
        <v>10</v>
      </c>
      <c r="D1204">
        <v>2</v>
      </c>
      <c r="E1204" t="s">
        <v>152</v>
      </c>
      <c r="F1204" t="s">
        <v>153</v>
      </c>
      <c r="G1204" t="s">
        <v>154</v>
      </c>
      <c r="H1204">
        <v>1526006942</v>
      </c>
      <c r="I1204">
        <v>1000007228</v>
      </c>
      <c r="L1204" t="s">
        <v>362</v>
      </c>
      <c r="M1204">
        <v>5100001636</v>
      </c>
      <c r="N1204" t="s">
        <v>155</v>
      </c>
      <c r="O1204" t="s">
        <v>156</v>
      </c>
      <c r="P1204">
        <v>4110026445</v>
      </c>
      <c r="Q1204" t="s">
        <v>170</v>
      </c>
      <c r="R1204">
        <v>5000</v>
      </c>
      <c r="S1204" t="s">
        <v>166</v>
      </c>
      <c r="V1204" t="s">
        <v>167</v>
      </c>
      <c r="W1204">
        <v>1502020104</v>
      </c>
      <c r="X1204" t="s">
        <v>26</v>
      </c>
      <c r="Y1204" t="str">
        <f>VLOOKUP(W1204,Sheet4!$A$5:$B$71,2,0)</f>
        <v>RE STYLING</v>
      </c>
      <c r="Z1204">
        <v>87082900</v>
      </c>
      <c r="AA1204">
        <v>15</v>
      </c>
      <c r="AB1204" t="s">
        <v>159</v>
      </c>
      <c r="AC1204" s="24">
        <v>6585.55</v>
      </c>
      <c r="AD1204" t="s">
        <v>160</v>
      </c>
      <c r="AE1204" s="24">
        <v>98783.25</v>
      </c>
      <c r="AF1204">
        <v>0</v>
      </c>
      <c r="AG1204" s="24">
        <v>98783.25</v>
      </c>
      <c r="AH1204">
        <v>0</v>
      </c>
      <c r="AI1204">
        <v>0</v>
      </c>
      <c r="AJ1204">
        <v>0</v>
      </c>
      <c r="AK1204">
        <v>0</v>
      </c>
      <c r="AL1204" s="24">
        <v>98783.25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 s="24">
        <v>98783.25</v>
      </c>
      <c r="AV1204">
        <v>0</v>
      </c>
      <c r="AW1204">
        <v>0</v>
      </c>
      <c r="AX1204">
        <v>311000</v>
      </c>
      <c r="AY1204" t="s">
        <v>161</v>
      </c>
      <c r="AZ1204">
        <v>49.75</v>
      </c>
      <c r="BA1204">
        <v>49.75</v>
      </c>
      <c r="BB1204">
        <v>0</v>
      </c>
      <c r="BC1204" t="s">
        <v>171</v>
      </c>
      <c r="BD1204">
        <v>1509</v>
      </c>
      <c r="BE1204" t="s">
        <v>169</v>
      </c>
      <c r="BF1204" t="s">
        <v>163</v>
      </c>
      <c r="BG1204" t="s">
        <v>164</v>
      </c>
    </row>
    <row r="1205" spans="1:59">
      <c r="A1205">
        <v>1115</v>
      </c>
      <c r="B1205">
        <v>1115</v>
      </c>
      <c r="C1205">
        <v>10</v>
      </c>
      <c r="D1205">
        <v>2</v>
      </c>
      <c r="E1205" t="s">
        <v>152</v>
      </c>
      <c r="F1205" t="s">
        <v>153</v>
      </c>
      <c r="G1205" t="s">
        <v>154</v>
      </c>
      <c r="H1205">
        <v>1526006943</v>
      </c>
      <c r="I1205">
        <v>1000007229</v>
      </c>
      <c r="L1205" t="s">
        <v>362</v>
      </c>
      <c r="M1205">
        <v>5100001636</v>
      </c>
      <c r="N1205" t="s">
        <v>155</v>
      </c>
      <c r="O1205" t="s">
        <v>156</v>
      </c>
      <c r="P1205">
        <v>4110026445</v>
      </c>
      <c r="Q1205" t="s">
        <v>170</v>
      </c>
      <c r="R1205">
        <v>5000</v>
      </c>
      <c r="S1205" t="s">
        <v>166</v>
      </c>
      <c r="V1205" t="s">
        <v>167</v>
      </c>
      <c r="W1205">
        <v>1502020104</v>
      </c>
      <c r="X1205" t="s">
        <v>26</v>
      </c>
      <c r="Y1205" t="str">
        <f>VLOOKUP(W1205,Sheet4!$A$5:$B$71,2,0)</f>
        <v>RE STYLING</v>
      </c>
      <c r="Z1205">
        <v>87082900</v>
      </c>
      <c r="AA1205">
        <v>15</v>
      </c>
      <c r="AB1205" t="s">
        <v>159</v>
      </c>
      <c r="AC1205" s="24">
        <v>6585.55</v>
      </c>
      <c r="AD1205" t="s">
        <v>160</v>
      </c>
      <c r="AE1205" s="24">
        <v>98783.25</v>
      </c>
      <c r="AF1205">
        <v>0</v>
      </c>
      <c r="AG1205" s="24">
        <v>98783.25</v>
      </c>
      <c r="AH1205">
        <v>0</v>
      </c>
      <c r="AI1205">
        <v>0</v>
      </c>
      <c r="AJ1205">
        <v>0</v>
      </c>
      <c r="AK1205">
        <v>0</v>
      </c>
      <c r="AL1205" s="24">
        <v>98783.25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 s="24">
        <v>98783.25</v>
      </c>
      <c r="AV1205">
        <v>0</v>
      </c>
      <c r="AW1205">
        <v>0</v>
      </c>
      <c r="AX1205">
        <v>311000</v>
      </c>
      <c r="AY1205" t="s">
        <v>161</v>
      </c>
      <c r="AZ1205">
        <v>49.75</v>
      </c>
      <c r="BA1205">
        <v>49.75</v>
      </c>
      <c r="BB1205">
        <v>0</v>
      </c>
      <c r="BC1205" t="s">
        <v>171</v>
      </c>
      <c r="BD1205">
        <v>1509</v>
      </c>
      <c r="BE1205" t="s">
        <v>169</v>
      </c>
      <c r="BF1205" t="s">
        <v>163</v>
      </c>
      <c r="BG1205" t="s">
        <v>164</v>
      </c>
    </row>
    <row r="1206" spans="1:59">
      <c r="A1206">
        <v>1115</v>
      </c>
      <c r="B1206">
        <v>1115</v>
      </c>
      <c r="C1206">
        <v>10</v>
      </c>
      <c r="D1206">
        <v>2</v>
      </c>
      <c r="E1206" t="s">
        <v>152</v>
      </c>
      <c r="F1206" t="s">
        <v>153</v>
      </c>
      <c r="G1206" t="s">
        <v>154</v>
      </c>
      <c r="H1206">
        <v>1526006944</v>
      </c>
      <c r="I1206">
        <v>1000007230</v>
      </c>
      <c r="L1206" t="s">
        <v>362</v>
      </c>
      <c r="M1206">
        <v>5100001925</v>
      </c>
      <c r="N1206" t="s">
        <v>155</v>
      </c>
      <c r="O1206" t="s">
        <v>156</v>
      </c>
      <c r="P1206">
        <v>4110055667</v>
      </c>
      <c r="Q1206" t="s">
        <v>185</v>
      </c>
      <c r="R1206">
        <v>5000</v>
      </c>
      <c r="S1206" t="s">
        <v>166</v>
      </c>
      <c r="V1206" t="s">
        <v>167</v>
      </c>
      <c r="W1206">
        <v>1502040317</v>
      </c>
      <c r="X1206" t="s">
        <v>73</v>
      </c>
      <c r="Y1206" t="str">
        <f>VLOOKUP(W1206,Sheet4!$A$5:$B$71,2,0)</f>
        <v>Re Side Door</v>
      </c>
      <c r="Z1206">
        <v>87082900</v>
      </c>
      <c r="AA1206">
        <v>120</v>
      </c>
      <c r="AB1206" t="s">
        <v>159</v>
      </c>
      <c r="AC1206">
        <v>506.59</v>
      </c>
      <c r="AD1206" t="s">
        <v>160</v>
      </c>
      <c r="AE1206" s="24">
        <v>60790.8</v>
      </c>
      <c r="AF1206">
        <v>0</v>
      </c>
      <c r="AG1206" s="24">
        <v>60790.8</v>
      </c>
      <c r="AH1206">
        <v>0</v>
      </c>
      <c r="AI1206">
        <v>0</v>
      </c>
      <c r="AJ1206">
        <v>0</v>
      </c>
      <c r="AK1206">
        <v>0</v>
      </c>
      <c r="AL1206" s="24">
        <v>60790.8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 s="24">
        <v>60790.8</v>
      </c>
      <c r="AV1206">
        <v>0</v>
      </c>
      <c r="AW1206">
        <v>0</v>
      </c>
      <c r="AX1206">
        <v>311000</v>
      </c>
      <c r="AY1206" t="s">
        <v>161</v>
      </c>
      <c r="AZ1206">
        <v>2.27</v>
      </c>
      <c r="BA1206">
        <v>2.27</v>
      </c>
      <c r="BB1206">
        <v>0</v>
      </c>
      <c r="BC1206" t="s">
        <v>186</v>
      </c>
      <c r="BD1206">
        <v>1511</v>
      </c>
      <c r="BE1206" t="s">
        <v>174</v>
      </c>
      <c r="BF1206" t="s">
        <v>163</v>
      </c>
      <c r="BG1206" t="s">
        <v>164</v>
      </c>
    </row>
    <row r="1207" spans="1:59">
      <c r="A1207">
        <v>1115</v>
      </c>
      <c r="B1207">
        <v>1115</v>
      </c>
      <c r="C1207">
        <v>10</v>
      </c>
      <c r="D1207">
        <v>2</v>
      </c>
      <c r="E1207" t="s">
        <v>152</v>
      </c>
      <c r="F1207" t="s">
        <v>153</v>
      </c>
      <c r="G1207" t="s">
        <v>154</v>
      </c>
      <c r="H1207">
        <v>1526006945</v>
      </c>
      <c r="I1207">
        <v>1000007231</v>
      </c>
      <c r="L1207" t="s">
        <v>362</v>
      </c>
      <c r="M1207">
        <v>5100001925</v>
      </c>
      <c r="N1207" t="s">
        <v>155</v>
      </c>
      <c r="O1207" t="s">
        <v>156</v>
      </c>
      <c r="P1207">
        <v>4110055667</v>
      </c>
      <c r="Q1207" t="s">
        <v>185</v>
      </c>
      <c r="R1207">
        <v>5000</v>
      </c>
      <c r="S1207" t="s">
        <v>166</v>
      </c>
      <c r="V1207" t="s">
        <v>167</v>
      </c>
      <c r="W1207">
        <v>1502040318</v>
      </c>
      <c r="X1207" t="s">
        <v>72</v>
      </c>
      <c r="Y1207" t="str">
        <f>VLOOKUP(W1207,Sheet4!$A$5:$B$71,2,0)</f>
        <v>Re Side Door</v>
      </c>
      <c r="Z1207">
        <v>87082900</v>
      </c>
      <c r="AA1207">
        <v>120</v>
      </c>
      <c r="AB1207" t="s">
        <v>159</v>
      </c>
      <c r="AC1207">
        <v>506.59</v>
      </c>
      <c r="AD1207" t="s">
        <v>160</v>
      </c>
      <c r="AE1207" s="24">
        <v>60790.8</v>
      </c>
      <c r="AF1207">
        <v>0</v>
      </c>
      <c r="AG1207" s="24">
        <v>60790.8</v>
      </c>
      <c r="AH1207">
        <v>0</v>
      </c>
      <c r="AI1207">
        <v>0</v>
      </c>
      <c r="AJ1207">
        <v>0</v>
      </c>
      <c r="AK1207">
        <v>0</v>
      </c>
      <c r="AL1207" s="24">
        <v>60790.8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s="24">
        <v>60790.8</v>
      </c>
      <c r="AV1207">
        <v>0</v>
      </c>
      <c r="AW1207">
        <v>0</v>
      </c>
      <c r="AX1207">
        <v>311000</v>
      </c>
      <c r="AY1207" t="s">
        <v>161</v>
      </c>
      <c r="AZ1207">
        <v>2.27</v>
      </c>
      <c r="BA1207">
        <v>2.27</v>
      </c>
      <c r="BB1207">
        <v>0</v>
      </c>
      <c r="BC1207" t="s">
        <v>187</v>
      </c>
      <c r="BD1207">
        <v>1511</v>
      </c>
      <c r="BE1207" t="s">
        <v>174</v>
      </c>
      <c r="BF1207" t="s">
        <v>163</v>
      </c>
      <c r="BG1207" t="s">
        <v>164</v>
      </c>
    </row>
    <row r="1208" spans="1:59">
      <c r="A1208">
        <v>1115</v>
      </c>
      <c r="B1208">
        <v>1115</v>
      </c>
      <c r="C1208">
        <v>10</v>
      </c>
      <c r="D1208">
        <v>2</v>
      </c>
      <c r="E1208" t="s">
        <v>152</v>
      </c>
      <c r="F1208" t="s">
        <v>153</v>
      </c>
      <c r="G1208" t="s">
        <v>154</v>
      </c>
      <c r="H1208">
        <v>1526006946</v>
      </c>
      <c r="I1208">
        <v>1000007232</v>
      </c>
      <c r="L1208" t="s">
        <v>362</v>
      </c>
      <c r="M1208">
        <v>5100001949</v>
      </c>
      <c r="N1208" t="s">
        <v>155</v>
      </c>
      <c r="O1208" t="s">
        <v>156</v>
      </c>
      <c r="P1208">
        <v>4110063766</v>
      </c>
      <c r="Q1208" t="s">
        <v>252</v>
      </c>
      <c r="R1208">
        <v>5000</v>
      </c>
      <c r="S1208" t="s">
        <v>166</v>
      </c>
      <c r="V1208" t="s">
        <v>167</v>
      </c>
      <c r="W1208">
        <v>1502040322</v>
      </c>
      <c r="X1208" t="s">
        <v>250</v>
      </c>
      <c r="Y1208" t="str">
        <f>VLOOKUP(W1208,Sheet4!$A$5:$B$71,2,0)</f>
        <v>DASH BOARD</v>
      </c>
      <c r="Z1208">
        <v>87082900</v>
      </c>
      <c r="AA1208">
        <v>90</v>
      </c>
      <c r="AB1208" t="s">
        <v>159</v>
      </c>
      <c r="AC1208">
        <v>291.27999999999997</v>
      </c>
      <c r="AD1208" t="s">
        <v>160</v>
      </c>
      <c r="AE1208" s="24">
        <v>26215.200000000001</v>
      </c>
      <c r="AF1208">
        <v>0</v>
      </c>
      <c r="AG1208" s="24">
        <v>26215.200000000001</v>
      </c>
      <c r="AH1208">
        <v>0</v>
      </c>
      <c r="AI1208">
        <v>0</v>
      </c>
      <c r="AJ1208">
        <v>0</v>
      </c>
      <c r="AK1208">
        <v>0</v>
      </c>
      <c r="AL1208" s="24">
        <v>26215.200000000001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 s="24">
        <v>26215.200000000001</v>
      </c>
      <c r="AV1208">
        <v>0</v>
      </c>
      <c r="AW1208">
        <v>0</v>
      </c>
      <c r="AX1208">
        <v>311000</v>
      </c>
      <c r="AY1208" t="s">
        <v>161</v>
      </c>
      <c r="AZ1208">
        <v>2.37</v>
      </c>
      <c r="BA1208">
        <v>2.37</v>
      </c>
      <c r="BB1208">
        <v>0</v>
      </c>
      <c r="BC1208" t="s">
        <v>251</v>
      </c>
      <c r="BD1208">
        <v>1511</v>
      </c>
      <c r="BE1208" t="s">
        <v>174</v>
      </c>
      <c r="BF1208" t="s">
        <v>163</v>
      </c>
      <c r="BG1208" t="s">
        <v>164</v>
      </c>
    </row>
    <row r="1209" spans="1:59">
      <c r="A1209">
        <v>1115</v>
      </c>
      <c r="B1209">
        <v>1115</v>
      </c>
      <c r="C1209">
        <v>10</v>
      </c>
      <c r="D1209">
        <v>2</v>
      </c>
      <c r="E1209" t="s">
        <v>152</v>
      </c>
      <c r="F1209" t="s">
        <v>153</v>
      </c>
      <c r="G1209" t="s">
        <v>154</v>
      </c>
      <c r="H1209">
        <v>1526006947</v>
      </c>
      <c r="I1209">
        <v>1000007233</v>
      </c>
      <c r="L1209" t="s">
        <v>362</v>
      </c>
      <c r="M1209">
        <v>5100001928</v>
      </c>
      <c r="N1209" t="s">
        <v>155</v>
      </c>
      <c r="O1209" t="s">
        <v>156</v>
      </c>
      <c r="P1209">
        <v>4110057393</v>
      </c>
      <c r="Q1209" t="s">
        <v>192</v>
      </c>
      <c r="R1209">
        <v>5000</v>
      </c>
      <c r="S1209" t="s">
        <v>166</v>
      </c>
      <c r="V1209" t="s">
        <v>167</v>
      </c>
      <c r="W1209">
        <v>1502020122</v>
      </c>
      <c r="X1209" t="s">
        <v>70</v>
      </c>
      <c r="Y1209" t="str">
        <f>VLOOKUP(W1209,Sheet4!$A$5:$B$71,2,0)</f>
        <v>MAX UG NEW EV</v>
      </c>
      <c r="Z1209">
        <v>87082900</v>
      </c>
      <c r="AA1209">
        <v>10</v>
      </c>
      <c r="AB1209" t="s">
        <v>159</v>
      </c>
      <c r="AC1209" s="24">
        <v>9566.51</v>
      </c>
      <c r="AD1209" t="s">
        <v>160</v>
      </c>
      <c r="AE1209" s="24">
        <v>95665.1</v>
      </c>
      <c r="AF1209">
        <v>0</v>
      </c>
      <c r="AG1209" s="24">
        <v>95665.1</v>
      </c>
      <c r="AH1209">
        <v>0</v>
      </c>
      <c r="AI1209">
        <v>0</v>
      </c>
      <c r="AJ1209">
        <v>0</v>
      </c>
      <c r="AK1209">
        <v>0</v>
      </c>
      <c r="AL1209" s="24">
        <v>95665.1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 s="24">
        <v>95665.1</v>
      </c>
      <c r="AV1209">
        <v>0</v>
      </c>
      <c r="AW1209">
        <v>0</v>
      </c>
      <c r="AX1209">
        <v>311000</v>
      </c>
      <c r="AY1209" t="s">
        <v>161</v>
      </c>
      <c r="AZ1209">
        <v>0</v>
      </c>
      <c r="BA1209">
        <v>61</v>
      </c>
      <c r="BB1209">
        <v>-61</v>
      </c>
      <c r="BC1209" t="s">
        <v>193</v>
      </c>
      <c r="BD1209">
        <v>1509</v>
      </c>
      <c r="BE1209" t="s">
        <v>169</v>
      </c>
      <c r="BF1209" t="s">
        <v>163</v>
      </c>
      <c r="BG1209" t="s">
        <v>164</v>
      </c>
    </row>
    <row r="1210" spans="1:59">
      <c r="A1210">
        <v>1115</v>
      </c>
      <c r="B1210">
        <v>1115</v>
      </c>
      <c r="C1210">
        <v>10</v>
      </c>
      <c r="D1210">
        <v>2</v>
      </c>
      <c r="E1210" t="s">
        <v>152</v>
      </c>
      <c r="F1210" t="s">
        <v>153</v>
      </c>
      <c r="G1210" t="s">
        <v>154</v>
      </c>
      <c r="H1210">
        <v>1526006948</v>
      </c>
      <c r="I1210">
        <v>1000007234</v>
      </c>
      <c r="L1210" t="s">
        <v>362</v>
      </c>
      <c r="M1210">
        <v>5100001928</v>
      </c>
      <c r="N1210" t="s">
        <v>155</v>
      </c>
      <c r="O1210" t="s">
        <v>156</v>
      </c>
      <c r="P1210">
        <v>4110057393</v>
      </c>
      <c r="Q1210" t="s">
        <v>192</v>
      </c>
      <c r="R1210">
        <v>5000</v>
      </c>
      <c r="S1210" t="s">
        <v>166</v>
      </c>
      <c r="V1210" t="s">
        <v>167</v>
      </c>
      <c r="W1210">
        <v>1502020122</v>
      </c>
      <c r="X1210" t="s">
        <v>70</v>
      </c>
      <c r="Y1210" t="str">
        <f>VLOOKUP(W1210,Sheet4!$A$5:$B$71,2,0)</f>
        <v>MAX UG NEW EV</v>
      </c>
      <c r="Z1210">
        <v>87082900</v>
      </c>
      <c r="AA1210">
        <v>10</v>
      </c>
      <c r="AB1210" t="s">
        <v>159</v>
      </c>
      <c r="AC1210" s="24">
        <v>9566.51</v>
      </c>
      <c r="AD1210" t="s">
        <v>160</v>
      </c>
      <c r="AE1210" s="24">
        <v>95665.1</v>
      </c>
      <c r="AF1210">
        <v>0</v>
      </c>
      <c r="AG1210" s="24">
        <v>95665.1</v>
      </c>
      <c r="AH1210">
        <v>0</v>
      </c>
      <c r="AI1210">
        <v>0</v>
      </c>
      <c r="AJ1210">
        <v>0</v>
      </c>
      <c r="AK1210">
        <v>0</v>
      </c>
      <c r="AL1210" s="24">
        <v>95665.1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 s="24">
        <v>95665.1</v>
      </c>
      <c r="AV1210">
        <v>0</v>
      </c>
      <c r="AW1210">
        <v>0</v>
      </c>
      <c r="AX1210">
        <v>311000</v>
      </c>
      <c r="AY1210" t="s">
        <v>161</v>
      </c>
      <c r="AZ1210">
        <v>0</v>
      </c>
      <c r="BA1210">
        <v>61</v>
      </c>
      <c r="BB1210">
        <v>-61</v>
      </c>
      <c r="BC1210" t="s">
        <v>193</v>
      </c>
      <c r="BD1210">
        <v>1509</v>
      </c>
      <c r="BE1210" t="s">
        <v>169</v>
      </c>
      <c r="BF1210" t="s">
        <v>163</v>
      </c>
      <c r="BG1210" t="s">
        <v>164</v>
      </c>
    </row>
    <row r="1211" spans="1:59">
      <c r="A1211">
        <v>1115</v>
      </c>
      <c r="B1211">
        <v>1115</v>
      </c>
      <c r="C1211">
        <v>10</v>
      </c>
      <c r="D1211">
        <v>2</v>
      </c>
      <c r="E1211" t="s">
        <v>152</v>
      </c>
      <c r="F1211" t="s">
        <v>153</v>
      </c>
      <c r="G1211" t="s">
        <v>154</v>
      </c>
      <c r="H1211">
        <v>1526006949</v>
      </c>
      <c r="I1211">
        <v>1000007235</v>
      </c>
      <c r="L1211" t="s">
        <v>362</v>
      </c>
      <c r="M1211">
        <v>5100001928</v>
      </c>
      <c r="N1211" t="s">
        <v>155</v>
      </c>
      <c r="O1211" t="s">
        <v>156</v>
      </c>
      <c r="P1211">
        <v>4110057393</v>
      </c>
      <c r="Q1211" t="s">
        <v>192</v>
      </c>
      <c r="R1211">
        <v>5000</v>
      </c>
      <c r="S1211" t="s">
        <v>166</v>
      </c>
      <c r="V1211" t="s">
        <v>167</v>
      </c>
      <c r="W1211">
        <v>1502020122</v>
      </c>
      <c r="X1211" t="s">
        <v>70</v>
      </c>
      <c r="Y1211" t="str">
        <f>VLOOKUP(W1211,Sheet4!$A$5:$B$71,2,0)</f>
        <v>MAX UG NEW EV</v>
      </c>
      <c r="Z1211">
        <v>87082900</v>
      </c>
      <c r="AA1211">
        <v>10</v>
      </c>
      <c r="AB1211" t="s">
        <v>159</v>
      </c>
      <c r="AC1211" s="24">
        <v>9566.51</v>
      </c>
      <c r="AD1211" t="s">
        <v>160</v>
      </c>
      <c r="AE1211" s="24">
        <v>95665.1</v>
      </c>
      <c r="AF1211">
        <v>0</v>
      </c>
      <c r="AG1211" s="24">
        <v>95665.1</v>
      </c>
      <c r="AH1211">
        <v>0</v>
      </c>
      <c r="AI1211">
        <v>0</v>
      </c>
      <c r="AJ1211">
        <v>0</v>
      </c>
      <c r="AK1211">
        <v>0</v>
      </c>
      <c r="AL1211" s="24">
        <v>95665.1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 s="24">
        <v>95665.1</v>
      </c>
      <c r="AV1211">
        <v>0</v>
      </c>
      <c r="AW1211">
        <v>0</v>
      </c>
      <c r="AX1211">
        <v>311000</v>
      </c>
      <c r="AY1211" t="s">
        <v>161</v>
      </c>
      <c r="AZ1211">
        <v>0</v>
      </c>
      <c r="BA1211">
        <v>61</v>
      </c>
      <c r="BB1211">
        <v>-61</v>
      </c>
      <c r="BC1211" t="s">
        <v>193</v>
      </c>
      <c r="BD1211">
        <v>1509</v>
      </c>
      <c r="BE1211" t="s">
        <v>169</v>
      </c>
      <c r="BF1211" t="s">
        <v>163</v>
      </c>
      <c r="BG1211" t="s">
        <v>164</v>
      </c>
    </row>
    <row r="1212" spans="1:59">
      <c r="A1212">
        <v>1115</v>
      </c>
      <c r="B1212">
        <v>1115</v>
      </c>
      <c r="C1212">
        <v>10</v>
      </c>
      <c r="D1212">
        <v>2</v>
      </c>
      <c r="E1212" t="s">
        <v>152</v>
      </c>
      <c r="F1212" t="s">
        <v>153</v>
      </c>
      <c r="G1212" t="s">
        <v>154</v>
      </c>
      <c r="H1212">
        <v>1526006950</v>
      </c>
      <c r="I1212">
        <v>1000007236</v>
      </c>
      <c r="L1212" t="s">
        <v>362</v>
      </c>
      <c r="M1212">
        <v>5100001928</v>
      </c>
      <c r="N1212" t="s">
        <v>155</v>
      </c>
      <c r="O1212" t="s">
        <v>156</v>
      </c>
      <c r="P1212">
        <v>4110057393</v>
      </c>
      <c r="Q1212" t="s">
        <v>192</v>
      </c>
      <c r="R1212">
        <v>5000</v>
      </c>
      <c r="S1212" t="s">
        <v>166</v>
      </c>
      <c r="V1212" t="s">
        <v>167</v>
      </c>
      <c r="W1212">
        <v>1502020122</v>
      </c>
      <c r="X1212" t="s">
        <v>70</v>
      </c>
      <c r="Y1212" t="str">
        <f>VLOOKUP(W1212,Sheet4!$A$5:$B$71,2,0)</f>
        <v>MAX UG NEW EV</v>
      </c>
      <c r="Z1212">
        <v>87082900</v>
      </c>
      <c r="AA1212">
        <v>10</v>
      </c>
      <c r="AB1212" t="s">
        <v>159</v>
      </c>
      <c r="AC1212" s="24">
        <v>9566.51</v>
      </c>
      <c r="AD1212" t="s">
        <v>160</v>
      </c>
      <c r="AE1212" s="24">
        <v>95665.1</v>
      </c>
      <c r="AF1212">
        <v>0</v>
      </c>
      <c r="AG1212" s="24">
        <v>95665.1</v>
      </c>
      <c r="AH1212">
        <v>0</v>
      </c>
      <c r="AI1212">
        <v>0</v>
      </c>
      <c r="AJ1212">
        <v>0</v>
      </c>
      <c r="AK1212">
        <v>0</v>
      </c>
      <c r="AL1212" s="24">
        <v>95665.1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 s="24">
        <v>95665.1</v>
      </c>
      <c r="AV1212">
        <v>0</v>
      </c>
      <c r="AW1212">
        <v>0</v>
      </c>
      <c r="AX1212">
        <v>311000</v>
      </c>
      <c r="AY1212" t="s">
        <v>161</v>
      </c>
      <c r="AZ1212">
        <v>0</v>
      </c>
      <c r="BA1212">
        <v>61</v>
      </c>
      <c r="BB1212">
        <v>-61</v>
      </c>
      <c r="BC1212" t="s">
        <v>193</v>
      </c>
      <c r="BD1212">
        <v>1509</v>
      </c>
      <c r="BE1212" t="s">
        <v>169</v>
      </c>
      <c r="BF1212" t="s">
        <v>163</v>
      </c>
      <c r="BG1212" t="s">
        <v>164</v>
      </c>
    </row>
    <row r="1213" spans="1:59">
      <c r="A1213">
        <v>1115</v>
      </c>
      <c r="B1213">
        <v>1115</v>
      </c>
      <c r="C1213">
        <v>10</v>
      </c>
      <c r="D1213">
        <v>2</v>
      </c>
      <c r="E1213" t="s">
        <v>152</v>
      </c>
      <c r="F1213" t="s">
        <v>153</v>
      </c>
      <c r="G1213" t="s">
        <v>154</v>
      </c>
      <c r="H1213">
        <v>1526006951</v>
      </c>
      <c r="I1213">
        <v>1000007237</v>
      </c>
      <c r="L1213" t="s">
        <v>362</v>
      </c>
      <c r="M1213">
        <v>5100001928</v>
      </c>
      <c r="N1213" t="s">
        <v>155</v>
      </c>
      <c r="O1213" t="s">
        <v>156</v>
      </c>
      <c r="P1213">
        <v>4110057393</v>
      </c>
      <c r="Q1213" t="s">
        <v>192</v>
      </c>
      <c r="R1213">
        <v>5000</v>
      </c>
      <c r="S1213" t="s">
        <v>166</v>
      </c>
      <c r="V1213" t="s">
        <v>167</v>
      </c>
      <c r="W1213">
        <v>1502020122</v>
      </c>
      <c r="X1213" t="s">
        <v>70</v>
      </c>
      <c r="Y1213" t="str">
        <f>VLOOKUP(W1213,Sheet4!$A$5:$B$71,2,0)</f>
        <v>MAX UG NEW EV</v>
      </c>
      <c r="Z1213">
        <v>87082900</v>
      </c>
      <c r="AA1213">
        <v>10</v>
      </c>
      <c r="AB1213" t="s">
        <v>159</v>
      </c>
      <c r="AC1213" s="24">
        <v>9566.51</v>
      </c>
      <c r="AD1213" t="s">
        <v>160</v>
      </c>
      <c r="AE1213" s="24">
        <v>95665.1</v>
      </c>
      <c r="AF1213">
        <v>0</v>
      </c>
      <c r="AG1213" s="24">
        <v>95665.1</v>
      </c>
      <c r="AH1213">
        <v>0</v>
      </c>
      <c r="AI1213">
        <v>0</v>
      </c>
      <c r="AJ1213">
        <v>0</v>
      </c>
      <c r="AK1213">
        <v>0</v>
      </c>
      <c r="AL1213" s="24">
        <v>95665.1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 s="24">
        <v>95665.1</v>
      </c>
      <c r="AV1213">
        <v>0</v>
      </c>
      <c r="AW1213">
        <v>0</v>
      </c>
      <c r="AX1213">
        <v>311000</v>
      </c>
      <c r="AY1213" t="s">
        <v>161</v>
      </c>
      <c r="AZ1213">
        <v>0</v>
      </c>
      <c r="BA1213">
        <v>61</v>
      </c>
      <c r="BB1213">
        <v>-61</v>
      </c>
      <c r="BC1213" t="s">
        <v>193</v>
      </c>
      <c r="BD1213">
        <v>1509</v>
      </c>
      <c r="BE1213" t="s">
        <v>169</v>
      </c>
      <c r="BF1213" t="s">
        <v>163</v>
      </c>
      <c r="BG1213" t="s">
        <v>164</v>
      </c>
    </row>
    <row r="1214" spans="1:59">
      <c r="A1214">
        <v>1115</v>
      </c>
      <c r="B1214">
        <v>1115</v>
      </c>
      <c r="C1214">
        <v>10</v>
      </c>
      <c r="D1214">
        <v>2</v>
      </c>
      <c r="E1214" t="s">
        <v>152</v>
      </c>
      <c r="F1214" t="s">
        <v>153</v>
      </c>
      <c r="G1214" t="s">
        <v>154</v>
      </c>
      <c r="H1214">
        <v>1526006952</v>
      </c>
      <c r="I1214">
        <v>1000007238</v>
      </c>
      <c r="L1214" t="s">
        <v>366</v>
      </c>
      <c r="M1214">
        <v>5100001227</v>
      </c>
      <c r="N1214" t="s">
        <v>155</v>
      </c>
      <c r="O1214" t="s">
        <v>156</v>
      </c>
      <c r="P1214">
        <v>4110011319</v>
      </c>
      <c r="Q1214" t="s">
        <v>175</v>
      </c>
      <c r="R1214">
        <v>5000</v>
      </c>
      <c r="S1214" t="s">
        <v>166</v>
      </c>
      <c r="V1214" t="s">
        <v>167</v>
      </c>
      <c r="W1214">
        <v>1502020074</v>
      </c>
      <c r="X1214" t="s">
        <v>28</v>
      </c>
      <c r="Y1214" t="str">
        <f>VLOOKUP(W1214,Sheet4!$A$5:$B$71,2,0)</f>
        <v>MAX UG NEW</v>
      </c>
      <c r="Z1214">
        <v>87082900</v>
      </c>
      <c r="AA1214">
        <v>10</v>
      </c>
      <c r="AB1214" t="s">
        <v>159</v>
      </c>
      <c r="AC1214" s="24">
        <v>9397.5</v>
      </c>
      <c r="AD1214" t="s">
        <v>160</v>
      </c>
      <c r="AE1214" s="24">
        <v>93975</v>
      </c>
      <c r="AF1214">
        <v>0</v>
      </c>
      <c r="AG1214" s="24">
        <v>93975</v>
      </c>
      <c r="AH1214">
        <v>0</v>
      </c>
      <c r="AI1214">
        <v>0</v>
      </c>
      <c r="AJ1214">
        <v>0</v>
      </c>
      <c r="AK1214">
        <v>0</v>
      </c>
      <c r="AL1214" s="24">
        <v>93975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 s="24">
        <v>93975</v>
      </c>
      <c r="AV1214">
        <v>0</v>
      </c>
      <c r="AW1214">
        <v>0</v>
      </c>
      <c r="AX1214">
        <v>311000</v>
      </c>
      <c r="AY1214" t="s">
        <v>161</v>
      </c>
      <c r="AZ1214">
        <v>69.5</v>
      </c>
      <c r="BA1214">
        <v>69.5</v>
      </c>
      <c r="BB1214">
        <v>0</v>
      </c>
      <c r="BC1214" t="s">
        <v>176</v>
      </c>
      <c r="BD1214">
        <v>1509</v>
      </c>
      <c r="BE1214" t="s">
        <v>169</v>
      </c>
      <c r="BF1214" t="s">
        <v>163</v>
      </c>
      <c r="BG1214" t="s">
        <v>164</v>
      </c>
    </row>
    <row r="1215" spans="1:59">
      <c r="A1215">
        <v>1115</v>
      </c>
      <c r="B1215">
        <v>1115</v>
      </c>
      <c r="C1215">
        <v>10</v>
      </c>
      <c r="D1215">
        <v>2</v>
      </c>
      <c r="E1215" t="s">
        <v>152</v>
      </c>
      <c r="F1215" t="s">
        <v>153</v>
      </c>
      <c r="G1215" t="s">
        <v>154</v>
      </c>
      <c r="H1215">
        <v>1526006953</v>
      </c>
      <c r="I1215">
        <v>1000007239</v>
      </c>
      <c r="L1215" t="s">
        <v>366</v>
      </c>
      <c r="M1215">
        <v>5100001227</v>
      </c>
      <c r="N1215" t="s">
        <v>155</v>
      </c>
      <c r="O1215" t="s">
        <v>156</v>
      </c>
      <c r="P1215">
        <v>4110011319</v>
      </c>
      <c r="Q1215" t="s">
        <v>175</v>
      </c>
      <c r="R1215">
        <v>5000</v>
      </c>
      <c r="S1215" t="s">
        <v>166</v>
      </c>
      <c r="V1215" t="s">
        <v>167</v>
      </c>
      <c r="W1215">
        <v>1502020074</v>
      </c>
      <c r="X1215" t="s">
        <v>28</v>
      </c>
      <c r="Y1215" t="str">
        <f>VLOOKUP(W1215,Sheet4!$A$5:$B$71,2,0)</f>
        <v>MAX UG NEW</v>
      </c>
      <c r="Z1215">
        <v>87082900</v>
      </c>
      <c r="AA1215">
        <v>10</v>
      </c>
      <c r="AB1215" t="s">
        <v>159</v>
      </c>
      <c r="AC1215" s="24">
        <v>9397.5</v>
      </c>
      <c r="AD1215" t="s">
        <v>160</v>
      </c>
      <c r="AE1215" s="24">
        <v>93975</v>
      </c>
      <c r="AF1215">
        <v>0</v>
      </c>
      <c r="AG1215" s="24">
        <v>93975</v>
      </c>
      <c r="AH1215">
        <v>0</v>
      </c>
      <c r="AI1215">
        <v>0</v>
      </c>
      <c r="AJ1215">
        <v>0</v>
      </c>
      <c r="AK1215">
        <v>0</v>
      </c>
      <c r="AL1215" s="24">
        <v>93975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 s="24">
        <v>93975</v>
      </c>
      <c r="AV1215">
        <v>0</v>
      </c>
      <c r="AW1215">
        <v>0</v>
      </c>
      <c r="AX1215">
        <v>311000</v>
      </c>
      <c r="AY1215" t="s">
        <v>161</v>
      </c>
      <c r="AZ1215">
        <v>69.5</v>
      </c>
      <c r="BA1215">
        <v>69.5</v>
      </c>
      <c r="BB1215">
        <v>0</v>
      </c>
      <c r="BC1215" t="s">
        <v>176</v>
      </c>
      <c r="BD1215">
        <v>1509</v>
      </c>
      <c r="BE1215" t="s">
        <v>169</v>
      </c>
      <c r="BF1215" t="s">
        <v>163</v>
      </c>
      <c r="BG1215" t="s">
        <v>164</v>
      </c>
    </row>
    <row r="1216" spans="1:59">
      <c r="A1216">
        <v>1115</v>
      </c>
      <c r="B1216">
        <v>1115</v>
      </c>
      <c r="C1216">
        <v>10</v>
      </c>
      <c r="D1216">
        <v>2</v>
      </c>
      <c r="E1216" t="s">
        <v>152</v>
      </c>
      <c r="F1216" t="s">
        <v>153</v>
      </c>
      <c r="G1216" t="s">
        <v>154</v>
      </c>
      <c r="H1216">
        <v>1526006954</v>
      </c>
      <c r="I1216">
        <v>1000007240</v>
      </c>
      <c r="L1216" t="s">
        <v>366</v>
      </c>
      <c r="M1216">
        <v>5100001227</v>
      </c>
      <c r="N1216" t="s">
        <v>155</v>
      </c>
      <c r="O1216" t="s">
        <v>156</v>
      </c>
      <c r="P1216">
        <v>4110011319</v>
      </c>
      <c r="Q1216" t="s">
        <v>175</v>
      </c>
      <c r="R1216">
        <v>5000</v>
      </c>
      <c r="S1216" t="s">
        <v>166</v>
      </c>
      <c r="V1216" t="s">
        <v>167</v>
      </c>
      <c r="W1216">
        <v>1502020074</v>
      </c>
      <c r="X1216" t="s">
        <v>28</v>
      </c>
      <c r="Y1216" t="str">
        <f>VLOOKUP(W1216,Sheet4!$A$5:$B$71,2,0)</f>
        <v>MAX UG NEW</v>
      </c>
      <c r="Z1216">
        <v>87082900</v>
      </c>
      <c r="AA1216">
        <v>10</v>
      </c>
      <c r="AB1216" t="s">
        <v>159</v>
      </c>
      <c r="AC1216" s="24">
        <v>9397.5</v>
      </c>
      <c r="AD1216" t="s">
        <v>160</v>
      </c>
      <c r="AE1216" s="24">
        <v>93975</v>
      </c>
      <c r="AF1216">
        <v>0</v>
      </c>
      <c r="AG1216" s="24">
        <v>93975</v>
      </c>
      <c r="AH1216">
        <v>0</v>
      </c>
      <c r="AI1216">
        <v>0</v>
      </c>
      <c r="AJ1216">
        <v>0</v>
      </c>
      <c r="AK1216">
        <v>0</v>
      </c>
      <c r="AL1216" s="24">
        <v>93975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 s="24">
        <v>93975</v>
      </c>
      <c r="AV1216">
        <v>0</v>
      </c>
      <c r="AW1216">
        <v>0</v>
      </c>
      <c r="AX1216">
        <v>311000</v>
      </c>
      <c r="AY1216" t="s">
        <v>161</v>
      </c>
      <c r="AZ1216">
        <v>69.5</v>
      </c>
      <c r="BA1216">
        <v>69.5</v>
      </c>
      <c r="BB1216">
        <v>0</v>
      </c>
      <c r="BC1216" t="s">
        <v>176</v>
      </c>
      <c r="BD1216">
        <v>1509</v>
      </c>
      <c r="BE1216" t="s">
        <v>169</v>
      </c>
      <c r="BF1216" t="s">
        <v>163</v>
      </c>
      <c r="BG1216" t="s">
        <v>164</v>
      </c>
    </row>
    <row r="1217" spans="1:59">
      <c r="A1217">
        <v>1115</v>
      </c>
      <c r="B1217">
        <v>1115</v>
      </c>
      <c r="C1217">
        <v>10</v>
      </c>
      <c r="D1217">
        <v>2</v>
      </c>
      <c r="E1217" t="s">
        <v>152</v>
      </c>
      <c r="F1217" t="s">
        <v>153</v>
      </c>
      <c r="G1217" t="s">
        <v>154</v>
      </c>
      <c r="H1217">
        <v>1526006955</v>
      </c>
      <c r="I1217">
        <v>1000007241</v>
      </c>
      <c r="L1217" t="s">
        <v>366</v>
      </c>
      <c r="M1217">
        <v>5100001227</v>
      </c>
      <c r="N1217" t="s">
        <v>155</v>
      </c>
      <c r="O1217" t="s">
        <v>156</v>
      </c>
      <c r="P1217">
        <v>4110011319</v>
      </c>
      <c r="Q1217" t="s">
        <v>175</v>
      </c>
      <c r="R1217">
        <v>5000</v>
      </c>
      <c r="S1217" t="s">
        <v>166</v>
      </c>
      <c r="V1217" t="s">
        <v>167</v>
      </c>
      <c r="W1217">
        <v>1502020074</v>
      </c>
      <c r="X1217" t="s">
        <v>28</v>
      </c>
      <c r="Y1217" t="str">
        <f>VLOOKUP(W1217,Sheet4!$A$5:$B$71,2,0)</f>
        <v>MAX UG NEW</v>
      </c>
      <c r="Z1217">
        <v>87082900</v>
      </c>
      <c r="AA1217">
        <v>10</v>
      </c>
      <c r="AB1217" t="s">
        <v>159</v>
      </c>
      <c r="AC1217" s="24">
        <v>9397.5</v>
      </c>
      <c r="AD1217" t="s">
        <v>160</v>
      </c>
      <c r="AE1217" s="24">
        <v>93975</v>
      </c>
      <c r="AF1217">
        <v>0</v>
      </c>
      <c r="AG1217" s="24">
        <v>93975</v>
      </c>
      <c r="AH1217">
        <v>0</v>
      </c>
      <c r="AI1217">
        <v>0</v>
      </c>
      <c r="AJ1217">
        <v>0</v>
      </c>
      <c r="AK1217">
        <v>0</v>
      </c>
      <c r="AL1217" s="24">
        <v>93975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 s="24">
        <v>93975</v>
      </c>
      <c r="AV1217">
        <v>0</v>
      </c>
      <c r="AW1217">
        <v>0</v>
      </c>
      <c r="AX1217">
        <v>311000</v>
      </c>
      <c r="AY1217" t="s">
        <v>161</v>
      </c>
      <c r="AZ1217">
        <v>69.5</v>
      </c>
      <c r="BA1217">
        <v>69.5</v>
      </c>
      <c r="BB1217">
        <v>0</v>
      </c>
      <c r="BC1217" t="s">
        <v>176</v>
      </c>
      <c r="BD1217">
        <v>1509</v>
      </c>
      <c r="BE1217" t="s">
        <v>169</v>
      </c>
      <c r="BF1217" t="s">
        <v>163</v>
      </c>
      <c r="BG1217" t="s">
        <v>164</v>
      </c>
    </row>
    <row r="1218" spans="1:59">
      <c r="A1218">
        <v>1115</v>
      </c>
      <c r="B1218">
        <v>1115</v>
      </c>
      <c r="C1218">
        <v>10</v>
      </c>
      <c r="D1218">
        <v>2</v>
      </c>
      <c r="E1218" t="s">
        <v>152</v>
      </c>
      <c r="F1218" t="s">
        <v>153</v>
      </c>
      <c r="G1218" t="s">
        <v>154</v>
      </c>
      <c r="H1218">
        <v>1526006956</v>
      </c>
      <c r="I1218">
        <v>1000007242</v>
      </c>
      <c r="L1218" t="s">
        <v>366</v>
      </c>
      <c r="M1218">
        <v>5100001227</v>
      </c>
      <c r="N1218" t="s">
        <v>155</v>
      </c>
      <c r="O1218" t="s">
        <v>156</v>
      </c>
      <c r="P1218">
        <v>4110011319</v>
      </c>
      <c r="Q1218" t="s">
        <v>175</v>
      </c>
      <c r="R1218">
        <v>5000</v>
      </c>
      <c r="S1218" t="s">
        <v>166</v>
      </c>
      <c r="V1218" t="s">
        <v>167</v>
      </c>
      <c r="W1218">
        <v>1502020074</v>
      </c>
      <c r="X1218" t="s">
        <v>28</v>
      </c>
      <c r="Y1218" t="str">
        <f>VLOOKUP(W1218,Sheet4!$A$5:$B$71,2,0)</f>
        <v>MAX UG NEW</v>
      </c>
      <c r="Z1218">
        <v>87082900</v>
      </c>
      <c r="AA1218">
        <v>10</v>
      </c>
      <c r="AB1218" t="s">
        <v>159</v>
      </c>
      <c r="AC1218" s="24">
        <v>9397.5</v>
      </c>
      <c r="AD1218" t="s">
        <v>160</v>
      </c>
      <c r="AE1218" s="24">
        <v>93975</v>
      </c>
      <c r="AF1218">
        <v>0</v>
      </c>
      <c r="AG1218" s="24">
        <v>93975</v>
      </c>
      <c r="AH1218">
        <v>0</v>
      </c>
      <c r="AI1218">
        <v>0</v>
      </c>
      <c r="AJ1218">
        <v>0</v>
      </c>
      <c r="AK1218">
        <v>0</v>
      </c>
      <c r="AL1218" s="24">
        <v>93975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 s="24">
        <v>93975</v>
      </c>
      <c r="AV1218">
        <v>0</v>
      </c>
      <c r="AW1218">
        <v>0</v>
      </c>
      <c r="AX1218">
        <v>311000</v>
      </c>
      <c r="AY1218" t="s">
        <v>161</v>
      </c>
      <c r="AZ1218">
        <v>69.5</v>
      </c>
      <c r="BA1218">
        <v>69.5</v>
      </c>
      <c r="BB1218">
        <v>0</v>
      </c>
      <c r="BC1218" t="s">
        <v>176</v>
      </c>
      <c r="BD1218">
        <v>1509</v>
      </c>
      <c r="BE1218" t="s">
        <v>169</v>
      </c>
      <c r="BF1218" t="s">
        <v>163</v>
      </c>
      <c r="BG1218" t="s">
        <v>164</v>
      </c>
    </row>
    <row r="1219" spans="1:59">
      <c r="A1219">
        <v>1115</v>
      </c>
      <c r="B1219">
        <v>1115</v>
      </c>
      <c r="C1219">
        <v>10</v>
      </c>
      <c r="D1219">
        <v>2</v>
      </c>
      <c r="E1219" t="s">
        <v>152</v>
      </c>
      <c r="F1219" t="s">
        <v>153</v>
      </c>
      <c r="G1219" t="s">
        <v>154</v>
      </c>
      <c r="H1219">
        <v>1526006957</v>
      </c>
      <c r="I1219">
        <v>1000007243</v>
      </c>
      <c r="L1219" t="s">
        <v>366</v>
      </c>
      <c r="M1219">
        <v>5100001227</v>
      </c>
      <c r="N1219" t="s">
        <v>155</v>
      </c>
      <c r="O1219" t="s">
        <v>156</v>
      </c>
      <c r="P1219">
        <v>4110011319</v>
      </c>
      <c r="Q1219" t="s">
        <v>175</v>
      </c>
      <c r="R1219">
        <v>5000</v>
      </c>
      <c r="S1219" t="s">
        <v>166</v>
      </c>
      <c r="V1219" t="s">
        <v>167</v>
      </c>
      <c r="W1219">
        <v>1502020074</v>
      </c>
      <c r="X1219" t="s">
        <v>28</v>
      </c>
      <c r="Y1219" t="str">
        <f>VLOOKUP(W1219,Sheet4!$A$5:$B$71,2,0)</f>
        <v>MAX UG NEW</v>
      </c>
      <c r="Z1219">
        <v>87082900</v>
      </c>
      <c r="AA1219">
        <v>10</v>
      </c>
      <c r="AB1219" t="s">
        <v>159</v>
      </c>
      <c r="AC1219" s="24">
        <v>9397.5</v>
      </c>
      <c r="AD1219" t="s">
        <v>160</v>
      </c>
      <c r="AE1219" s="24">
        <v>93975</v>
      </c>
      <c r="AF1219">
        <v>0</v>
      </c>
      <c r="AG1219" s="24">
        <v>93975</v>
      </c>
      <c r="AH1219">
        <v>0</v>
      </c>
      <c r="AI1219">
        <v>0</v>
      </c>
      <c r="AJ1219">
        <v>0</v>
      </c>
      <c r="AK1219">
        <v>0</v>
      </c>
      <c r="AL1219" s="24">
        <v>93975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 s="24">
        <v>93975</v>
      </c>
      <c r="AV1219">
        <v>0</v>
      </c>
      <c r="AW1219">
        <v>0</v>
      </c>
      <c r="AX1219">
        <v>311000</v>
      </c>
      <c r="AY1219" t="s">
        <v>161</v>
      </c>
      <c r="AZ1219">
        <v>69.5</v>
      </c>
      <c r="BA1219">
        <v>69.5</v>
      </c>
      <c r="BB1219">
        <v>0</v>
      </c>
      <c r="BC1219" t="s">
        <v>176</v>
      </c>
      <c r="BD1219">
        <v>1509</v>
      </c>
      <c r="BE1219" t="s">
        <v>169</v>
      </c>
      <c r="BF1219" t="s">
        <v>163</v>
      </c>
      <c r="BG1219" t="s">
        <v>164</v>
      </c>
    </row>
    <row r="1220" spans="1:59">
      <c r="A1220">
        <v>1115</v>
      </c>
      <c r="B1220">
        <v>1115</v>
      </c>
      <c r="C1220">
        <v>10</v>
      </c>
      <c r="D1220">
        <v>2</v>
      </c>
      <c r="E1220" t="s">
        <v>152</v>
      </c>
      <c r="F1220" t="s">
        <v>153</v>
      </c>
      <c r="G1220" t="s">
        <v>154</v>
      </c>
      <c r="H1220">
        <v>1526006958</v>
      </c>
      <c r="I1220">
        <v>1000007244</v>
      </c>
      <c r="L1220" t="s">
        <v>366</v>
      </c>
      <c r="M1220">
        <v>5100001227</v>
      </c>
      <c r="N1220" t="s">
        <v>155</v>
      </c>
      <c r="O1220" t="s">
        <v>156</v>
      </c>
      <c r="P1220">
        <v>4110011319</v>
      </c>
      <c r="Q1220" t="s">
        <v>175</v>
      </c>
      <c r="R1220">
        <v>5000</v>
      </c>
      <c r="S1220" t="s">
        <v>166</v>
      </c>
      <c r="V1220" t="s">
        <v>167</v>
      </c>
      <c r="W1220">
        <v>1502020074</v>
      </c>
      <c r="X1220" t="s">
        <v>28</v>
      </c>
      <c r="Y1220" t="str">
        <f>VLOOKUP(W1220,Sheet4!$A$5:$B$71,2,0)</f>
        <v>MAX UG NEW</v>
      </c>
      <c r="Z1220">
        <v>87082900</v>
      </c>
      <c r="AA1220">
        <v>10</v>
      </c>
      <c r="AB1220" t="s">
        <v>159</v>
      </c>
      <c r="AC1220" s="24">
        <v>9397.5</v>
      </c>
      <c r="AD1220" t="s">
        <v>160</v>
      </c>
      <c r="AE1220" s="24">
        <v>93975</v>
      </c>
      <c r="AF1220">
        <v>0</v>
      </c>
      <c r="AG1220" s="24">
        <v>93975</v>
      </c>
      <c r="AH1220">
        <v>0</v>
      </c>
      <c r="AI1220">
        <v>0</v>
      </c>
      <c r="AJ1220">
        <v>0</v>
      </c>
      <c r="AK1220">
        <v>0</v>
      </c>
      <c r="AL1220" s="24">
        <v>93975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 s="24">
        <v>93975</v>
      </c>
      <c r="AV1220">
        <v>0</v>
      </c>
      <c r="AW1220">
        <v>0</v>
      </c>
      <c r="AX1220">
        <v>311000</v>
      </c>
      <c r="AY1220" t="s">
        <v>161</v>
      </c>
      <c r="AZ1220">
        <v>69.5</v>
      </c>
      <c r="BA1220">
        <v>69.5</v>
      </c>
      <c r="BB1220">
        <v>0</v>
      </c>
      <c r="BC1220" t="s">
        <v>176</v>
      </c>
      <c r="BD1220">
        <v>1509</v>
      </c>
      <c r="BE1220" t="s">
        <v>169</v>
      </c>
      <c r="BF1220" t="s">
        <v>163</v>
      </c>
      <c r="BG1220" t="s">
        <v>164</v>
      </c>
    </row>
    <row r="1221" spans="1:59">
      <c r="A1221">
        <v>1115</v>
      </c>
      <c r="B1221">
        <v>1115</v>
      </c>
      <c r="C1221">
        <v>10</v>
      </c>
      <c r="D1221">
        <v>2</v>
      </c>
      <c r="E1221" t="s">
        <v>152</v>
      </c>
      <c r="F1221" t="s">
        <v>153</v>
      </c>
      <c r="G1221" t="s">
        <v>154</v>
      </c>
      <c r="H1221">
        <v>1526006959</v>
      </c>
      <c r="I1221">
        <v>1000007245</v>
      </c>
      <c r="L1221" t="s">
        <v>366</v>
      </c>
      <c r="M1221">
        <v>5100001227</v>
      </c>
      <c r="N1221" t="s">
        <v>155</v>
      </c>
      <c r="O1221" t="s">
        <v>156</v>
      </c>
      <c r="P1221">
        <v>4110011319</v>
      </c>
      <c r="Q1221" t="s">
        <v>175</v>
      </c>
      <c r="R1221">
        <v>5000</v>
      </c>
      <c r="S1221" t="s">
        <v>166</v>
      </c>
      <c r="V1221" t="s">
        <v>167</v>
      </c>
      <c r="W1221">
        <v>1502020074</v>
      </c>
      <c r="X1221" t="s">
        <v>28</v>
      </c>
      <c r="Y1221" t="str">
        <f>VLOOKUP(W1221,Sheet4!$A$5:$B$71,2,0)</f>
        <v>MAX UG NEW</v>
      </c>
      <c r="Z1221">
        <v>87082900</v>
      </c>
      <c r="AA1221">
        <v>10</v>
      </c>
      <c r="AB1221" t="s">
        <v>159</v>
      </c>
      <c r="AC1221" s="24">
        <v>9397.5</v>
      </c>
      <c r="AD1221" t="s">
        <v>160</v>
      </c>
      <c r="AE1221" s="24">
        <v>93975</v>
      </c>
      <c r="AF1221">
        <v>0</v>
      </c>
      <c r="AG1221" s="24">
        <v>93975</v>
      </c>
      <c r="AH1221">
        <v>0</v>
      </c>
      <c r="AI1221">
        <v>0</v>
      </c>
      <c r="AJ1221">
        <v>0</v>
      </c>
      <c r="AK1221">
        <v>0</v>
      </c>
      <c r="AL1221" s="24">
        <v>93975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 s="24">
        <v>93975</v>
      </c>
      <c r="AV1221">
        <v>0</v>
      </c>
      <c r="AW1221">
        <v>0</v>
      </c>
      <c r="AX1221">
        <v>311000</v>
      </c>
      <c r="AY1221" t="s">
        <v>161</v>
      </c>
      <c r="AZ1221">
        <v>69.5</v>
      </c>
      <c r="BA1221">
        <v>69.5</v>
      </c>
      <c r="BB1221">
        <v>0</v>
      </c>
      <c r="BC1221" t="s">
        <v>176</v>
      </c>
      <c r="BD1221">
        <v>1509</v>
      </c>
      <c r="BE1221" t="s">
        <v>169</v>
      </c>
      <c r="BF1221" t="s">
        <v>163</v>
      </c>
      <c r="BG1221" t="s">
        <v>164</v>
      </c>
    </row>
    <row r="1222" spans="1:59">
      <c r="A1222">
        <v>1115</v>
      </c>
      <c r="B1222">
        <v>1115</v>
      </c>
      <c r="C1222">
        <v>10</v>
      </c>
      <c r="D1222">
        <v>2</v>
      </c>
      <c r="E1222" t="s">
        <v>152</v>
      </c>
      <c r="F1222" t="s">
        <v>153</v>
      </c>
      <c r="G1222" t="s">
        <v>154</v>
      </c>
      <c r="H1222">
        <v>1526006960</v>
      </c>
      <c r="I1222">
        <v>1000007246</v>
      </c>
      <c r="L1222" t="s">
        <v>366</v>
      </c>
      <c r="M1222">
        <v>5100001227</v>
      </c>
      <c r="N1222" t="s">
        <v>155</v>
      </c>
      <c r="O1222" t="s">
        <v>156</v>
      </c>
      <c r="P1222">
        <v>4110011319</v>
      </c>
      <c r="Q1222" t="s">
        <v>175</v>
      </c>
      <c r="R1222">
        <v>5000</v>
      </c>
      <c r="S1222" t="s">
        <v>166</v>
      </c>
      <c r="V1222" t="s">
        <v>167</v>
      </c>
      <c r="W1222">
        <v>1502020074</v>
      </c>
      <c r="X1222" t="s">
        <v>28</v>
      </c>
      <c r="Y1222" t="str">
        <f>VLOOKUP(W1222,Sheet4!$A$5:$B$71,2,0)</f>
        <v>MAX UG NEW</v>
      </c>
      <c r="Z1222">
        <v>87082900</v>
      </c>
      <c r="AA1222">
        <v>10</v>
      </c>
      <c r="AB1222" t="s">
        <v>159</v>
      </c>
      <c r="AC1222" s="24">
        <v>9397.5</v>
      </c>
      <c r="AD1222" t="s">
        <v>160</v>
      </c>
      <c r="AE1222" s="24">
        <v>93975</v>
      </c>
      <c r="AF1222">
        <v>0</v>
      </c>
      <c r="AG1222" s="24">
        <v>93975</v>
      </c>
      <c r="AH1222">
        <v>0</v>
      </c>
      <c r="AI1222">
        <v>0</v>
      </c>
      <c r="AJ1222">
        <v>0</v>
      </c>
      <c r="AK1222">
        <v>0</v>
      </c>
      <c r="AL1222" s="24">
        <v>93975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 s="24">
        <v>93975</v>
      </c>
      <c r="AV1222">
        <v>0</v>
      </c>
      <c r="AW1222">
        <v>0</v>
      </c>
      <c r="AX1222">
        <v>311000</v>
      </c>
      <c r="AY1222" t="s">
        <v>161</v>
      </c>
      <c r="AZ1222">
        <v>69.5</v>
      </c>
      <c r="BA1222">
        <v>69.5</v>
      </c>
      <c r="BB1222">
        <v>0</v>
      </c>
      <c r="BC1222" t="s">
        <v>176</v>
      </c>
      <c r="BD1222">
        <v>1509</v>
      </c>
      <c r="BE1222" t="s">
        <v>169</v>
      </c>
      <c r="BF1222" t="s">
        <v>163</v>
      </c>
      <c r="BG1222" t="s">
        <v>164</v>
      </c>
    </row>
    <row r="1223" spans="1:59">
      <c r="A1223">
        <v>1115</v>
      </c>
      <c r="B1223">
        <v>1115</v>
      </c>
      <c r="C1223">
        <v>10</v>
      </c>
      <c r="D1223">
        <v>2</v>
      </c>
      <c r="E1223" t="s">
        <v>152</v>
      </c>
      <c r="F1223" t="s">
        <v>153</v>
      </c>
      <c r="G1223" t="s">
        <v>154</v>
      </c>
      <c r="H1223">
        <v>1526006962</v>
      </c>
      <c r="I1223">
        <v>1000007247</v>
      </c>
      <c r="L1223" t="s">
        <v>366</v>
      </c>
      <c r="M1223">
        <v>5100001636</v>
      </c>
      <c r="N1223" t="s">
        <v>155</v>
      </c>
      <c r="O1223" t="s">
        <v>156</v>
      </c>
      <c r="P1223">
        <v>4110026445</v>
      </c>
      <c r="Q1223" t="s">
        <v>170</v>
      </c>
      <c r="R1223">
        <v>5000</v>
      </c>
      <c r="S1223" t="s">
        <v>166</v>
      </c>
      <c r="V1223" t="s">
        <v>167</v>
      </c>
      <c r="W1223">
        <v>1502020104</v>
      </c>
      <c r="X1223" t="s">
        <v>26</v>
      </c>
      <c r="Y1223" t="str">
        <f>VLOOKUP(W1223,Sheet4!$A$5:$B$71,2,0)</f>
        <v>RE STYLING</v>
      </c>
      <c r="Z1223">
        <v>87082900</v>
      </c>
      <c r="AA1223">
        <v>15</v>
      </c>
      <c r="AB1223" t="s">
        <v>159</v>
      </c>
      <c r="AC1223" s="24">
        <v>6585.55</v>
      </c>
      <c r="AD1223" t="s">
        <v>160</v>
      </c>
      <c r="AE1223" s="24">
        <v>98783.25</v>
      </c>
      <c r="AF1223">
        <v>0</v>
      </c>
      <c r="AG1223" s="24">
        <v>98783.25</v>
      </c>
      <c r="AH1223">
        <v>0</v>
      </c>
      <c r="AI1223">
        <v>0</v>
      </c>
      <c r="AJ1223">
        <v>0</v>
      </c>
      <c r="AK1223">
        <v>0</v>
      </c>
      <c r="AL1223" s="24">
        <v>98783.25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 s="24">
        <v>98783.25</v>
      </c>
      <c r="AV1223">
        <v>0</v>
      </c>
      <c r="AW1223">
        <v>0</v>
      </c>
      <c r="AX1223">
        <v>311000</v>
      </c>
      <c r="AY1223" t="s">
        <v>161</v>
      </c>
      <c r="AZ1223">
        <v>49.75</v>
      </c>
      <c r="BA1223">
        <v>49.75</v>
      </c>
      <c r="BB1223">
        <v>0</v>
      </c>
      <c r="BC1223" t="s">
        <v>171</v>
      </c>
      <c r="BD1223">
        <v>1509</v>
      </c>
      <c r="BE1223" t="s">
        <v>169</v>
      </c>
      <c r="BF1223" t="s">
        <v>163</v>
      </c>
      <c r="BG1223" t="s">
        <v>164</v>
      </c>
    </row>
    <row r="1224" spans="1:59">
      <c r="A1224">
        <v>1115</v>
      </c>
      <c r="B1224">
        <v>1115</v>
      </c>
      <c r="C1224">
        <v>10</v>
      </c>
      <c r="D1224">
        <v>2</v>
      </c>
      <c r="E1224" t="s">
        <v>152</v>
      </c>
      <c r="F1224" t="s">
        <v>153</v>
      </c>
      <c r="G1224" t="s">
        <v>154</v>
      </c>
      <c r="H1224">
        <v>1526006963</v>
      </c>
      <c r="I1224">
        <v>1000007248</v>
      </c>
      <c r="L1224" t="s">
        <v>366</v>
      </c>
      <c r="M1224">
        <v>5100001636</v>
      </c>
      <c r="N1224" t="s">
        <v>155</v>
      </c>
      <c r="O1224" t="s">
        <v>156</v>
      </c>
      <c r="P1224">
        <v>4110026445</v>
      </c>
      <c r="Q1224" t="s">
        <v>170</v>
      </c>
      <c r="R1224">
        <v>5000</v>
      </c>
      <c r="S1224" t="s">
        <v>166</v>
      </c>
      <c r="V1224" t="s">
        <v>167</v>
      </c>
      <c r="W1224">
        <v>1502020104</v>
      </c>
      <c r="X1224" t="s">
        <v>26</v>
      </c>
      <c r="Y1224" t="str">
        <f>VLOOKUP(W1224,Sheet4!$A$5:$B$71,2,0)</f>
        <v>RE STYLING</v>
      </c>
      <c r="Z1224">
        <v>87082900</v>
      </c>
      <c r="AA1224">
        <v>15</v>
      </c>
      <c r="AB1224" t="s">
        <v>159</v>
      </c>
      <c r="AC1224" s="24">
        <v>6585.55</v>
      </c>
      <c r="AD1224" t="s">
        <v>160</v>
      </c>
      <c r="AE1224" s="24">
        <v>98783.25</v>
      </c>
      <c r="AF1224">
        <v>0</v>
      </c>
      <c r="AG1224" s="24">
        <v>98783.25</v>
      </c>
      <c r="AH1224">
        <v>0</v>
      </c>
      <c r="AI1224">
        <v>0</v>
      </c>
      <c r="AJ1224">
        <v>0</v>
      </c>
      <c r="AK1224">
        <v>0</v>
      </c>
      <c r="AL1224" s="24">
        <v>98783.25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 s="24">
        <v>98783.25</v>
      </c>
      <c r="AV1224">
        <v>0</v>
      </c>
      <c r="AW1224">
        <v>0</v>
      </c>
      <c r="AX1224">
        <v>311000</v>
      </c>
      <c r="AY1224" t="s">
        <v>161</v>
      </c>
      <c r="AZ1224">
        <v>49.75</v>
      </c>
      <c r="BA1224">
        <v>49.75</v>
      </c>
      <c r="BB1224">
        <v>0</v>
      </c>
      <c r="BC1224" t="s">
        <v>171</v>
      </c>
      <c r="BD1224">
        <v>1509</v>
      </c>
      <c r="BE1224" t="s">
        <v>169</v>
      </c>
      <c r="BF1224" t="s">
        <v>163</v>
      </c>
      <c r="BG1224" t="s">
        <v>164</v>
      </c>
    </row>
    <row r="1225" spans="1:59">
      <c r="A1225">
        <v>1115</v>
      </c>
      <c r="B1225">
        <v>1115</v>
      </c>
      <c r="C1225">
        <v>10</v>
      </c>
      <c r="D1225">
        <v>2</v>
      </c>
      <c r="E1225" t="s">
        <v>152</v>
      </c>
      <c r="F1225" t="s">
        <v>153</v>
      </c>
      <c r="G1225" t="s">
        <v>154</v>
      </c>
      <c r="H1225">
        <v>1526006964</v>
      </c>
      <c r="I1225">
        <v>1000007249</v>
      </c>
      <c r="L1225" t="s">
        <v>366</v>
      </c>
      <c r="M1225">
        <v>5100001899</v>
      </c>
      <c r="N1225" t="s">
        <v>155</v>
      </c>
      <c r="O1225" t="s">
        <v>156</v>
      </c>
      <c r="P1225">
        <v>4110041854</v>
      </c>
      <c r="Q1225" t="s">
        <v>172</v>
      </c>
      <c r="R1225">
        <v>5000</v>
      </c>
      <c r="S1225" t="s">
        <v>166</v>
      </c>
      <c r="V1225" t="s">
        <v>167</v>
      </c>
      <c r="W1225">
        <v>1502040267</v>
      </c>
      <c r="X1225" t="s">
        <v>63</v>
      </c>
      <c r="Y1225" t="str">
        <f>VLOOKUP(W1225,Sheet4!$A$5:$B$71,2,0)</f>
        <v>DASH BOARD</v>
      </c>
      <c r="Z1225">
        <v>87082900</v>
      </c>
      <c r="AA1225">
        <v>384</v>
      </c>
      <c r="AB1225" t="s">
        <v>159</v>
      </c>
      <c r="AC1225">
        <v>290.89999999999998</v>
      </c>
      <c r="AD1225" t="s">
        <v>160</v>
      </c>
      <c r="AE1225" s="24">
        <v>111705.60000000001</v>
      </c>
      <c r="AF1225">
        <v>0</v>
      </c>
      <c r="AG1225" s="24">
        <v>111705.60000000001</v>
      </c>
      <c r="AH1225">
        <v>0</v>
      </c>
      <c r="AI1225">
        <v>0</v>
      </c>
      <c r="AJ1225">
        <v>0</v>
      </c>
      <c r="AK1225">
        <v>0</v>
      </c>
      <c r="AL1225" s="24">
        <v>111705.60000000001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 s="24">
        <v>111705.60000000001</v>
      </c>
      <c r="AV1225">
        <v>0</v>
      </c>
      <c r="AW1225">
        <v>0</v>
      </c>
      <c r="AX1225">
        <v>311000</v>
      </c>
      <c r="AY1225" t="s">
        <v>161</v>
      </c>
      <c r="AZ1225">
        <v>4.5</v>
      </c>
      <c r="BA1225">
        <v>4.5</v>
      </c>
      <c r="BB1225">
        <v>0</v>
      </c>
      <c r="BC1225" t="s">
        <v>173</v>
      </c>
      <c r="BD1225">
        <v>1511</v>
      </c>
      <c r="BE1225" t="s">
        <v>174</v>
      </c>
      <c r="BF1225" t="s">
        <v>163</v>
      </c>
      <c r="BG1225" t="s">
        <v>164</v>
      </c>
    </row>
    <row r="1226" spans="1:59">
      <c r="A1226">
        <v>1115</v>
      </c>
      <c r="B1226">
        <v>1115</v>
      </c>
      <c r="C1226">
        <v>10</v>
      </c>
      <c r="D1226">
        <v>2</v>
      </c>
      <c r="E1226" t="s">
        <v>152</v>
      </c>
      <c r="F1226" t="s">
        <v>153</v>
      </c>
      <c r="G1226" t="s">
        <v>154</v>
      </c>
      <c r="H1226">
        <v>1526006965</v>
      </c>
      <c r="I1226">
        <v>1000007250</v>
      </c>
      <c r="L1226" t="s">
        <v>366</v>
      </c>
      <c r="M1226">
        <v>5100001949</v>
      </c>
      <c r="N1226" t="s">
        <v>155</v>
      </c>
      <c r="O1226" t="s">
        <v>156</v>
      </c>
      <c r="P1226">
        <v>4110063766</v>
      </c>
      <c r="Q1226" t="s">
        <v>252</v>
      </c>
      <c r="R1226">
        <v>5000</v>
      </c>
      <c r="S1226" t="s">
        <v>166</v>
      </c>
      <c r="V1226" t="s">
        <v>167</v>
      </c>
      <c r="W1226">
        <v>1502040322</v>
      </c>
      <c r="X1226" t="s">
        <v>250</v>
      </c>
      <c r="Y1226" t="str">
        <f>VLOOKUP(W1226,Sheet4!$A$5:$B$71,2,0)</f>
        <v>DASH BOARD</v>
      </c>
      <c r="Z1226">
        <v>87082900</v>
      </c>
      <c r="AA1226">
        <v>120</v>
      </c>
      <c r="AB1226" t="s">
        <v>159</v>
      </c>
      <c r="AC1226">
        <v>291.27999999999997</v>
      </c>
      <c r="AD1226" t="s">
        <v>160</v>
      </c>
      <c r="AE1226" s="24">
        <v>34953.599999999999</v>
      </c>
      <c r="AF1226">
        <v>0</v>
      </c>
      <c r="AG1226" s="24">
        <v>34953.599999999999</v>
      </c>
      <c r="AH1226">
        <v>0</v>
      </c>
      <c r="AI1226">
        <v>0</v>
      </c>
      <c r="AJ1226">
        <v>0</v>
      </c>
      <c r="AK1226">
        <v>0</v>
      </c>
      <c r="AL1226" s="24">
        <v>34953.599999999999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 s="24">
        <v>34953.599999999999</v>
      </c>
      <c r="AV1226">
        <v>0</v>
      </c>
      <c r="AW1226">
        <v>0</v>
      </c>
      <c r="AX1226">
        <v>311000</v>
      </c>
      <c r="AY1226" t="s">
        <v>161</v>
      </c>
      <c r="AZ1226">
        <v>2.37</v>
      </c>
      <c r="BA1226">
        <v>2.37</v>
      </c>
      <c r="BB1226">
        <v>0</v>
      </c>
      <c r="BC1226" t="s">
        <v>251</v>
      </c>
      <c r="BD1226">
        <v>1511</v>
      </c>
      <c r="BE1226" t="s">
        <v>174</v>
      </c>
      <c r="BF1226" t="s">
        <v>163</v>
      </c>
      <c r="BG1226" t="s">
        <v>164</v>
      </c>
    </row>
    <row r="1227" spans="1:59">
      <c r="A1227">
        <v>1115</v>
      </c>
      <c r="B1227">
        <v>1115</v>
      </c>
      <c r="C1227">
        <v>10</v>
      </c>
      <c r="D1227">
        <v>2</v>
      </c>
      <c r="E1227" t="s">
        <v>152</v>
      </c>
      <c r="F1227" t="s">
        <v>153</v>
      </c>
      <c r="G1227" t="s">
        <v>154</v>
      </c>
      <c r="H1227">
        <v>1526006797</v>
      </c>
      <c r="I1227">
        <v>1000007076</v>
      </c>
      <c r="L1227" t="s">
        <v>362</v>
      </c>
      <c r="M1227">
        <v>5100001636</v>
      </c>
      <c r="N1227" t="s">
        <v>155</v>
      </c>
      <c r="O1227" t="s">
        <v>156</v>
      </c>
      <c r="P1227">
        <v>4110026445</v>
      </c>
      <c r="Q1227" t="s">
        <v>170</v>
      </c>
      <c r="R1227">
        <v>5000</v>
      </c>
      <c r="S1227" t="s">
        <v>166</v>
      </c>
      <c r="V1227" t="s">
        <v>167</v>
      </c>
      <c r="W1227">
        <v>1502020104</v>
      </c>
      <c r="X1227" t="s">
        <v>26</v>
      </c>
      <c r="Y1227" t="str">
        <f>VLOOKUP(W1227,Sheet4!$A$5:$B$71,2,0)</f>
        <v>RE STYLING</v>
      </c>
      <c r="Z1227">
        <v>87082900</v>
      </c>
      <c r="AA1227">
        <v>15</v>
      </c>
      <c r="AB1227" t="s">
        <v>159</v>
      </c>
      <c r="AC1227" s="24">
        <v>6585.55</v>
      </c>
      <c r="AD1227" t="s">
        <v>160</v>
      </c>
      <c r="AE1227" s="24">
        <v>98783.25</v>
      </c>
      <c r="AF1227">
        <v>0</v>
      </c>
      <c r="AG1227" s="24">
        <v>98783.25</v>
      </c>
      <c r="AH1227">
        <v>0</v>
      </c>
      <c r="AI1227">
        <v>0</v>
      </c>
      <c r="AJ1227">
        <v>0</v>
      </c>
      <c r="AK1227">
        <v>0</v>
      </c>
      <c r="AL1227" s="24">
        <v>98783.25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 s="24">
        <v>98783.25</v>
      </c>
      <c r="AV1227">
        <v>0</v>
      </c>
      <c r="AW1227">
        <v>0</v>
      </c>
      <c r="AX1227">
        <v>311000</v>
      </c>
      <c r="AY1227" t="s">
        <v>161</v>
      </c>
      <c r="AZ1227">
        <v>49.75</v>
      </c>
      <c r="BA1227">
        <v>49.75</v>
      </c>
      <c r="BB1227">
        <v>0</v>
      </c>
      <c r="BC1227" t="s">
        <v>171</v>
      </c>
      <c r="BD1227">
        <v>1509</v>
      </c>
      <c r="BE1227" t="s">
        <v>169</v>
      </c>
      <c r="BF1227" t="s">
        <v>163</v>
      </c>
      <c r="BG1227" t="s">
        <v>164</v>
      </c>
    </row>
    <row r="1228" spans="1:59">
      <c r="A1228">
        <v>1115</v>
      </c>
      <c r="B1228">
        <v>1115</v>
      </c>
      <c r="C1228">
        <v>10</v>
      </c>
      <c r="D1228">
        <v>2</v>
      </c>
      <c r="E1228" t="s">
        <v>152</v>
      </c>
      <c r="F1228" t="s">
        <v>153</v>
      </c>
      <c r="G1228" t="s">
        <v>154</v>
      </c>
      <c r="H1228">
        <v>1526006798</v>
      </c>
      <c r="I1228">
        <v>1000007077</v>
      </c>
      <c r="L1228" t="s">
        <v>362</v>
      </c>
      <c r="M1228">
        <v>5100001636</v>
      </c>
      <c r="N1228" t="s">
        <v>155</v>
      </c>
      <c r="O1228" t="s">
        <v>156</v>
      </c>
      <c r="P1228">
        <v>4110026445</v>
      </c>
      <c r="Q1228" t="s">
        <v>170</v>
      </c>
      <c r="R1228">
        <v>5000</v>
      </c>
      <c r="S1228" t="s">
        <v>166</v>
      </c>
      <c r="V1228" t="s">
        <v>167</v>
      </c>
      <c r="W1228">
        <v>1502020104</v>
      </c>
      <c r="X1228" t="s">
        <v>26</v>
      </c>
      <c r="Y1228" t="str">
        <f>VLOOKUP(W1228,Sheet4!$A$5:$B$71,2,0)</f>
        <v>RE STYLING</v>
      </c>
      <c r="Z1228">
        <v>87082900</v>
      </c>
      <c r="AA1228">
        <v>15</v>
      </c>
      <c r="AB1228" t="s">
        <v>159</v>
      </c>
      <c r="AC1228" s="24">
        <v>6585.55</v>
      </c>
      <c r="AD1228" t="s">
        <v>160</v>
      </c>
      <c r="AE1228" s="24">
        <v>98783.25</v>
      </c>
      <c r="AF1228">
        <v>0</v>
      </c>
      <c r="AG1228" s="24">
        <v>98783.25</v>
      </c>
      <c r="AH1228">
        <v>0</v>
      </c>
      <c r="AI1228">
        <v>0</v>
      </c>
      <c r="AJ1228">
        <v>0</v>
      </c>
      <c r="AK1228">
        <v>0</v>
      </c>
      <c r="AL1228" s="24">
        <v>98783.25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 s="24">
        <v>98783.25</v>
      </c>
      <c r="AV1228">
        <v>0</v>
      </c>
      <c r="AW1228">
        <v>0</v>
      </c>
      <c r="AX1228">
        <v>311000</v>
      </c>
      <c r="AY1228" t="s">
        <v>161</v>
      </c>
      <c r="AZ1228">
        <v>49.75</v>
      </c>
      <c r="BA1228">
        <v>49.75</v>
      </c>
      <c r="BB1228">
        <v>0</v>
      </c>
      <c r="BC1228" t="s">
        <v>171</v>
      </c>
      <c r="BD1228">
        <v>1509</v>
      </c>
      <c r="BE1228" t="s">
        <v>169</v>
      </c>
      <c r="BF1228" t="s">
        <v>163</v>
      </c>
      <c r="BG1228" t="s">
        <v>164</v>
      </c>
    </row>
    <row r="1229" spans="1:59">
      <c r="A1229">
        <v>1115</v>
      </c>
      <c r="B1229">
        <v>1115</v>
      </c>
      <c r="C1229">
        <v>10</v>
      </c>
      <c r="D1229">
        <v>2</v>
      </c>
      <c r="E1229" t="s">
        <v>152</v>
      </c>
      <c r="F1229" t="s">
        <v>153</v>
      </c>
      <c r="G1229" t="s">
        <v>154</v>
      </c>
      <c r="H1229">
        <v>1526006799</v>
      </c>
      <c r="I1229">
        <v>1000007078</v>
      </c>
      <c r="L1229" t="s">
        <v>362</v>
      </c>
      <c r="M1229">
        <v>5100001636</v>
      </c>
      <c r="N1229" t="s">
        <v>155</v>
      </c>
      <c r="O1229" t="s">
        <v>156</v>
      </c>
      <c r="P1229">
        <v>4110026445</v>
      </c>
      <c r="Q1229" t="s">
        <v>170</v>
      </c>
      <c r="R1229">
        <v>5000</v>
      </c>
      <c r="S1229" t="s">
        <v>166</v>
      </c>
      <c r="V1229" t="s">
        <v>167</v>
      </c>
      <c r="W1229">
        <v>1502020104</v>
      </c>
      <c r="X1229" t="s">
        <v>26</v>
      </c>
      <c r="Y1229" t="str">
        <f>VLOOKUP(W1229,Sheet4!$A$5:$B$71,2,0)</f>
        <v>RE STYLING</v>
      </c>
      <c r="Z1229">
        <v>87082900</v>
      </c>
      <c r="AA1229">
        <v>15</v>
      </c>
      <c r="AB1229" t="s">
        <v>159</v>
      </c>
      <c r="AC1229" s="24">
        <v>6585.55</v>
      </c>
      <c r="AD1229" t="s">
        <v>160</v>
      </c>
      <c r="AE1229" s="24">
        <v>98783.25</v>
      </c>
      <c r="AF1229">
        <v>0</v>
      </c>
      <c r="AG1229" s="24">
        <v>98783.25</v>
      </c>
      <c r="AH1229">
        <v>0</v>
      </c>
      <c r="AI1229">
        <v>0</v>
      </c>
      <c r="AJ1229">
        <v>0</v>
      </c>
      <c r="AK1229">
        <v>0</v>
      </c>
      <c r="AL1229" s="24">
        <v>98783.25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 s="24">
        <v>98783.25</v>
      </c>
      <c r="AV1229">
        <v>0</v>
      </c>
      <c r="AW1229">
        <v>0</v>
      </c>
      <c r="AX1229">
        <v>311000</v>
      </c>
      <c r="AY1229" t="s">
        <v>161</v>
      </c>
      <c r="AZ1229">
        <v>49.75</v>
      </c>
      <c r="BA1229">
        <v>49.75</v>
      </c>
      <c r="BB1229">
        <v>0</v>
      </c>
      <c r="BC1229" t="s">
        <v>171</v>
      </c>
      <c r="BD1229">
        <v>1509</v>
      </c>
      <c r="BE1229" t="s">
        <v>169</v>
      </c>
      <c r="BF1229" t="s">
        <v>163</v>
      </c>
      <c r="BG1229" t="s">
        <v>164</v>
      </c>
    </row>
    <row r="1230" spans="1:59">
      <c r="A1230">
        <v>1115</v>
      </c>
      <c r="B1230">
        <v>1115</v>
      </c>
      <c r="C1230">
        <v>10</v>
      </c>
      <c r="D1230">
        <v>2</v>
      </c>
      <c r="E1230" t="s">
        <v>152</v>
      </c>
      <c r="F1230" t="s">
        <v>153</v>
      </c>
      <c r="G1230" t="s">
        <v>154</v>
      </c>
      <c r="H1230">
        <v>1526006800</v>
      </c>
      <c r="I1230">
        <v>1000007079</v>
      </c>
      <c r="L1230" t="s">
        <v>362</v>
      </c>
      <c r="M1230">
        <v>5100001636</v>
      </c>
      <c r="N1230" t="s">
        <v>155</v>
      </c>
      <c r="O1230" t="s">
        <v>156</v>
      </c>
      <c r="P1230">
        <v>4110026445</v>
      </c>
      <c r="Q1230" t="s">
        <v>170</v>
      </c>
      <c r="R1230">
        <v>5000</v>
      </c>
      <c r="S1230" t="s">
        <v>166</v>
      </c>
      <c r="V1230" t="s">
        <v>167</v>
      </c>
      <c r="W1230">
        <v>1502020104</v>
      </c>
      <c r="X1230" t="s">
        <v>26</v>
      </c>
      <c r="Y1230" t="str">
        <f>VLOOKUP(W1230,Sheet4!$A$5:$B$71,2,0)</f>
        <v>RE STYLING</v>
      </c>
      <c r="Z1230">
        <v>87082900</v>
      </c>
      <c r="AA1230">
        <v>15</v>
      </c>
      <c r="AB1230" t="s">
        <v>159</v>
      </c>
      <c r="AC1230" s="24">
        <v>6585.55</v>
      </c>
      <c r="AD1230" t="s">
        <v>160</v>
      </c>
      <c r="AE1230" s="24">
        <v>98783.25</v>
      </c>
      <c r="AF1230">
        <v>0</v>
      </c>
      <c r="AG1230" s="24">
        <v>98783.25</v>
      </c>
      <c r="AH1230">
        <v>0</v>
      </c>
      <c r="AI1230">
        <v>0</v>
      </c>
      <c r="AJ1230">
        <v>0</v>
      </c>
      <c r="AK1230">
        <v>0</v>
      </c>
      <c r="AL1230" s="24">
        <v>98783.25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 s="24">
        <v>98783.25</v>
      </c>
      <c r="AV1230">
        <v>0</v>
      </c>
      <c r="AW1230">
        <v>0</v>
      </c>
      <c r="AX1230">
        <v>311000</v>
      </c>
      <c r="AY1230" t="s">
        <v>161</v>
      </c>
      <c r="AZ1230">
        <v>49.75</v>
      </c>
      <c r="BA1230">
        <v>49.75</v>
      </c>
      <c r="BB1230">
        <v>0</v>
      </c>
      <c r="BC1230" t="s">
        <v>171</v>
      </c>
      <c r="BD1230">
        <v>1509</v>
      </c>
      <c r="BE1230" t="s">
        <v>169</v>
      </c>
      <c r="BF1230" t="s">
        <v>163</v>
      </c>
      <c r="BG1230" t="s">
        <v>164</v>
      </c>
    </row>
    <row r="1231" spans="1:59">
      <c r="A1231">
        <v>1115</v>
      </c>
      <c r="B1231">
        <v>1115</v>
      </c>
      <c r="C1231">
        <v>10</v>
      </c>
      <c r="D1231">
        <v>2</v>
      </c>
      <c r="E1231" t="s">
        <v>152</v>
      </c>
      <c r="F1231" t="s">
        <v>153</v>
      </c>
      <c r="G1231" t="s">
        <v>154</v>
      </c>
      <c r="H1231">
        <v>1526006801</v>
      </c>
      <c r="I1231">
        <v>1000007080</v>
      </c>
      <c r="L1231" t="s">
        <v>362</v>
      </c>
      <c r="M1231">
        <v>5100001603</v>
      </c>
      <c r="N1231" t="s">
        <v>155</v>
      </c>
      <c r="O1231" t="s">
        <v>156</v>
      </c>
      <c r="P1231">
        <v>4110025468</v>
      </c>
      <c r="Q1231" t="s">
        <v>165</v>
      </c>
      <c r="R1231">
        <v>5000</v>
      </c>
      <c r="S1231" t="s">
        <v>166</v>
      </c>
      <c r="V1231" t="s">
        <v>167</v>
      </c>
      <c r="W1231">
        <v>1502020102</v>
      </c>
      <c r="X1231" t="s">
        <v>58</v>
      </c>
      <c r="Y1231" t="str">
        <f>VLOOKUP(W1231,Sheet4!$A$5:$B$71,2,0)</f>
        <v>MAXIMA HD</v>
      </c>
      <c r="Z1231">
        <v>87082900</v>
      </c>
      <c r="AA1231">
        <v>8</v>
      </c>
      <c r="AB1231" t="s">
        <v>159</v>
      </c>
      <c r="AC1231" s="24">
        <v>8593.51</v>
      </c>
      <c r="AD1231" t="s">
        <v>160</v>
      </c>
      <c r="AE1231" s="24">
        <v>68748.08</v>
      </c>
      <c r="AF1231">
        <v>0</v>
      </c>
      <c r="AG1231" s="24">
        <v>68748.08</v>
      </c>
      <c r="AH1231">
        <v>0</v>
      </c>
      <c r="AI1231">
        <v>0</v>
      </c>
      <c r="AJ1231">
        <v>0</v>
      </c>
      <c r="AK1231">
        <v>0</v>
      </c>
      <c r="AL1231" s="24">
        <v>68748.08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 s="24">
        <v>68748.08</v>
      </c>
      <c r="AV1231">
        <v>0</v>
      </c>
      <c r="AW1231">
        <v>0</v>
      </c>
      <c r="AX1231">
        <v>311000</v>
      </c>
      <c r="AY1231" t="s">
        <v>161</v>
      </c>
      <c r="AZ1231">
        <v>93.34</v>
      </c>
      <c r="BA1231">
        <v>75.430000000000007</v>
      </c>
      <c r="BB1231">
        <v>17.91</v>
      </c>
      <c r="BC1231" t="s">
        <v>168</v>
      </c>
      <c r="BD1231">
        <v>1509</v>
      </c>
      <c r="BE1231" t="s">
        <v>169</v>
      </c>
      <c r="BF1231">
        <v>5094210028</v>
      </c>
      <c r="BG1231" t="s">
        <v>362</v>
      </c>
    </row>
    <row r="1232" spans="1:59">
      <c r="A1232">
        <v>1115</v>
      </c>
      <c r="B1232">
        <v>1115</v>
      </c>
      <c r="C1232">
        <v>10</v>
      </c>
      <c r="D1232">
        <v>2</v>
      </c>
      <c r="E1232" t="s">
        <v>152</v>
      </c>
      <c r="F1232" t="s">
        <v>153</v>
      </c>
      <c r="G1232" t="s">
        <v>154</v>
      </c>
      <c r="H1232">
        <v>1526006802</v>
      </c>
      <c r="I1232">
        <v>1000007081</v>
      </c>
      <c r="L1232" t="s">
        <v>362</v>
      </c>
      <c r="M1232">
        <v>5100001928</v>
      </c>
      <c r="N1232" t="s">
        <v>155</v>
      </c>
      <c r="O1232" t="s">
        <v>156</v>
      </c>
      <c r="P1232">
        <v>4110057393</v>
      </c>
      <c r="Q1232" t="s">
        <v>192</v>
      </c>
      <c r="R1232">
        <v>5000</v>
      </c>
      <c r="S1232" t="s">
        <v>166</v>
      </c>
      <c r="V1232" t="s">
        <v>167</v>
      </c>
      <c r="W1232">
        <v>1502020122</v>
      </c>
      <c r="X1232" t="s">
        <v>70</v>
      </c>
      <c r="Y1232" t="str">
        <f>VLOOKUP(W1232,Sheet4!$A$5:$B$71,2,0)</f>
        <v>MAX UG NEW EV</v>
      </c>
      <c r="Z1232">
        <v>87082900</v>
      </c>
      <c r="AA1232">
        <v>10</v>
      </c>
      <c r="AB1232" t="s">
        <v>159</v>
      </c>
      <c r="AC1232" s="24">
        <v>9566.51</v>
      </c>
      <c r="AD1232" t="s">
        <v>160</v>
      </c>
      <c r="AE1232" s="24">
        <v>95665.1</v>
      </c>
      <c r="AF1232">
        <v>0</v>
      </c>
      <c r="AG1232" s="24">
        <v>95665.1</v>
      </c>
      <c r="AH1232">
        <v>0</v>
      </c>
      <c r="AI1232">
        <v>0</v>
      </c>
      <c r="AJ1232">
        <v>0</v>
      </c>
      <c r="AK1232">
        <v>0</v>
      </c>
      <c r="AL1232" s="24">
        <v>95665.1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 s="24">
        <v>95665.1</v>
      </c>
      <c r="AV1232">
        <v>0</v>
      </c>
      <c r="AW1232">
        <v>0</v>
      </c>
      <c r="AX1232">
        <v>311000</v>
      </c>
      <c r="AY1232" t="s">
        <v>161</v>
      </c>
      <c r="AZ1232">
        <v>0</v>
      </c>
      <c r="BA1232">
        <v>61</v>
      </c>
      <c r="BB1232">
        <v>-61</v>
      </c>
      <c r="BC1232" t="s">
        <v>193</v>
      </c>
      <c r="BD1232">
        <v>1509</v>
      </c>
      <c r="BE1232" t="s">
        <v>169</v>
      </c>
      <c r="BF1232">
        <v>5094205916</v>
      </c>
      <c r="BG1232" t="s">
        <v>362</v>
      </c>
    </row>
    <row r="1233" spans="1:59">
      <c r="A1233">
        <v>1115</v>
      </c>
      <c r="B1233">
        <v>1115</v>
      </c>
      <c r="C1233">
        <v>10</v>
      </c>
      <c r="D1233">
        <v>2</v>
      </c>
      <c r="E1233" t="s">
        <v>152</v>
      </c>
      <c r="F1233" t="s">
        <v>153</v>
      </c>
      <c r="G1233" t="s">
        <v>154</v>
      </c>
      <c r="H1233">
        <v>1526006803</v>
      </c>
      <c r="I1233">
        <v>1000007082</v>
      </c>
      <c r="L1233" t="s">
        <v>362</v>
      </c>
      <c r="M1233">
        <v>5100001588</v>
      </c>
      <c r="N1233" t="s">
        <v>155</v>
      </c>
      <c r="O1233" t="s">
        <v>156</v>
      </c>
      <c r="P1233">
        <v>4110025058</v>
      </c>
      <c r="Q1233" t="s">
        <v>180</v>
      </c>
      <c r="R1233">
        <v>5000</v>
      </c>
      <c r="S1233" t="s">
        <v>166</v>
      </c>
      <c r="V1233" t="s">
        <v>167</v>
      </c>
      <c r="W1233">
        <v>1502040235</v>
      </c>
      <c r="X1233" t="s">
        <v>47</v>
      </c>
      <c r="Y1233" t="str">
        <f>VLOOKUP(W1233,Sheet4!$A$5:$B$71,2,0)</f>
        <v>STARTING HANDLE</v>
      </c>
      <c r="Z1233">
        <v>87082900</v>
      </c>
      <c r="AA1233">
        <v>270</v>
      </c>
      <c r="AB1233" t="s">
        <v>159</v>
      </c>
      <c r="AC1233">
        <v>217.33</v>
      </c>
      <c r="AD1233" t="s">
        <v>160</v>
      </c>
      <c r="AE1233" s="24">
        <v>58679.1</v>
      </c>
      <c r="AF1233">
        <v>0</v>
      </c>
      <c r="AG1233" s="24">
        <v>58679.1</v>
      </c>
      <c r="AH1233">
        <v>0</v>
      </c>
      <c r="AI1233">
        <v>0</v>
      </c>
      <c r="AJ1233">
        <v>0</v>
      </c>
      <c r="AK1233">
        <v>0</v>
      </c>
      <c r="AL1233" s="24">
        <v>58679.1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 s="24">
        <v>58679.1</v>
      </c>
      <c r="AV1233">
        <v>0</v>
      </c>
      <c r="AW1233">
        <v>0</v>
      </c>
      <c r="AX1233">
        <v>311000</v>
      </c>
      <c r="AY1233" t="s">
        <v>161</v>
      </c>
      <c r="AZ1233">
        <v>1.19</v>
      </c>
      <c r="BA1233">
        <v>1.19</v>
      </c>
      <c r="BB1233">
        <v>0</v>
      </c>
      <c r="BC1233" t="s">
        <v>181</v>
      </c>
      <c r="BD1233">
        <v>1511</v>
      </c>
      <c r="BE1233" t="s">
        <v>174</v>
      </c>
      <c r="BF1233">
        <v>5094204932</v>
      </c>
      <c r="BG1233" t="s">
        <v>362</v>
      </c>
    </row>
    <row r="1234" spans="1:59">
      <c r="A1234">
        <v>1115</v>
      </c>
      <c r="B1234">
        <v>1115</v>
      </c>
      <c r="C1234">
        <v>10</v>
      </c>
      <c r="D1234">
        <v>2</v>
      </c>
      <c r="E1234" t="s">
        <v>152</v>
      </c>
      <c r="F1234" t="s">
        <v>153</v>
      </c>
      <c r="G1234" t="s">
        <v>154</v>
      </c>
      <c r="H1234">
        <v>1526006804</v>
      </c>
      <c r="I1234">
        <v>1000007083</v>
      </c>
      <c r="L1234" t="s">
        <v>362</v>
      </c>
      <c r="M1234">
        <v>5100001588</v>
      </c>
      <c r="N1234" t="s">
        <v>155</v>
      </c>
      <c r="O1234" t="s">
        <v>156</v>
      </c>
      <c r="P1234">
        <v>4110025058</v>
      </c>
      <c r="Q1234" t="s">
        <v>180</v>
      </c>
      <c r="R1234">
        <v>5000</v>
      </c>
      <c r="S1234" t="s">
        <v>166</v>
      </c>
      <c r="V1234" t="s">
        <v>167</v>
      </c>
      <c r="W1234">
        <v>1502040235</v>
      </c>
      <c r="X1234" t="s">
        <v>47</v>
      </c>
      <c r="Y1234" t="str">
        <f>VLOOKUP(W1234,Sheet4!$A$5:$B$71,2,0)</f>
        <v>STARTING HANDLE</v>
      </c>
      <c r="Z1234">
        <v>87082900</v>
      </c>
      <c r="AA1234">
        <v>270</v>
      </c>
      <c r="AB1234" t="s">
        <v>159</v>
      </c>
      <c r="AC1234">
        <v>217.33</v>
      </c>
      <c r="AD1234" t="s">
        <v>160</v>
      </c>
      <c r="AE1234" s="24">
        <v>58679.1</v>
      </c>
      <c r="AF1234">
        <v>0</v>
      </c>
      <c r="AG1234" s="24">
        <v>58679.1</v>
      </c>
      <c r="AH1234">
        <v>0</v>
      </c>
      <c r="AI1234">
        <v>0</v>
      </c>
      <c r="AJ1234">
        <v>0</v>
      </c>
      <c r="AK1234">
        <v>0</v>
      </c>
      <c r="AL1234" s="24">
        <v>58679.1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 s="24">
        <v>58679.1</v>
      </c>
      <c r="AV1234">
        <v>0</v>
      </c>
      <c r="AW1234">
        <v>0</v>
      </c>
      <c r="AX1234">
        <v>311000</v>
      </c>
      <c r="AY1234" t="s">
        <v>161</v>
      </c>
      <c r="AZ1234">
        <v>1.19</v>
      </c>
      <c r="BA1234">
        <v>1.19</v>
      </c>
      <c r="BB1234">
        <v>0</v>
      </c>
      <c r="BC1234" t="s">
        <v>181</v>
      </c>
      <c r="BD1234">
        <v>1511</v>
      </c>
      <c r="BE1234" t="s">
        <v>174</v>
      </c>
      <c r="BF1234">
        <v>5094207430</v>
      </c>
      <c r="BG1234" t="s">
        <v>362</v>
      </c>
    </row>
    <row r="1235" spans="1:59">
      <c r="A1235">
        <v>1115</v>
      </c>
      <c r="B1235">
        <v>1115</v>
      </c>
      <c r="C1235">
        <v>10</v>
      </c>
      <c r="D1235">
        <v>2</v>
      </c>
      <c r="E1235" t="s">
        <v>152</v>
      </c>
      <c r="F1235" t="s">
        <v>153</v>
      </c>
      <c r="G1235" t="s">
        <v>154</v>
      </c>
      <c r="H1235">
        <v>1526006805</v>
      </c>
      <c r="I1235">
        <v>1000007084</v>
      </c>
      <c r="L1235" t="s">
        <v>362</v>
      </c>
      <c r="M1235">
        <v>5100001636</v>
      </c>
      <c r="N1235" t="s">
        <v>155</v>
      </c>
      <c r="O1235" t="s">
        <v>156</v>
      </c>
      <c r="P1235">
        <v>4110026445</v>
      </c>
      <c r="Q1235" t="s">
        <v>170</v>
      </c>
      <c r="R1235">
        <v>5000</v>
      </c>
      <c r="S1235" t="s">
        <v>166</v>
      </c>
      <c r="V1235" t="s">
        <v>167</v>
      </c>
      <c r="W1235">
        <v>1502020104</v>
      </c>
      <c r="X1235" t="s">
        <v>26</v>
      </c>
      <c r="Y1235" t="str">
        <f>VLOOKUP(W1235,Sheet4!$A$5:$B$71,2,0)</f>
        <v>RE STYLING</v>
      </c>
      <c r="Z1235">
        <v>87082900</v>
      </c>
      <c r="AA1235">
        <v>15</v>
      </c>
      <c r="AB1235" t="s">
        <v>159</v>
      </c>
      <c r="AC1235" s="24">
        <v>6585.55</v>
      </c>
      <c r="AD1235" t="s">
        <v>160</v>
      </c>
      <c r="AE1235" s="24">
        <v>98783.25</v>
      </c>
      <c r="AF1235">
        <v>0</v>
      </c>
      <c r="AG1235" s="24">
        <v>98783.25</v>
      </c>
      <c r="AH1235">
        <v>0</v>
      </c>
      <c r="AI1235">
        <v>0</v>
      </c>
      <c r="AJ1235">
        <v>0</v>
      </c>
      <c r="AK1235">
        <v>0</v>
      </c>
      <c r="AL1235" s="24">
        <v>98783.25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 s="24">
        <v>98783.25</v>
      </c>
      <c r="AV1235">
        <v>0</v>
      </c>
      <c r="AW1235">
        <v>0</v>
      </c>
      <c r="AX1235">
        <v>311000</v>
      </c>
      <c r="AY1235" t="s">
        <v>161</v>
      </c>
      <c r="AZ1235">
        <v>49.75</v>
      </c>
      <c r="BA1235">
        <v>49.75</v>
      </c>
      <c r="BB1235">
        <v>0</v>
      </c>
      <c r="BC1235" t="s">
        <v>171</v>
      </c>
      <c r="BD1235">
        <v>1509</v>
      </c>
      <c r="BE1235" t="s">
        <v>169</v>
      </c>
      <c r="BF1235" t="s">
        <v>163</v>
      </c>
      <c r="BG1235" t="s">
        <v>164</v>
      </c>
    </row>
    <row r="1236" spans="1:59">
      <c r="A1236">
        <v>1115</v>
      </c>
      <c r="B1236">
        <v>1115</v>
      </c>
      <c r="C1236">
        <v>10</v>
      </c>
      <c r="D1236">
        <v>2</v>
      </c>
      <c r="E1236" t="s">
        <v>152</v>
      </c>
      <c r="F1236" t="s">
        <v>153</v>
      </c>
      <c r="G1236" t="s">
        <v>154</v>
      </c>
      <c r="H1236">
        <v>1526006806</v>
      </c>
      <c r="I1236">
        <v>1000007085</v>
      </c>
      <c r="L1236" t="s">
        <v>362</v>
      </c>
      <c r="M1236">
        <v>5100001101</v>
      </c>
      <c r="N1236" t="s">
        <v>155</v>
      </c>
      <c r="O1236" t="s">
        <v>156</v>
      </c>
      <c r="P1236">
        <v>4110004653</v>
      </c>
      <c r="Q1236" t="s">
        <v>177</v>
      </c>
      <c r="R1236">
        <v>5000</v>
      </c>
      <c r="S1236" t="s">
        <v>166</v>
      </c>
      <c r="V1236" t="s">
        <v>167</v>
      </c>
      <c r="W1236">
        <v>1502040194</v>
      </c>
      <c r="X1236" t="s">
        <v>44</v>
      </c>
      <c r="Y1236" t="str">
        <f>VLOOKUP(W1236,Sheet4!$A$5:$B$71,2,0)</f>
        <v>CRADEL</v>
      </c>
      <c r="Z1236">
        <v>87082900</v>
      </c>
      <c r="AA1236">
        <v>48</v>
      </c>
      <c r="AB1236" t="s">
        <v>159</v>
      </c>
      <c r="AC1236">
        <v>956.92</v>
      </c>
      <c r="AD1236" t="s">
        <v>160</v>
      </c>
      <c r="AE1236" s="24">
        <v>45932.160000000003</v>
      </c>
      <c r="AF1236">
        <v>0</v>
      </c>
      <c r="AG1236" s="24">
        <v>45932.160000000003</v>
      </c>
      <c r="AH1236">
        <v>0</v>
      </c>
      <c r="AI1236">
        <v>0</v>
      </c>
      <c r="AJ1236">
        <v>0</v>
      </c>
      <c r="AK1236">
        <v>0</v>
      </c>
      <c r="AL1236" s="24">
        <v>45932.160000000003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 s="24">
        <v>45932.160000000003</v>
      </c>
      <c r="AV1236">
        <v>0</v>
      </c>
      <c r="AW1236">
        <v>0</v>
      </c>
      <c r="AX1236">
        <v>311000</v>
      </c>
      <c r="AY1236" t="s">
        <v>161</v>
      </c>
      <c r="AZ1236">
        <v>6.3769999999999998</v>
      </c>
      <c r="BA1236">
        <v>6.3769999999999998</v>
      </c>
      <c r="BB1236">
        <v>0</v>
      </c>
      <c r="BC1236" t="s">
        <v>184</v>
      </c>
      <c r="BD1236">
        <v>1511</v>
      </c>
      <c r="BE1236" t="s">
        <v>174</v>
      </c>
      <c r="BF1236" t="s">
        <v>163</v>
      </c>
      <c r="BG1236" t="s">
        <v>164</v>
      </c>
    </row>
    <row r="1237" spans="1:59">
      <c r="A1237">
        <v>1115</v>
      </c>
      <c r="B1237">
        <v>1115</v>
      </c>
      <c r="C1237">
        <v>10</v>
      </c>
      <c r="D1237">
        <v>2</v>
      </c>
      <c r="E1237" t="s">
        <v>152</v>
      </c>
      <c r="F1237" t="s">
        <v>153</v>
      </c>
      <c r="G1237" t="s">
        <v>154</v>
      </c>
      <c r="H1237">
        <v>1526006807</v>
      </c>
      <c r="I1237">
        <v>1000007086</v>
      </c>
      <c r="L1237" t="s">
        <v>362</v>
      </c>
      <c r="M1237">
        <v>5100001101</v>
      </c>
      <c r="N1237" t="s">
        <v>155</v>
      </c>
      <c r="O1237" t="s">
        <v>156</v>
      </c>
      <c r="P1237">
        <v>4110004653</v>
      </c>
      <c r="Q1237" t="s">
        <v>177</v>
      </c>
      <c r="R1237">
        <v>5000</v>
      </c>
      <c r="S1237" t="s">
        <v>166</v>
      </c>
      <c r="V1237" t="s">
        <v>167</v>
      </c>
      <c r="W1237">
        <v>1502040194</v>
      </c>
      <c r="X1237" t="s">
        <v>44</v>
      </c>
      <c r="Y1237" t="str">
        <f>VLOOKUP(W1237,Sheet4!$A$5:$B$71,2,0)</f>
        <v>CRADEL</v>
      </c>
      <c r="Z1237">
        <v>87082900</v>
      </c>
      <c r="AA1237">
        <v>48</v>
      </c>
      <c r="AB1237" t="s">
        <v>159</v>
      </c>
      <c r="AC1237">
        <v>956.92</v>
      </c>
      <c r="AD1237" t="s">
        <v>160</v>
      </c>
      <c r="AE1237" s="24">
        <v>45932.160000000003</v>
      </c>
      <c r="AF1237">
        <v>0</v>
      </c>
      <c r="AG1237" s="24">
        <v>45932.160000000003</v>
      </c>
      <c r="AH1237">
        <v>0</v>
      </c>
      <c r="AI1237">
        <v>0</v>
      </c>
      <c r="AJ1237">
        <v>0</v>
      </c>
      <c r="AK1237">
        <v>0</v>
      </c>
      <c r="AL1237" s="24">
        <v>45932.160000000003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 s="24">
        <v>45932.160000000003</v>
      </c>
      <c r="AV1237">
        <v>0</v>
      </c>
      <c r="AW1237">
        <v>0</v>
      </c>
      <c r="AX1237">
        <v>311000</v>
      </c>
      <c r="AY1237" t="s">
        <v>161</v>
      </c>
      <c r="AZ1237">
        <v>6.3769999999999998</v>
      </c>
      <c r="BA1237">
        <v>6.3769999999999998</v>
      </c>
      <c r="BB1237">
        <v>0</v>
      </c>
      <c r="BC1237" t="s">
        <v>184</v>
      </c>
      <c r="BD1237">
        <v>1511</v>
      </c>
      <c r="BE1237" t="s">
        <v>174</v>
      </c>
      <c r="BF1237" t="s">
        <v>163</v>
      </c>
      <c r="BG1237" t="s">
        <v>164</v>
      </c>
    </row>
    <row r="1238" spans="1:59">
      <c r="A1238">
        <v>1115</v>
      </c>
      <c r="B1238">
        <v>1115</v>
      </c>
      <c r="C1238">
        <v>10</v>
      </c>
      <c r="D1238">
        <v>2</v>
      </c>
      <c r="E1238" t="s">
        <v>152</v>
      </c>
      <c r="F1238" t="s">
        <v>153</v>
      </c>
      <c r="G1238" t="s">
        <v>154</v>
      </c>
      <c r="H1238">
        <v>1526006808</v>
      </c>
      <c r="I1238">
        <v>1000007087</v>
      </c>
      <c r="L1238" t="s">
        <v>362</v>
      </c>
      <c r="M1238">
        <v>5100001101</v>
      </c>
      <c r="N1238" t="s">
        <v>155</v>
      </c>
      <c r="O1238" t="s">
        <v>156</v>
      </c>
      <c r="P1238">
        <v>4110004653</v>
      </c>
      <c r="Q1238" t="s">
        <v>177</v>
      </c>
      <c r="R1238">
        <v>5000</v>
      </c>
      <c r="S1238" t="s">
        <v>166</v>
      </c>
      <c r="V1238" t="s">
        <v>167</v>
      </c>
      <c r="W1238">
        <v>1502040194</v>
      </c>
      <c r="X1238" t="s">
        <v>44</v>
      </c>
      <c r="Y1238" t="str">
        <f>VLOOKUP(W1238,Sheet4!$A$5:$B$71,2,0)</f>
        <v>CRADEL</v>
      </c>
      <c r="Z1238">
        <v>87082900</v>
      </c>
      <c r="AA1238">
        <v>48</v>
      </c>
      <c r="AB1238" t="s">
        <v>159</v>
      </c>
      <c r="AC1238">
        <v>956.92</v>
      </c>
      <c r="AD1238" t="s">
        <v>160</v>
      </c>
      <c r="AE1238" s="24">
        <v>45932.160000000003</v>
      </c>
      <c r="AF1238">
        <v>0</v>
      </c>
      <c r="AG1238" s="24">
        <v>45932.160000000003</v>
      </c>
      <c r="AH1238">
        <v>0</v>
      </c>
      <c r="AI1238">
        <v>0</v>
      </c>
      <c r="AJ1238">
        <v>0</v>
      </c>
      <c r="AK1238">
        <v>0</v>
      </c>
      <c r="AL1238" s="24">
        <v>45932.160000000003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 s="24">
        <v>45932.160000000003</v>
      </c>
      <c r="AV1238">
        <v>0</v>
      </c>
      <c r="AW1238">
        <v>0</v>
      </c>
      <c r="AX1238">
        <v>311000</v>
      </c>
      <c r="AY1238" t="s">
        <v>161</v>
      </c>
      <c r="AZ1238">
        <v>6.3769999999999998</v>
      </c>
      <c r="BA1238">
        <v>6.3769999999999998</v>
      </c>
      <c r="BB1238">
        <v>0</v>
      </c>
      <c r="BC1238" t="s">
        <v>184</v>
      </c>
      <c r="BD1238">
        <v>1511</v>
      </c>
      <c r="BE1238" t="s">
        <v>174</v>
      </c>
      <c r="BF1238" t="s">
        <v>163</v>
      </c>
      <c r="BG1238" t="s">
        <v>164</v>
      </c>
    </row>
    <row r="1239" spans="1:59">
      <c r="A1239">
        <v>1115</v>
      </c>
      <c r="B1239">
        <v>1115</v>
      </c>
      <c r="C1239">
        <v>10</v>
      </c>
      <c r="D1239">
        <v>2</v>
      </c>
      <c r="E1239" t="s">
        <v>152</v>
      </c>
      <c r="F1239" t="s">
        <v>153</v>
      </c>
      <c r="G1239" t="s">
        <v>154</v>
      </c>
      <c r="H1239">
        <v>1526006809</v>
      </c>
      <c r="I1239">
        <v>1000007088</v>
      </c>
      <c r="L1239" t="s">
        <v>362</v>
      </c>
      <c r="M1239">
        <v>5100001925</v>
      </c>
      <c r="N1239" t="s">
        <v>155</v>
      </c>
      <c r="O1239" t="s">
        <v>156</v>
      </c>
      <c r="P1239">
        <v>4110055667</v>
      </c>
      <c r="Q1239" t="s">
        <v>185</v>
      </c>
      <c r="R1239">
        <v>5000</v>
      </c>
      <c r="S1239" t="s">
        <v>166</v>
      </c>
      <c r="V1239" t="s">
        <v>167</v>
      </c>
      <c r="W1239">
        <v>1502040317</v>
      </c>
      <c r="X1239" t="s">
        <v>73</v>
      </c>
      <c r="Y1239" t="str">
        <f>VLOOKUP(W1239,Sheet4!$A$5:$B$71,2,0)</f>
        <v>Re Side Door</v>
      </c>
      <c r="Z1239">
        <v>87082900</v>
      </c>
      <c r="AA1239">
        <v>120</v>
      </c>
      <c r="AB1239" t="s">
        <v>159</v>
      </c>
      <c r="AC1239">
        <v>506.59</v>
      </c>
      <c r="AD1239" t="s">
        <v>160</v>
      </c>
      <c r="AE1239" s="24">
        <v>60790.8</v>
      </c>
      <c r="AF1239">
        <v>0</v>
      </c>
      <c r="AG1239" s="24">
        <v>60790.8</v>
      </c>
      <c r="AH1239">
        <v>0</v>
      </c>
      <c r="AI1239">
        <v>0</v>
      </c>
      <c r="AJ1239">
        <v>0</v>
      </c>
      <c r="AK1239">
        <v>0</v>
      </c>
      <c r="AL1239" s="24">
        <v>60790.8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 s="24">
        <v>60790.8</v>
      </c>
      <c r="AV1239">
        <v>0</v>
      </c>
      <c r="AW1239">
        <v>0</v>
      </c>
      <c r="AX1239">
        <v>311000</v>
      </c>
      <c r="AY1239" t="s">
        <v>161</v>
      </c>
      <c r="AZ1239">
        <v>2.27</v>
      </c>
      <c r="BA1239">
        <v>2.27</v>
      </c>
      <c r="BB1239">
        <v>0</v>
      </c>
      <c r="BC1239" t="s">
        <v>186</v>
      </c>
      <c r="BD1239">
        <v>1511</v>
      </c>
      <c r="BE1239" t="s">
        <v>174</v>
      </c>
      <c r="BF1239" t="s">
        <v>163</v>
      </c>
      <c r="BG1239" t="s">
        <v>164</v>
      </c>
    </row>
    <row r="1240" spans="1:59">
      <c r="A1240">
        <v>1115</v>
      </c>
      <c r="B1240">
        <v>1115</v>
      </c>
      <c r="C1240">
        <v>10</v>
      </c>
      <c r="D1240">
        <v>2</v>
      </c>
      <c r="E1240" t="s">
        <v>152</v>
      </c>
      <c r="F1240" t="s">
        <v>153</v>
      </c>
      <c r="G1240" t="s">
        <v>154</v>
      </c>
      <c r="H1240">
        <v>1526006810</v>
      </c>
      <c r="I1240">
        <v>1000007089</v>
      </c>
      <c r="L1240" t="s">
        <v>362</v>
      </c>
      <c r="M1240">
        <v>5100001925</v>
      </c>
      <c r="N1240" t="s">
        <v>155</v>
      </c>
      <c r="O1240" t="s">
        <v>156</v>
      </c>
      <c r="P1240">
        <v>4110055667</v>
      </c>
      <c r="Q1240" t="s">
        <v>185</v>
      </c>
      <c r="R1240">
        <v>5000</v>
      </c>
      <c r="S1240" t="s">
        <v>166</v>
      </c>
      <c r="V1240" t="s">
        <v>167</v>
      </c>
      <c r="W1240">
        <v>1502040318</v>
      </c>
      <c r="X1240" t="s">
        <v>72</v>
      </c>
      <c r="Y1240" t="str">
        <f>VLOOKUP(W1240,Sheet4!$A$5:$B$71,2,0)</f>
        <v>Re Side Door</v>
      </c>
      <c r="Z1240">
        <v>87082900</v>
      </c>
      <c r="AA1240">
        <v>120</v>
      </c>
      <c r="AB1240" t="s">
        <v>159</v>
      </c>
      <c r="AC1240">
        <v>506.59</v>
      </c>
      <c r="AD1240" t="s">
        <v>160</v>
      </c>
      <c r="AE1240" s="24">
        <v>60790.8</v>
      </c>
      <c r="AF1240">
        <v>0</v>
      </c>
      <c r="AG1240" s="24">
        <v>60790.8</v>
      </c>
      <c r="AH1240">
        <v>0</v>
      </c>
      <c r="AI1240">
        <v>0</v>
      </c>
      <c r="AJ1240">
        <v>0</v>
      </c>
      <c r="AK1240">
        <v>0</v>
      </c>
      <c r="AL1240" s="24">
        <v>60790.8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 s="24">
        <v>60790.8</v>
      </c>
      <c r="AV1240">
        <v>0</v>
      </c>
      <c r="AW1240">
        <v>0</v>
      </c>
      <c r="AX1240">
        <v>311000</v>
      </c>
      <c r="AY1240" t="s">
        <v>161</v>
      </c>
      <c r="AZ1240">
        <v>2.27</v>
      </c>
      <c r="BA1240">
        <v>2.27</v>
      </c>
      <c r="BB1240">
        <v>0</v>
      </c>
      <c r="BC1240" t="s">
        <v>187</v>
      </c>
      <c r="BD1240">
        <v>1511</v>
      </c>
      <c r="BE1240" t="s">
        <v>174</v>
      </c>
      <c r="BF1240" t="s">
        <v>163</v>
      </c>
      <c r="BG1240" t="s">
        <v>164</v>
      </c>
    </row>
    <row r="1241" spans="1:59">
      <c r="A1241">
        <v>1115</v>
      </c>
      <c r="B1241">
        <v>1115</v>
      </c>
      <c r="C1241">
        <v>10</v>
      </c>
      <c r="D1241">
        <v>2</v>
      </c>
      <c r="E1241" t="s">
        <v>152</v>
      </c>
      <c r="F1241" t="s">
        <v>153</v>
      </c>
      <c r="G1241" t="s">
        <v>154</v>
      </c>
      <c r="H1241">
        <v>1526006811</v>
      </c>
      <c r="I1241">
        <v>1000007090</v>
      </c>
      <c r="L1241" t="s">
        <v>362</v>
      </c>
      <c r="M1241">
        <v>5100001913</v>
      </c>
      <c r="N1241" t="s">
        <v>155</v>
      </c>
      <c r="O1241" t="s">
        <v>156</v>
      </c>
      <c r="P1241">
        <v>4110050475</v>
      </c>
      <c r="Q1241" t="s">
        <v>178</v>
      </c>
      <c r="R1241">
        <v>5000</v>
      </c>
      <c r="S1241" t="s">
        <v>166</v>
      </c>
      <c r="V1241" t="s">
        <v>167</v>
      </c>
      <c r="W1241">
        <v>1502040289</v>
      </c>
      <c r="X1241" t="s">
        <v>49</v>
      </c>
      <c r="Y1241" t="str">
        <f>VLOOKUP(W1241,Sheet4!$A$5:$B$71,2,0)</f>
        <v>SUPPORT TOP</v>
      </c>
      <c r="Z1241">
        <v>87082900</v>
      </c>
      <c r="AA1241">
        <v>480</v>
      </c>
      <c r="AB1241" t="s">
        <v>159</v>
      </c>
      <c r="AC1241">
        <v>174.61</v>
      </c>
      <c r="AD1241" t="s">
        <v>160</v>
      </c>
      <c r="AE1241" s="24">
        <v>83812.800000000003</v>
      </c>
      <c r="AF1241">
        <v>0</v>
      </c>
      <c r="AG1241" s="24">
        <v>83812.800000000003</v>
      </c>
      <c r="AH1241">
        <v>0</v>
      </c>
      <c r="AI1241">
        <v>0</v>
      </c>
      <c r="AJ1241">
        <v>0</v>
      </c>
      <c r="AK1241">
        <v>0</v>
      </c>
      <c r="AL1241" s="24">
        <v>83812.800000000003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 s="24">
        <v>83812.800000000003</v>
      </c>
      <c r="AV1241">
        <v>0</v>
      </c>
      <c r="AW1241">
        <v>0</v>
      </c>
      <c r="AX1241">
        <v>311000</v>
      </c>
      <c r="AY1241" t="s">
        <v>161</v>
      </c>
      <c r="AZ1241">
        <v>0</v>
      </c>
      <c r="BA1241">
        <v>0</v>
      </c>
      <c r="BB1241">
        <v>0</v>
      </c>
      <c r="BC1241" t="s">
        <v>179</v>
      </c>
      <c r="BD1241">
        <v>1511</v>
      </c>
      <c r="BE1241" t="s">
        <v>174</v>
      </c>
      <c r="BF1241">
        <v>5094206858</v>
      </c>
      <c r="BG1241" t="s">
        <v>362</v>
      </c>
    </row>
    <row r="1242" spans="1:59">
      <c r="A1242">
        <v>1115</v>
      </c>
      <c r="B1242">
        <v>1115</v>
      </c>
      <c r="C1242">
        <v>10</v>
      </c>
      <c r="D1242">
        <v>2</v>
      </c>
      <c r="E1242" t="s">
        <v>152</v>
      </c>
      <c r="F1242" t="s">
        <v>153</v>
      </c>
      <c r="G1242" t="s">
        <v>154</v>
      </c>
      <c r="H1242">
        <v>1526006812</v>
      </c>
      <c r="I1242">
        <v>1000007091</v>
      </c>
      <c r="L1242" t="s">
        <v>362</v>
      </c>
      <c r="M1242">
        <v>5100001636</v>
      </c>
      <c r="N1242" t="s">
        <v>155</v>
      </c>
      <c r="O1242" t="s">
        <v>156</v>
      </c>
      <c r="P1242">
        <v>4110026445</v>
      </c>
      <c r="Q1242" t="s">
        <v>170</v>
      </c>
      <c r="R1242">
        <v>5000</v>
      </c>
      <c r="S1242" t="s">
        <v>166</v>
      </c>
      <c r="V1242" t="s">
        <v>167</v>
      </c>
      <c r="W1242">
        <v>1502020104</v>
      </c>
      <c r="X1242" t="s">
        <v>26</v>
      </c>
      <c r="Y1242" t="str">
        <f>VLOOKUP(W1242,Sheet4!$A$5:$B$71,2,0)</f>
        <v>RE STYLING</v>
      </c>
      <c r="Z1242">
        <v>87082900</v>
      </c>
      <c r="AA1242">
        <v>15</v>
      </c>
      <c r="AB1242" t="s">
        <v>159</v>
      </c>
      <c r="AC1242" s="24">
        <v>6585.55</v>
      </c>
      <c r="AD1242" t="s">
        <v>160</v>
      </c>
      <c r="AE1242" s="24">
        <v>98783.25</v>
      </c>
      <c r="AF1242">
        <v>0</v>
      </c>
      <c r="AG1242" s="24">
        <v>98783.25</v>
      </c>
      <c r="AH1242">
        <v>0</v>
      </c>
      <c r="AI1242">
        <v>0</v>
      </c>
      <c r="AJ1242">
        <v>0</v>
      </c>
      <c r="AK1242">
        <v>0</v>
      </c>
      <c r="AL1242" s="24">
        <v>98783.25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 s="24">
        <v>98783.25</v>
      </c>
      <c r="AV1242">
        <v>0</v>
      </c>
      <c r="AW1242">
        <v>0</v>
      </c>
      <c r="AX1242">
        <v>311000</v>
      </c>
      <c r="AY1242" t="s">
        <v>161</v>
      </c>
      <c r="AZ1242">
        <v>49.75</v>
      </c>
      <c r="BA1242">
        <v>49.75</v>
      </c>
      <c r="BB1242">
        <v>0</v>
      </c>
      <c r="BC1242" t="s">
        <v>171</v>
      </c>
      <c r="BD1242">
        <v>1509</v>
      </c>
      <c r="BE1242" t="s">
        <v>169</v>
      </c>
      <c r="BF1242" t="s">
        <v>163</v>
      </c>
      <c r="BG1242" t="s">
        <v>164</v>
      </c>
    </row>
    <row r="1243" spans="1:59">
      <c r="A1243">
        <v>1115</v>
      </c>
      <c r="B1243">
        <v>1115</v>
      </c>
      <c r="C1243">
        <v>10</v>
      </c>
      <c r="D1243">
        <v>2</v>
      </c>
      <c r="E1243" t="s">
        <v>152</v>
      </c>
      <c r="F1243" t="s">
        <v>153</v>
      </c>
      <c r="G1243" t="s">
        <v>154</v>
      </c>
      <c r="H1243">
        <v>1526006813</v>
      </c>
      <c r="I1243">
        <v>1000007092</v>
      </c>
      <c r="L1243" t="s">
        <v>362</v>
      </c>
      <c r="M1243">
        <v>5100001928</v>
      </c>
      <c r="N1243" t="s">
        <v>155</v>
      </c>
      <c r="O1243" t="s">
        <v>156</v>
      </c>
      <c r="P1243">
        <v>4110057393</v>
      </c>
      <c r="Q1243" t="s">
        <v>192</v>
      </c>
      <c r="R1243">
        <v>5000</v>
      </c>
      <c r="S1243" t="s">
        <v>166</v>
      </c>
      <c r="V1243" t="s">
        <v>167</v>
      </c>
      <c r="W1243">
        <v>1502020122</v>
      </c>
      <c r="X1243" t="s">
        <v>70</v>
      </c>
      <c r="Y1243" t="str">
        <f>VLOOKUP(W1243,Sheet4!$A$5:$B$71,2,0)</f>
        <v>MAX UG NEW EV</v>
      </c>
      <c r="Z1243">
        <v>87082900</v>
      </c>
      <c r="AA1243">
        <v>10</v>
      </c>
      <c r="AB1243" t="s">
        <v>159</v>
      </c>
      <c r="AC1243" s="24">
        <v>9566.51</v>
      </c>
      <c r="AD1243" t="s">
        <v>160</v>
      </c>
      <c r="AE1243" s="24">
        <v>95665.1</v>
      </c>
      <c r="AF1243">
        <v>0</v>
      </c>
      <c r="AG1243" s="24">
        <v>95665.1</v>
      </c>
      <c r="AH1243">
        <v>0</v>
      </c>
      <c r="AI1243">
        <v>0</v>
      </c>
      <c r="AJ1243">
        <v>0</v>
      </c>
      <c r="AK1243">
        <v>0</v>
      </c>
      <c r="AL1243" s="24">
        <v>95665.1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 s="24">
        <v>95665.1</v>
      </c>
      <c r="AV1243">
        <v>0</v>
      </c>
      <c r="AW1243">
        <v>0</v>
      </c>
      <c r="AX1243">
        <v>311000</v>
      </c>
      <c r="AY1243" t="s">
        <v>161</v>
      </c>
      <c r="AZ1243">
        <v>0</v>
      </c>
      <c r="BA1243">
        <v>61</v>
      </c>
      <c r="BB1243">
        <v>-61</v>
      </c>
      <c r="BC1243" t="s">
        <v>193</v>
      </c>
      <c r="BD1243">
        <v>1509</v>
      </c>
      <c r="BE1243" t="s">
        <v>169</v>
      </c>
      <c r="BF1243">
        <v>5094206761</v>
      </c>
      <c r="BG1243" t="s">
        <v>362</v>
      </c>
    </row>
    <row r="1244" spans="1:59">
      <c r="A1244">
        <v>1115</v>
      </c>
      <c r="B1244">
        <v>1115</v>
      </c>
      <c r="C1244">
        <v>10</v>
      </c>
      <c r="D1244">
        <v>2</v>
      </c>
      <c r="E1244" t="s">
        <v>152</v>
      </c>
      <c r="F1244" t="s">
        <v>153</v>
      </c>
      <c r="G1244" t="s">
        <v>154</v>
      </c>
      <c r="H1244">
        <v>1526006814</v>
      </c>
      <c r="I1244">
        <v>1000007093</v>
      </c>
      <c r="L1244" t="s">
        <v>362</v>
      </c>
      <c r="M1244">
        <v>5100001928</v>
      </c>
      <c r="N1244" t="s">
        <v>155</v>
      </c>
      <c r="O1244" t="s">
        <v>156</v>
      </c>
      <c r="P1244">
        <v>4110057393</v>
      </c>
      <c r="Q1244" t="s">
        <v>192</v>
      </c>
      <c r="R1244">
        <v>5000</v>
      </c>
      <c r="S1244" t="s">
        <v>166</v>
      </c>
      <c r="V1244" t="s">
        <v>167</v>
      </c>
      <c r="W1244">
        <v>1502020122</v>
      </c>
      <c r="X1244" t="s">
        <v>70</v>
      </c>
      <c r="Y1244" t="str">
        <f>VLOOKUP(W1244,Sheet4!$A$5:$B$71,2,0)</f>
        <v>MAX UG NEW EV</v>
      </c>
      <c r="Z1244">
        <v>87082900</v>
      </c>
      <c r="AA1244">
        <v>10</v>
      </c>
      <c r="AB1244" t="s">
        <v>159</v>
      </c>
      <c r="AC1244" s="24">
        <v>9566.51</v>
      </c>
      <c r="AD1244" t="s">
        <v>160</v>
      </c>
      <c r="AE1244" s="24">
        <v>95665.1</v>
      </c>
      <c r="AF1244">
        <v>0</v>
      </c>
      <c r="AG1244" s="24">
        <v>95665.1</v>
      </c>
      <c r="AH1244">
        <v>0</v>
      </c>
      <c r="AI1244">
        <v>0</v>
      </c>
      <c r="AJ1244">
        <v>0</v>
      </c>
      <c r="AK1244">
        <v>0</v>
      </c>
      <c r="AL1244" s="24">
        <v>95665.1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 s="24">
        <v>95665.1</v>
      </c>
      <c r="AV1244">
        <v>0</v>
      </c>
      <c r="AW1244">
        <v>0</v>
      </c>
      <c r="AX1244">
        <v>311000</v>
      </c>
      <c r="AY1244" t="s">
        <v>161</v>
      </c>
      <c r="AZ1244">
        <v>0</v>
      </c>
      <c r="BA1244">
        <v>61</v>
      </c>
      <c r="BB1244">
        <v>-61</v>
      </c>
      <c r="BC1244" t="s">
        <v>193</v>
      </c>
      <c r="BD1244">
        <v>1509</v>
      </c>
      <c r="BE1244" t="s">
        <v>169</v>
      </c>
      <c r="BF1244">
        <v>5094208094</v>
      </c>
      <c r="BG1244" t="s">
        <v>362</v>
      </c>
    </row>
    <row r="1245" spans="1:59">
      <c r="A1245">
        <v>1115</v>
      </c>
      <c r="B1245">
        <v>1115</v>
      </c>
      <c r="C1245">
        <v>10</v>
      </c>
      <c r="D1245">
        <v>2</v>
      </c>
      <c r="E1245" t="s">
        <v>152</v>
      </c>
      <c r="F1245" t="s">
        <v>153</v>
      </c>
      <c r="G1245" t="s">
        <v>154</v>
      </c>
      <c r="H1245">
        <v>1526006815</v>
      </c>
      <c r="I1245">
        <v>1000007094</v>
      </c>
      <c r="L1245" t="s">
        <v>362</v>
      </c>
      <c r="M1245">
        <v>5100001928</v>
      </c>
      <c r="N1245" t="s">
        <v>155</v>
      </c>
      <c r="O1245" t="s">
        <v>156</v>
      </c>
      <c r="P1245">
        <v>4110057393</v>
      </c>
      <c r="Q1245" t="s">
        <v>192</v>
      </c>
      <c r="R1245">
        <v>5000</v>
      </c>
      <c r="S1245" t="s">
        <v>166</v>
      </c>
      <c r="V1245" t="s">
        <v>167</v>
      </c>
      <c r="W1245">
        <v>1502020122</v>
      </c>
      <c r="X1245" t="s">
        <v>70</v>
      </c>
      <c r="Y1245" t="str">
        <f>VLOOKUP(W1245,Sheet4!$A$5:$B$71,2,0)</f>
        <v>MAX UG NEW EV</v>
      </c>
      <c r="Z1245">
        <v>87082900</v>
      </c>
      <c r="AA1245">
        <v>10</v>
      </c>
      <c r="AB1245" t="s">
        <v>159</v>
      </c>
      <c r="AC1245" s="24">
        <v>9566.51</v>
      </c>
      <c r="AD1245" t="s">
        <v>160</v>
      </c>
      <c r="AE1245" s="24">
        <v>95665.1</v>
      </c>
      <c r="AF1245">
        <v>0</v>
      </c>
      <c r="AG1245" s="24">
        <v>95665.1</v>
      </c>
      <c r="AH1245">
        <v>0</v>
      </c>
      <c r="AI1245">
        <v>0</v>
      </c>
      <c r="AJ1245">
        <v>0</v>
      </c>
      <c r="AK1245">
        <v>0</v>
      </c>
      <c r="AL1245" s="24">
        <v>95665.1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s="24">
        <v>95665.1</v>
      </c>
      <c r="AV1245">
        <v>0</v>
      </c>
      <c r="AW1245">
        <v>0</v>
      </c>
      <c r="AX1245">
        <v>311000</v>
      </c>
      <c r="AY1245" t="s">
        <v>161</v>
      </c>
      <c r="AZ1245">
        <v>0</v>
      </c>
      <c r="BA1245">
        <v>61</v>
      </c>
      <c r="BB1245">
        <v>-61</v>
      </c>
      <c r="BC1245" t="s">
        <v>193</v>
      </c>
      <c r="BD1245">
        <v>1509</v>
      </c>
      <c r="BE1245" t="s">
        <v>169</v>
      </c>
      <c r="BF1245">
        <v>5094211798</v>
      </c>
      <c r="BG1245" t="s">
        <v>362</v>
      </c>
    </row>
    <row r="1246" spans="1:59">
      <c r="A1246">
        <v>1115</v>
      </c>
      <c r="B1246">
        <v>1115</v>
      </c>
      <c r="C1246">
        <v>10</v>
      </c>
      <c r="D1246">
        <v>2</v>
      </c>
      <c r="E1246" t="s">
        <v>152</v>
      </c>
      <c r="F1246" t="s">
        <v>153</v>
      </c>
      <c r="G1246" t="s">
        <v>154</v>
      </c>
      <c r="H1246">
        <v>1526006816</v>
      </c>
      <c r="I1246">
        <v>1000007095</v>
      </c>
      <c r="L1246" t="s">
        <v>362</v>
      </c>
      <c r="M1246">
        <v>5100001928</v>
      </c>
      <c r="N1246" t="s">
        <v>155</v>
      </c>
      <c r="O1246" t="s">
        <v>156</v>
      </c>
      <c r="P1246">
        <v>4110057393</v>
      </c>
      <c r="Q1246" t="s">
        <v>192</v>
      </c>
      <c r="R1246">
        <v>5000</v>
      </c>
      <c r="S1246" t="s">
        <v>166</v>
      </c>
      <c r="V1246" t="s">
        <v>167</v>
      </c>
      <c r="W1246">
        <v>1502020122</v>
      </c>
      <c r="X1246" t="s">
        <v>70</v>
      </c>
      <c r="Y1246" t="str">
        <f>VLOOKUP(W1246,Sheet4!$A$5:$B$71,2,0)</f>
        <v>MAX UG NEW EV</v>
      </c>
      <c r="Z1246">
        <v>87082900</v>
      </c>
      <c r="AA1246">
        <v>10</v>
      </c>
      <c r="AB1246" t="s">
        <v>159</v>
      </c>
      <c r="AC1246" s="24">
        <v>9566.51</v>
      </c>
      <c r="AD1246" t="s">
        <v>160</v>
      </c>
      <c r="AE1246" s="24">
        <v>95665.1</v>
      </c>
      <c r="AF1246">
        <v>0</v>
      </c>
      <c r="AG1246" s="24">
        <v>95665.1</v>
      </c>
      <c r="AH1246">
        <v>0</v>
      </c>
      <c r="AI1246">
        <v>0</v>
      </c>
      <c r="AJ1246">
        <v>0</v>
      </c>
      <c r="AK1246">
        <v>0</v>
      </c>
      <c r="AL1246" s="24">
        <v>95665.1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 s="24">
        <v>95665.1</v>
      </c>
      <c r="AV1246">
        <v>0</v>
      </c>
      <c r="AW1246">
        <v>0</v>
      </c>
      <c r="AX1246">
        <v>311000</v>
      </c>
      <c r="AY1246" t="s">
        <v>161</v>
      </c>
      <c r="AZ1246">
        <v>0</v>
      </c>
      <c r="BA1246">
        <v>61</v>
      </c>
      <c r="BB1246">
        <v>-61</v>
      </c>
      <c r="BC1246" t="s">
        <v>193</v>
      </c>
      <c r="BD1246">
        <v>1509</v>
      </c>
      <c r="BE1246" t="s">
        <v>169</v>
      </c>
      <c r="BF1246">
        <v>5094205971</v>
      </c>
      <c r="BG1246" t="s">
        <v>362</v>
      </c>
    </row>
    <row r="1247" spans="1:59">
      <c r="A1247">
        <v>1115</v>
      </c>
      <c r="B1247">
        <v>1115</v>
      </c>
      <c r="C1247">
        <v>10</v>
      </c>
      <c r="D1247">
        <v>2</v>
      </c>
      <c r="E1247" t="s">
        <v>152</v>
      </c>
      <c r="F1247" t="s">
        <v>153</v>
      </c>
      <c r="G1247" t="s">
        <v>154</v>
      </c>
      <c r="H1247">
        <v>1526006817</v>
      </c>
      <c r="I1247">
        <v>1000007096</v>
      </c>
      <c r="L1247" t="s">
        <v>362</v>
      </c>
      <c r="M1247">
        <v>5100001928</v>
      </c>
      <c r="N1247" t="s">
        <v>155</v>
      </c>
      <c r="O1247" t="s">
        <v>156</v>
      </c>
      <c r="P1247">
        <v>4110057393</v>
      </c>
      <c r="Q1247" t="s">
        <v>192</v>
      </c>
      <c r="R1247">
        <v>5000</v>
      </c>
      <c r="S1247" t="s">
        <v>166</v>
      </c>
      <c r="V1247" t="s">
        <v>167</v>
      </c>
      <c r="W1247">
        <v>1502020122</v>
      </c>
      <c r="X1247" t="s">
        <v>70</v>
      </c>
      <c r="Y1247" t="str">
        <f>VLOOKUP(W1247,Sheet4!$A$5:$B$71,2,0)</f>
        <v>MAX UG NEW EV</v>
      </c>
      <c r="Z1247">
        <v>87082900</v>
      </c>
      <c r="AA1247">
        <v>10</v>
      </c>
      <c r="AB1247" t="s">
        <v>159</v>
      </c>
      <c r="AC1247" s="24">
        <v>9566.51</v>
      </c>
      <c r="AD1247" t="s">
        <v>160</v>
      </c>
      <c r="AE1247" s="24">
        <v>95665.1</v>
      </c>
      <c r="AF1247">
        <v>0</v>
      </c>
      <c r="AG1247" s="24">
        <v>95665.1</v>
      </c>
      <c r="AH1247">
        <v>0</v>
      </c>
      <c r="AI1247">
        <v>0</v>
      </c>
      <c r="AJ1247">
        <v>0</v>
      </c>
      <c r="AK1247">
        <v>0</v>
      </c>
      <c r="AL1247" s="24">
        <v>95665.1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 s="24">
        <v>95665.1</v>
      </c>
      <c r="AV1247">
        <v>0</v>
      </c>
      <c r="AW1247">
        <v>0</v>
      </c>
      <c r="AX1247">
        <v>311000</v>
      </c>
      <c r="AY1247" t="s">
        <v>161</v>
      </c>
      <c r="AZ1247">
        <v>0</v>
      </c>
      <c r="BA1247">
        <v>61</v>
      </c>
      <c r="BB1247">
        <v>-61</v>
      </c>
      <c r="BC1247" t="s">
        <v>193</v>
      </c>
      <c r="BD1247">
        <v>1509</v>
      </c>
      <c r="BE1247" t="s">
        <v>169</v>
      </c>
      <c r="BF1247">
        <v>5094210090</v>
      </c>
      <c r="BG1247" t="s">
        <v>362</v>
      </c>
    </row>
    <row r="1248" spans="1:59">
      <c r="A1248">
        <v>1115</v>
      </c>
      <c r="B1248">
        <v>1115</v>
      </c>
      <c r="C1248">
        <v>10</v>
      </c>
      <c r="D1248">
        <v>2</v>
      </c>
      <c r="E1248" t="s">
        <v>152</v>
      </c>
      <c r="F1248" t="s">
        <v>153</v>
      </c>
      <c r="G1248" t="s">
        <v>154</v>
      </c>
      <c r="H1248">
        <v>1526006818</v>
      </c>
      <c r="I1248">
        <v>1000007097</v>
      </c>
      <c r="L1248" t="s">
        <v>362</v>
      </c>
      <c r="M1248">
        <v>5100001636</v>
      </c>
      <c r="N1248" t="s">
        <v>155</v>
      </c>
      <c r="O1248" t="s">
        <v>156</v>
      </c>
      <c r="P1248">
        <v>4110026445</v>
      </c>
      <c r="Q1248" t="s">
        <v>170</v>
      </c>
      <c r="R1248">
        <v>5000</v>
      </c>
      <c r="S1248" t="s">
        <v>166</v>
      </c>
      <c r="V1248" t="s">
        <v>167</v>
      </c>
      <c r="W1248">
        <v>1502020104</v>
      </c>
      <c r="X1248" t="s">
        <v>26</v>
      </c>
      <c r="Y1248" t="str">
        <f>VLOOKUP(W1248,Sheet4!$A$5:$B$71,2,0)</f>
        <v>RE STYLING</v>
      </c>
      <c r="Z1248">
        <v>87082900</v>
      </c>
      <c r="AA1248">
        <v>15</v>
      </c>
      <c r="AB1248" t="s">
        <v>159</v>
      </c>
      <c r="AC1248" s="24">
        <v>6585.55</v>
      </c>
      <c r="AD1248" t="s">
        <v>160</v>
      </c>
      <c r="AE1248" s="24">
        <v>98783.25</v>
      </c>
      <c r="AF1248">
        <v>0</v>
      </c>
      <c r="AG1248" s="24">
        <v>98783.25</v>
      </c>
      <c r="AH1248">
        <v>0</v>
      </c>
      <c r="AI1248">
        <v>0</v>
      </c>
      <c r="AJ1248">
        <v>0</v>
      </c>
      <c r="AK1248">
        <v>0</v>
      </c>
      <c r="AL1248" s="24">
        <v>98783.25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 s="24">
        <v>98783.25</v>
      </c>
      <c r="AV1248">
        <v>0</v>
      </c>
      <c r="AW1248">
        <v>0</v>
      </c>
      <c r="AX1248">
        <v>311000</v>
      </c>
      <c r="AY1248" t="s">
        <v>161</v>
      </c>
      <c r="AZ1248">
        <v>49.75</v>
      </c>
      <c r="BA1248">
        <v>49.75</v>
      </c>
      <c r="BB1248">
        <v>0</v>
      </c>
      <c r="BC1248" t="s">
        <v>171</v>
      </c>
      <c r="BD1248">
        <v>1509</v>
      </c>
      <c r="BE1248" t="s">
        <v>169</v>
      </c>
      <c r="BF1248" t="s">
        <v>163</v>
      </c>
      <c r="BG1248" t="s">
        <v>164</v>
      </c>
    </row>
    <row r="1249" spans="1:59">
      <c r="A1249">
        <v>1115</v>
      </c>
      <c r="B1249">
        <v>1115</v>
      </c>
      <c r="C1249">
        <v>10</v>
      </c>
      <c r="D1249">
        <v>2</v>
      </c>
      <c r="E1249" t="s">
        <v>152</v>
      </c>
      <c r="F1249" t="s">
        <v>153</v>
      </c>
      <c r="G1249" t="s">
        <v>154</v>
      </c>
      <c r="H1249">
        <v>1526006819</v>
      </c>
      <c r="I1249">
        <v>1000007098</v>
      </c>
      <c r="L1249" t="s">
        <v>362</v>
      </c>
      <c r="M1249">
        <v>5100001636</v>
      </c>
      <c r="N1249" t="s">
        <v>155</v>
      </c>
      <c r="O1249" t="s">
        <v>156</v>
      </c>
      <c r="P1249">
        <v>4110026445</v>
      </c>
      <c r="Q1249" t="s">
        <v>170</v>
      </c>
      <c r="R1249">
        <v>5000</v>
      </c>
      <c r="S1249" t="s">
        <v>166</v>
      </c>
      <c r="V1249" t="s">
        <v>167</v>
      </c>
      <c r="W1249">
        <v>1502020104</v>
      </c>
      <c r="X1249" t="s">
        <v>26</v>
      </c>
      <c r="Y1249" t="str">
        <f>VLOOKUP(W1249,Sheet4!$A$5:$B$71,2,0)</f>
        <v>RE STYLING</v>
      </c>
      <c r="Z1249">
        <v>87082900</v>
      </c>
      <c r="AA1249">
        <v>15</v>
      </c>
      <c r="AB1249" t="s">
        <v>159</v>
      </c>
      <c r="AC1249" s="24">
        <v>6585.55</v>
      </c>
      <c r="AD1249" t="s">
        <v>160</v>
      </c>
      <c r="AE1249" s="24">
        <v>98783.25</v>
      </c>
      <c r="AF1249">
        <v>0</v>
      </c>
      <c r="AG1249" s="24">
        <v>98783.25</v>
      </c>
      <c r="AH1249">
        <v>0</v>
      </c>
      <c r="AI1249">
        <v>0</v>
      </c>
      <c r="AJ1249">
        <v>0</v>
      </c>
      <c r="AK1249">
        <v>0</v>
      </c>
      <c r="AL1249" s="24">
        <v>98783.25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 s="24">
        <v>98783.25</v>
      </c>
      <c r="AV1249">
        <v>0</v>
      </c>
      <c r="AW1249">
        <v>0</v>
      </c>
      <c r="AX1249">
        <v>311000</v>
      </c>
      <c r="AY1249" t="s">
        <v>161</v>
      </c>
      <c r="AZ1249">
        <v>49.75</v>
      </c>
      <c r="BA1249">
        <v>49.75</v>
      </c>
      <c r="BB1249">
        <v>0</v>
      </c>
      <c r="BC1249" t="s">
        <v>171</v>
      </c>
      <c r="BD1249">
        <v>1509</v>
      </c>
      <c r="BE1249" t="s">
        <v>169</v>
      </c>
      <c r="BF1249" t="s">
        <v>163</v>
      </c>
      <c r="BG1249" t="s">
        <v>164</v>
      </c>
    </row>
    <row r="1250" spans="1:59">
      <c r="A1250">
        <v>1115</v>
      </c>
      <c r="B1250">
        <v>1115</v>
      </c>
      <c r="C1250">
        <v>10</v>
      </c>
      <c r="D1250">
        <v>2</v>
      </c>
      <c r="E1250" t="s">
        <v>152</v>
      </c>
      <c r="F1250" t="s">
        <v>153</v>
      </c>
      <c r="G1250" t="s">
        <v>154</v>
      </c>
      <c r="H1250">
        <v>1526006774</v>
      </c>
      <c r="I1250">
        <v>1000007053</v>
      </c>
      <c r="L1250" t="s">
        <v>362</v>
      </c>
      <c r="M1250">
        <v>5100001935</v>
      </c>
      <c r="N1250" t="s">
        <v>155</v>
      </c>
      <c r="O1250" t="s">
        <v>156</v>
      </c>
      <c r="P1250">
        <v>4110059361</v>
      </c>
      <c r="Q1250" t="s">
        <v>243</v>
      </c>
      <c r="R1250">
        <v>5000</v>
      </c>
      <c r="S1250" t="s">
        <v>166</v>
      </c>
      <c r="V1250" t="s">
        <v>167</v>
      </c>
      <c r="W1250">
        <v>1502020125</v>
      </c>
      <c r="X1250" t="s">
        <v>244</v>
      </c>
      <c r="Y1250" t="str">
        <f>VLOOKUP(W1250,Sheet4!$A$5:$B$71,2,0)</f>
        <v>RE STYLING</v>
      </c>
      <c r="Z1250">
        <v>87082900</v>
      </c>
      <c r="AA1250">
        <v>15</v>
      </c>
      <c r="AB1250" t="s">
        <v>159</v>
      </c>
      <c r="AC1250" s="24">
        <v>6435.33</v>
      </c>
      <c r="AD1250" t="s">
        <v>160</v>
      </c>
      <c r="AE1250" s="24">
        <v>96529.95</v>
      </c>
      <c r="AF1250">
        <v>0</v>
      </c>
      <c r="AG1250" s="24">
        <v>96529.95</v>
      </c>
      <c r="AH1250">
        <v>0</v>
      </c>
      <c r="AI1250">
        <v>0</v>
      </c>
      <c r="AJ1250">
        <v>0</v>
      </c>
      <c r="AK1250">
        <v>0</v>
      </c>
      <c r="AL1250" s="24">
        <v>96529.95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 s="24">
        <v>96529.95</v>
      </c>
      <c r="AV1250">
        <v>0</v>
      </c>
      <c r="AW1250">
        <v>0</v>
      </c>
      <c r="AX1250">
        <v>311000</v>
      </c>
      <c r="AY1250" t="s">
        <v>161</v>
      </c>
      <c r="AZ1250">
        <v>0</v>
      </c>
      <c r="BA1250">
        <v>0</v>
      </c>
      <c r="BB1250">
        <v>0</v>
      </c>
      <c r="BC1250" t="s">
        <v>245</v>
      </c>
      <c r="BD1250">
        <v>1509</v>
      </c>
      <c r="BE1250" t="s">
        <v>169</v>
      </c>
      <c r="BF1250">
        <v>5094202534</v>
      </c>
      <c r="BG1250" t="s">
        <v>362</v>
      </c>
    </row>
    <row r="1251" spans="1:59">
      <c r="A1251">
        <v>1115</v>
      </c>
      <c r="B1251">
        <v>1115</v>
      </c>
      <c r="C1251">
        <v>10</v>
      </c>
      <c r="D1251">
        <v>2</v>
      </c>
      <c r="E1251" t="s">
        <v>152</v>
      </c>
      <c r="F1251" t="s">
        <v>153</v>
      </c>
      <c r="G1251" t="s">
        <v>154</v>
      </c>
      <c r="H1251">
        <v>1526006775</v>
      </c>
      <c r="I1251">
        <v>1000007054</v>
      </c>
      <c r="L1251" t="s">
        <v>362</v>
      </c>
      <c r="M1251">
        <v>5100001939</v>
      </c>
      <c r="N1251" t="s">
        <v>155</v>
      </c>
      <c r="O1251" t="s">
        <v>156</v>
      </c>
      <c r="P1251">
        <v>4110059608</v>
      </c>
      <c r="Q1251" t="s">
        <v>240</v>
      </c>
      <c r="R1251">
        <v>5000</v>
      </c>
      <c r="S1251" t="s">
        <v>166</v>
      </c>
      <c r="V1251" t="s">
        <v>167</v>
      </c>
      <c r="W1251">
        <v>1502020129</v>
      </c>
      <c r="X1251" t="s">
        <v>241</v>
      </c>
      <c r="Y1251" t="str">
        <f>VLOOKUP(W1251,Sheet4!$A$5:$B$71,2,0)</f>
        <v>RE STYLING</v>
      </c>
      <c r="Z1251">
        <v>87082900</v>
      </c>
      <c r="AA1251">
        <v>15</v>
      </c>
      <c r="AB1251" t="s">
        <v>159</v>
      </c>
      <c r="AC1251" s="24">
        <v>6500.18</v>
      </c>
      <c r="AD1251" t="s">
        <v>160</v>
      </c>
      <c r="AE1251" s="24">
        <v>97502.7</v>
      </c>
      <c r="AF1251">
        <v>0</v>
      </c>
      <c r="AG1251" s="24">
        <v>97502.7</v>
      </c>
      <c r="AH1251">
        <v>0</v>
      </c>
      <c r="AI1251">
        <v>0</v>
      </c>
      <c r="AJ1251">
        <v>0</v>
      </c>
      <c r="AK1251">
        <v>0</v>
      </c>
      <c r="AL1251" s="24">
        <v>97502.7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 s="24">
        <v>97502.7</v>
      </c>
      <c r="AV1251">
        <v>0</v>
      </c>
      <c r="AW1251">
        <v>0</v>
      </c>
      <c r="AX1251">
        <v>311000</v>
      </c>
      <c r="AY1251" t="s">
        <v>161</v>
      </c>
      <c r="AZ1251">
        <v>0</v>
      </c>
      <c r="BA1251">
        <v>0</v>
      </c>
      <c r="BB1251">
        <v>0</v>
      </c>
      <c r="BC1251" t="s">
        <v>242</v>
      </c>
      <c r="BD1251">
        <v>1509</v>
      </c>
      <c r="BE1251" t="s">
        <v>169</v>
      </c>
      <c r="BF1251">
        <v>5094202533</v>
      </c>
      <c r="BG1251" t="s">
        <v>362</v>
      </c>
    </row>
    <row r="1252" spans="1:59">
      <c r="A1252">
        <v>1115</v>
      </c>
      <c r="B1252">
        <v>1115</v>
      </c>
      <c r="C1252">
        <v>10</v>
      </c>
      <c r="D1252">
        <v>2</v>
      </c>
      <c r="E1252" t="s">
        <v>152</v>
      </c>
      <c r="F1252" t="s">
        <v>153</v>
      </c>
      <c r="G1252" t="s">
        <v>154</v>
      </c>
      <c r="H1252">
        <v>1526006776</v>
      </c>
      <c r="I1252">
        <v>1000007055</v>
      </c>
      <c r="L1252" t="s">
        <v>362</v>
      </c>
      <c r="M1252">
        <v>5100001636</v>
      </c>
      <c r="N1252" t="s">
        <v>155</v>
      </c>
      <c r="O1252" t="s">
        <v>156</v>
      </c>
      <c r="P1252">
        <v>4110026445</v>
      </c>
      <c r="Q1252" t="s">
        <v>170</v>
      </c>
      <c r="R1252">
        <v>5000</v>
      </c>
      <c r="S1252" t="s">
        <v>166</v>
      </c>
      <c r="V1252" t="s">
        <v>167</v>
      </c>
      <c r="W1252">
        <v>1502020104</v>
      </c>
      <c r="X1252" t="s">
        <v>26</v>
      </c>
      <c r="Y1252" t="str">
        <f>VLOOKUP(W1252,Sheet4!$A$5:$B$71,2,0)</f>
        <v>RE STYLING</v>
      </c>
      <c r="Z1252">
        <v>87082900</v>
      </c>
      <c r="AA1252">
        <v>15</v>
      </c>
      <c r="AB1252" t="s">
        <v>159</v>
      </c>
      <c r="AC1252" s="24">
        <v>6585.55</v>
      </c>
      <c r="AD1252" t="s">
        <v>160</v>
      </c>
      <c r="AE1252" s="24">
        <v>98783.25</v>
      </c>
      <c r="AF1252">
        <v>0</v>
      </c>
      <c r="AG1252" s="24">
        <v>98783.25</v>
      </c>
      <c r="AH1252">
        <v>0</v>
      </c>
      <c r="AI1252">
        <v>0</v>
      </c>
      <c r="AJ1252">
        <v>0</v>
      </c>
      <c r="AK1252">
        <v>0</v>
      </c>
      <c r="AL1252" s="24">
        <v>98783.25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 s="24">
        <v>98783.25</v>
      </c>
      <c r="AV1252">
        <v>0</v>
      </c>
      <c r="AW1252">
        <v>0</v>
      </c>
      <c r="AX1252">
        <v>311000</v>
      </c>
      <c r="AY1252" t="s">
        <v>161</v>
      </c>
      <c r="AZ1252">
        <v>49.75</v>
      </c>
      <c r="BA1252">
        <v>49.75</v>
      </c>
      <c r="BB1252">
        <v>0</v>
      </c>
      <c r="BC1252" t="s">
        <v>171</v>
      </c>
      <c r="BD1252">
        <v>1509</v>
      </c>
      <c r="BE1252" t="s">
        <v>169</v>
      </c>
      <c r="BF1252">
        <v>5094202654</v>
      </c>
      <c r="BG1252" t="s">
        <v>362</v>
      </c>
    </row>
    <row r="1253" spans="1:59">
      <c r="A1253">
        <v>1115</v>
      </c>
      <c r="B1253">
        <v>1115</v>
      </c>
      <c r="C1253">
        <v>10</v>
      </c>
      <c r="D1253">
        <v>2</v>
      </c>
      <c r="E1253" t="s">
        <v>152</v>
      </c>
      <c r="F1253" t="s">
        <v>153</v>
      </c>
      <c r="G1253" t="s">
        <v>154</v>
      </c>
      <c r="H1253">
        <v>1526006777</v>
      </c>
      <c r="I1253">
        <v>1000007056</v>
      </c>
      <c r="L1253" t="s">
        <v>362</v>
      </c>
      <c r="M1253">
        <v>5100001636</v>
      </c>
      <c r="N1253" t="s">
        <v>155</v>
      </c>
      <c r="O1253" t="s">
        <v>156</v>
      </c>
      <c r="P1253">
        <v>4110026445</v>
      </c>
      <c r="Q1253" t="s">
        <v>170</v>
      </c>
      <c r="R1253">
        <v>5000</v>
      </c>
      <c r="S1253" t="s">
        <v>166</v>
      </c>
      <c r="V1253" t="s">
        <v>167</v>
      </c>
      <c r="W1253">
        <v>1502020104</v>
      </c>
      <c r="X1253" t="s">
        <v>26</v>
      </c>
      <c r="Y1253" t="str">
        <f>VLOOKUP(W1253,Sheet4!$A$5:$B$71,2,0)</f>
        <v>RE STYLING</v>
      </c>
      <c r="Z1253">
        <v>87082900</v>
      </c>
      <c r="AA1253">
        <v>15</v>
      </c>
      <c r="AB1253" t="s">
        <v>159</v>
      </c>
      <c r="AC1253" s="24">
        <v>6585.55</v>
      </c>
      <c r="AD1253" t="s">
        <v>160</v>
      </c>
      <c r="AE1253" s="24">
        <v>98783.25</v>
      </c>
      <c r="AF1253">
        <v>0</v>
      </c>
      <c r="AG1253" s="24">
        <v>98783.25</v>
      </c>
      <c r="AH1253">
        <v>0</v>
      </c>
      <c r="AI1253">
        <v>0</v>
      </c>
      <c r="AJ1253">
        <v>0</v>
      </c>
      <c r="AK1253">
        <v>0</v>
      </c>
      <c r="AL1253" s="24">
        <v>98783.25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 s="24">
        <v>98783.25</v>
      </c>
      <c r="AV1253">
        <v>0</v>
      </c>
      <c r="AW1253">
        <v>0</v>
      </c>
      <c r="AX1253">
        <v>311000</v>
      </c>
      <c r="AY1253" t="s">
        <v>161</v>
      </c>
      <c r="AZ1253">
        <v>49.75</v>
      </c>
      <c r="BA1253">
        <v>49.75</v>
      </c>
      <c r="BB1253">
        <v>0</v>
      </c>
      <c r="BC1253" t="s">
        <v>171</v>
      </c>
      <c r="BD1253">
        <v>1509</v>
      </c>
      <c r="BE1253" t="s">
        <v>169</v>
      </c>
      <c r="BF1253">
        <v>5094202545</v>
      </c>
      <c r="BG1253" t="s">
        <v>362</v>
      </c>
    </row>
    <row r="1254" spans="1:59">
      <c r="A1254">
        <v>1115</v>
      </c>
      <c r="B1254">
        <v>1115</v>
      </c>
      <c r="C1254">
        <v>10</v>
      </c>
      <c r="D1254">
        <v>2</v>
      </c>
      <c r="E1254" t="s">
        <v>152</v>
      </c>
      <c r="F1254" t="s">
        <v>153</v>
      </c>
      <c r="G1254" t="s">
        <v>154</v>
      </c>
      <c r="H1254">
        <v>1526006778</v>
      </c>
      <c r="I1254">
        <v>1000007057</v>
      </c>
      <c r="L1254" t="s">
        <v>362</v>
      </c>
      <c r="M1254">
        <v>5100001636</v>
      </c>
      <c r="N1254" t="s">
        <v>155</v>
      </c>
      <c r="O1254" t="s">
        <v>156</v>
      </c>
      <c r="P1254">
        <v>4110026445</v>
      </c>
      <c r="Q1254" t="s">
        <v>170</v>
      </c>
      <c r="R1254">
        <v>5000</v>
      </c>
      <c r="S1254" t="s">
        <v>166</v>
      </c>
      <c r="V1254" t="s">
        <v>167</v>
      </c>
      <c r="W1254">
        <v>1502020104</v>
      </c>
      <c r="X1254" t="s">
        <v>26</v>
      </c>
      <c r="Y1254" t="str">
        <f>VLOOKUP(W1254,Sheet4!$A$5:$B$71,2,0)</f>
        <v>RE STYLING</v>
      </c>
      <c r="Z1254">
        <v>87082900</v>
      </c>
      <c r="AA1254">
        <v>15</v>
      </c>
      <c r="AB1254" t="s">
        <v>159</v>
      </c>
      <c r="AC1254" s="24">
        <v>6585.55</v>
      </c>
      <c r="AD1254" t="s">
        <v>160</v>
      </c>
      <c r="AE1254" s="24">
        <v>98783.25</v>
      </c>
      <c r="AF1254">
        <v>0</v>
      </c>
      <c r="AG1254" s="24">
        <v>98783.25</v>
      </c>
      <c r="AH1254">
        <v>0</v>
      </c>
      <c r="AI1254">
        <v>0</v>
      </c>
      <c r="AJ1254">
        <v>0</v>
      </c>
      <c r="AK1254">
        <v>0</v>
      </c>
      <c r="AL1254" s="24">
        <v>98783.25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 s="24">
        <v>98783.25</v>
      </c>
      <c r="AV1254">
        <v>0</v>
      </c>
      <c r="AW1254">
        <v>0</v>
      </c>
      <c r="AX1254">
        <v>311000</v>
      </c>
      <c r="AY1254" t="s">
        <v>161</v>
      </c>
      <c r="AZ1254">
        <v>49.75</v>
      </c>
      <c r="BA1254">
        <v>49.75</v>
      </c>
      <c r="BB1254">
        <v>0</v>
      </c>
      <c r="BC1254" t="s">
        <v>171</v>
      </c>
      <c r="BD1254">
        <v>1509</v>
      </c>
      <c r="BE1254" t="s">
        <v>169</v>
      </c>
      <c r="BF1254" t="s">
        <v>163</v>
      </c>
      <c r="BG1254" t="s">
        <v>164</v>
      </c>
    </row>
    <row r="1255" spans="1:59">
      <c r="A1255">
        <v>1115</v>
      </c>
      <c r="B1255">
        <v>1115</v>
      </c>
      <c r="C1255">
        <v>10</v>
      </c>
      <c r="D1255">
        <v>2</v>
      </c>
      <c r="E1255" t="s">
        <v>152</v>
      </c>
      <c r="F1255" t="s">
        <v>153</v>
      </c>
      <c r="G1255" t="s">
        <v>154</v>
      </c>
      <c r="H1255">
        <v>1526006779</v>
      </c>
      <c r="I1255">
        <v>1000007058</v>
      </c>
      <c r="L1255" t="s">
        <v>362</v>
      </c>
      <c r="M1255">
        <v>5100001636</v>
      </c>
      <c r="N1255" t="s">
        <v>155</v>
      </c>
      <c r="O1255" t="s">
        <v>156</v>
      </c>
      <c r="P1255">
        <v>4110026445</v>
      </c>
      <c r="Q1255" t="s">
        <v>170</v>
      </c>
      <c r="R1255">
        <v>5000</v>
      </c>
      <c r="S1255" t="s">
        <v>166</v>
      </c>
      <c r="V1255" t="s">
        <v>167</v>
      </c>
      <c r="W1255">
        <v>1502020104</v>
      </c>
      <c r="X1255" t="s">
        <v>26</v>
      </c>
      <c r="Y1255" t="str">
        <f>VLOOKUP(W1255,Sheet4!$A$5:$B$71,2,0)</f>
        <v>RE STYLING</v>
      </c>
      <c r="Z1255">
        <v>87082900</v>
      </c>
      <c r="AA1255">
        <v>15</v>
      </c>
      <c r="AB1255" t="s">
        <v>159</v>
      </c>
      <c r="AC1255" s="24">
        <v>6585.55</v>
      </c>
      <c r="AD1255" t="s">
        <v>160</v>
      </c>
      <c r="AE1255" s="24">
        <v>98783.25</v>
      </c>
      <c r="AF1255">
        <v>0</v>
      </c>
      <c r="AG1255" s="24">
        <v>98783.25</v>
      </c>
      <c r="AH1255">
        <v>0</v>
      </c>
      <c r="AI1255">
        <v>0</v>
      </c>
      <c r="AJ1255">
        <v>0</v>
      </c>
      <c r="AK1255">
        <v>0</v>
      </c>
      <c r="AL1255" s="24">
        <v>98783.25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 s="24">
        <v>98783.25</v>
      </c>
      <c r="AV1255">
        <v>0</v>
      </c>
      <c r="AW1255">
        <v>0</v>
      </c>
      <c r="AX1255">
        <v>311000</v>
      </c>
      <c r="AY1255" t="s">
        <v>161</v>
      </c>
      <c r="AZ1255">
        <v>49.75</v>
      </c>
      <c r="BA1255">
        <v>49.75</v>
      </c>
      <c r="BB1255">
        <v>0</v>
      </c>
      <c r="BC1255" t="s">
        <v>171</v>
      </c>
      <c r="BD1255">
        <v>1509</v>
      </c>
      <c r="BE1255" t="s">
        <v>169</v>
      </c>
      <c r="BF1255" t="s">
        <v>163</v>
      </c>
      <c r="BG1255" t="s">
        <v>164</v>
      </c>
    </row>
    <row r="1256" spans="1:59">
      <c r="A1256">
        <v>1115</v>
      </c>
      <c r="B1256">
        <v>1115</v>
      </c>
      <c r="C1256">
        <v>10</v>
      </c>
      <c r="D1256">
        <v>2</v>
      </c>
      <c r="E1256" t="s">
        <v>152</v>
      </c>
      <c r="F1256" t="s">
        <v>153</v>
      </c>
      <c r="G1256" t="s">
        <v>154</v>
      </c>
      <c r="H1256">
        <v>1526006780</v>
      </c>
      <c r="I1256">
        <v>1000007059</v>
      </c>
      <c r="L1256" t="s">
        <v>362</v>
      </c>
      <c r="M1256">
        <v>5100001928</v>
      </c>
      <c r="N1256" t="s">
        <v>155</v>
      </c>
      <c r="O1256" t="s">
        <v>156</v>
      </c>
      <c r="P1256">
        <v>4110057393</v>
      </c>
      <c r="Q1256" t="s">
        <v>192</v>
      </c>
      <c r="R1256">
        <v>5000</v>
      </c>
      <c r="S1256" t="s">
        <v>166</v>
      </c>
      <c r="V1256" t="s">
        <v>167</v>
      </c>
      <c r="W1256">
        <v>1502020122</v>
      </c>
      <c r="X1256" t="s">
        <v>70</v>
      </c>
      <c r="Y1256" t="str">
        <f>VLOOKUP(W1256,Sheet4!$A$5:$B$71,2,0)</f>
        <v>MAX UG NEW EV</v>
      </c>
      <c r="Z1256">
        <v>87082900</v>
      </c>
      <c r="AA1256">
        <v>10</v>
      </c>
      <c r="AB1256" t="s">
        <v>159</v>
      </c>
      <c r="AC1256" s="24">
        <v>9566.51</v>
      </c>
      <c r="AD1256" t="s">
        <v>160</v>
      </c>
      <c r="AE1256" s="24">
        <v>95665.1</v>
      </c>
      <c r="AF1256">
        <v>0</v>
      </c>
      <c r="AG1256" s="24">
        <v>95665.1</v>
      </c>
      <c r="AH1256">
        <v>0</v>
      </c>
      <c r="AI1256">
        <v>0</v>
      </c>
      <c r="AJ1256">
        <v>0</v>
      </c>
      <c r="AK1256">
        <v>0</v>
      </c>
      <c r="AL1256" s="24">
        <v>95665.1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 s="24">
        <v>95665.1</v>
      </c>
      <c r="AV1256">
        <v>0</v>
      </c>
      <c r="AW1256">
        <v>0</v>
      </c>
      <c r="AX1256">
        <v>311000</v>
      </c>
      <c r="AY1256" t="s">
        <v>161</v>
      </c>
      <c r="AZ1256">
        <v>0</v>
      </c>
      <c r="BA1256">
        <v>61</v>
      </c>
      <c r="BB1256">
        <v>-61</v>
      </c>
      <c r="BC1256" t="s">
        <v>193</v>
      </c>
      <c r="BD1256">
        <v>1509</v>
      </c>
      <c r="BE1256" t="s">
        <v>169</v>
      </c>
      <c r="BF1256">
        <v>5094202798</v>
      </c>
      <c r="BG1256" t="s">
        <v>362</v>
      </c>
    </row>
    <row r="1257" spans="1:59">
      <c r="A1257">
        <v>1115</v>
      </c>
      <c r="B1257">
        <v>1115</v>
      </c>
      <c r="C1257">
        <v>10</v>
      </c>
      <c r="D1257">
        <v>2</v>
      </c>
      <c r="E1257" t="s">
        <v>152</v>
      </c>
      <c r="F1257" t="s">
        <v>153</v>
      </c>
      <c r="G1257" t="s">
        <v>154</v>
      </c>
      <c r="H1257">
        <v>1526006781</v>
      </c>
      <c r="I1257">
        <v>1000007060</v>
      </c>
      <c r="L1257" t="s">
        <v>362</v>
      </c>
      <c r="M1257">
        <v>5100001928</v>
      </c>
      <c r="N1257" t="s">
        <v>155</v>
      </c>
      <c r="O1257" t="s">
        <v>156</v>
      </c>
      <c r="P1257">
        <v>4110057393</v>
      </c>
      <c r="Q1257" t="s">
        <v>192</v>
      </c>
      <c r="R1257">
        <v>5000</v>
      </c>
      <c r="S1257" t="s">
        <v>166</v>
      </c>
      <c r="V1257" t="s">
        <v>167</v>
      </c>
      <c r="W1257">
        <v>1502020122</v>
      </c>
      <c r="X1257" t="s">
        <v>70</v>
      </c>
      <c r="Y1257" t="str">
        <f>VLOOKUP(W1257,Sheet4!$A$5:$B$71,2,0)</f>
        <v>MAX UG NEW EV</v>
      </c>
      <c r="Z1257">
        <v>87082900</v>
      </c>
      <c r="AA1257">
        <v>10</v>
      </c>
      <c r="AB1257" t="s">
        <v>159</v>
      </c>
      <c r="AC1257" s="24">
        <v>9566.51</v>
      </c>
      <c r="AD1257" t="s">
        <v>160</v>
      </c>
      <c r="AE1257" s="24">
        <v>95665.1</v>
      </c>
      <c r="AF1257">
        <v>0</v>
      </c>
      <c r="AG1257" s="24">
        <v>95665.1</v>
      </c>
      <c r="AH1257">
        <v>0</v>
      </c>
      <c r="AI1257">
        <v>0</v>
      </c>
      <c r="AJ1257">
        <v>0</v>
      </c>
      <c r="AK1257">
        <v>0</v>
      </c>
      <c r="AL1257" s="24">
        <v>95665.1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 s="24">
        <v>95665.1</v>
      </c>
      <c r="AV1257">
        <v>0</v>
      </c>
      <c r="AW1257">
        <v>0</v>
      </c>
      <c r="AX1257">
        <v>311000</v>
      </c>
      <c r="AY1257" t="s">
        <v>161</v>
      </c>
      <c r="AZ1257">
        <v>0</v>
      </c>
      <c r="BA1257">
        <v>61</v>
      </c>
      <c r="BB1257">
        <v>-61</v>
      </c>
      <c r="BC1257" t="s">
        <v>193</v>
      </c>
      <c r="BD1257">
        <v>1509</v>
      </c>
      <c r="BE1257" t="s">
        <v>169</v>
      </c>
      <c r="BF1257">
        <v>5094202989</v>
      </c>
      <c r="BG1257" t="s">
        <v>362</v>
      </c>
    </row>
    <row r="1258" spans="1:59">
      <c r="A1258">
        <v>1115</v>
      </c>
      <c r="B1258">
        <v>1115</v>
      </c>
      <c r="C1258">
        <v>10</v>
      </c>
      <c r="D1258">
        <v>2</v>
      </c>
      <c r="E1258" t="s">
        <v>152</v>
      </c>
      <c r="F1258" t="s">
        <v>153</v>
      </c>
      <c r="G1258" t="s">
        <v>154</v>
      </c>
      <c r="H1258">
        <v>1526006782</v>
      </c>
      <c r="I1258">
        <v>1000007061</v>
      </c>
      <c r="L1258" t="s">
        <v>362</v>
      </c>
      <c r="M1258">
        <v>5100001928</v>
      </c>
      <c r="N1258" t="s">
        <v>155</v>
      </c>
      <c r="O1258" t="s">
        <v>156</v>
      </c>
      <c r="P1258">
        <v>4110057393</v>
      </c>
      <c r="Q1258" t="s">
        <v>192</v>
      </c>
      <c r="R1258">
        <v>5000</v>
      </c>
      <c r="S1258" t="s">
        <v>166</v>
      </c>
      <c r="V1258" t="s">
        <v>167</v>
      </c>
      <c r="W1258">
        <v>1502020122</v>
      </c>
      <c r="X1258" t="s">
        <v>70</v>
      </c>
      <c r="Y1258" t="str">
        <f>VLOOKUP(W1258,Sheet4!$A$5:$B$71,2,0)</f>
        <v>MAX UG NEW EV</v>
      </c>
      <c r="Z1258">
        <v>87082900</v>
      </c>
      <c r="AA1258">
        <v>10</v>
      </c>
      <c r="AB1258" t="s">
        <v>159</v>
      </c>
      <c r="AC1258" s="24">
        <v>9566.51</v>
      </c>
      <c r="AD1258" t="s">
        <v>160</v>
      </c>
      <c r="AE1258" s="24">
        <v>95665.1</v>
      </c>
      <c r="AF1258">
        <v>0</v>
      </c>
      <c r="AG1258" s="24">
        <v>95665.1</v>
      </c>
      <c r="AH1258">
        <v>0</v>
      </c>
      <c r="AI1258">
        <v>0</v>
      </c>
      <c r="AJ1258">
        <v>0</v>
      </c>
      <c r="AK1258">
        <v>0</v>
      </c>
      <c r="AL1258" s="24">
        <v>95665.1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 s="24">
        <v>95665.1</v>
      </c>
      <c r="AV1258">
        <v>0</v>
      </c>
      <c r="AW1258">
        <v>0</v>
      </c>
      <c r="AX1258">
        <v>311000</v>
      </c>
      <c r="AY1258" t="s">
        <v>161</v>
      </c>
      <c r="AZ1258">
        <v>0</v>
      </c>
      <c r="BA1258">
        <v>61</v>
      </c>
      <c r="BB1258">
        <v>-61</v>
      </c>
      <c r="BC1258" t="s">
        <v>193</v>
      </c>
      <c r="BD1258">
        <v>1509</v>
      </c>
      <c r="BE1258" t="s">
        <v>169</v>
      </c>
      <c r="BF1258">
        <v>5094202449</v>
      </c>
      <c r="BG1258" t="s">
        <v>362</v>
      </c>
    </row>
    <row r="1259" spans="1:59">
      <c r="A1259">
        <v>1115</v>
      </c>
      <c r="B1259">
        <v>1115</v>
      </c>
      <c r="C1259">
        <v>10</v>
      </c>
      <c r="D1259">
        <v>2</v>
      </c>
      <c r="E1259" t="s">
        <v>152</v>
      </c>
      <c r="F1259" t="s">
        <v>153</v>
      </c>
      <c r="G1259" t="s">
        <v>154</v>
      </c>
      <c r="H1259">
        <v>1526006783</v>
      </c>
      <c r="I1259">
        <v>1000007062</v>
      </c>
      <c r="L1259" t="s">
        <v>362</v>
      </c>
      <c r="M1259">
        <v>5100001928</v>
      </c>
      <c r="N1259" t="s">
        <v>155</v>
      </c>
      <c r="O1259" t="s">
        <v>156</v>
      </c>
      <c r="P1259">
        <v>4110057393</v>
      </c>
      <c r="Q1259" t="s">
        <v>192</v>
      </c>
      <c r="R1259">
        <v>5000</v>
      </c>
      <c r="S1259" t="s">
        <v>166</v>
      </c>
      <c r="V1259" t="s">
        <v>167</v>
      </c>
      <c r="W1259">
        <v>1502020122</v>
      </c>
      <c r="X1259" t="s">
        <v>70</v>
      </c>
      <c r="Y1259" t="str">
        <f>VLOOKUP(W1259,Sheet4!$A$5:$B$71,2,0)</f>
        <v>MAX UG NEW EV</v>
      </c>
      <c r="Z1259">
        <v>87082900</v>
      </c>
      <c r="AA1259">
        <v>10</v>
      </c>
      <c r="AB1259" t="s">
        <v>159</v>
      </c>
      <c r="AC1259" s="24">
        <v>9566.51</v>
      </c>
      <c r="AD1259" t="s">
        <v>160</v>
      </c>
      <c r="AE1259" s="24">
        <v>95665.1</v>
      </c>
      <c r="AF1259">
        <v>0</v>
      </c>
      <c r="AG1259" s="24">
        <v>95665.1</v>
      </c>
      <c r="AH1259">
        <v>0</v>
      </c>
      <c r="AI1259">
        <v>0</v>
      </c>
      <c r="AJ1259">
        <v>0</v>
      </c>
      <c r="AK1259">
        <v>0</v>
      </c>
      <c r="AL1259" s="24">
        <v>95665.1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 s="24">
        <v>95665.1</v>
      </c>
      <c r="AV1259">
        <v>0</v>
      </c>
      <c r="AW1259">
        <v>0</v>
      </c>
      <c r="AX1259">
        <v>311000</v>
      </c>
      <c r="AY1259" t="s">
        <v>161</v>
      </c>
      <c r="AZ1259">
        <v>0</v>
      </c>
      <c r="BA1259">
        <v>61</v>
      </c>
      <c r="BB1259">
        <v>-61</v>
      </c>
      <c r="BC1259" t="s">
        <v>193</v>
      </c>
      <c r="BD1259">
        <v>1509</v>
      </c>
      <c r="BE1259" t="s">
        <v>169</v>
      </c>
      <c r="BF1259">
        <v>5094205910</v>
      </c>
      <c r="BG1259" t="s">
        <v>362</v>
      </c>
    </row>
    <row r="1260" spans="1:59">
      <c r="A1260">
        <v>1115</v>
      </c>
      <c r="B1260">
        <v>1115</v>
      </c>
      <c r="C1260">
        <v>10</v>
      </c>
      <c r="D1260">
        <v>2</v>
      </c>
      <c r="E1260" t="s">
        <v>152</v>
      </c>
      <c r="F1260" t="s">
        <v>153</v>
      </c>
      <c r="G1260" t="s">
        <v>154</v>
      </c>
      <c r="H1260">
        <v>1526006784</v>
      </c>
      <c r="I1260">
        <v>1000007063</v>
      </c>
      <c r="L1260" t="s">
        <v>362</v>
      </c>
      <c r="M1260">
        <v>5100001935</v>
      </c>
      <c r="N1260" t="s">
        <v>155</v>
      </c>
      <c r="O1260" t="s">
        <v>156</v>
      </c>
      <c r="P1260">
        <v>4110059361</v>
      </c>
      <c r="Q1260" t="s">
        <v>243</v>
      </c>
      <c r="R1260">
        <v>5000</v>
      </c>
      <c r="S1260" t="s">
        <v>166</v>
      </c>
      <c r="V1260" t="s">
        <v>167</v>
      </c>
      <c r="W1260">
        <v>1502020125</v>
      </c>
      <c r="X1260" t="s">
        <v>244</v>
      </c>
      <c r="Y1260" t="str">
        <f>VLOOKUP(W1260,Sheet4!$A$5:$B$71,2,0)</f>
        <v>RE STYLING</v>
      </c>
      <c r="Z1260">
        <v>87082900</v>
      </c>
      <c r="AA1260">
        <v>15</v>
      </c>
      <c r="AB1260" t="s">
        <v>159</v>
      </c>
      <c r="AC1260" s="24">
        <v>6435.33</v>
      </c>
      <c r="AD1260" t="s">
        <v>160</v>
      </c>
      <c r="AE1260" s="24">
        <v>96529.95</v>
      </c>
      <c r="AF1260">
        <v>0</v>
      </c>
      <c r="AG1260" s="24">
        <v>96529.95</v>
      </c>
      <c r="AH1260">
        <v>0</v>
      </c>
      <c r="AI1260">
        <v>0</v>
      </c>
      <c r="AJ1260">
        <v>0</v>
      </c>
      <c r="AK1260">
        <v>0</v>
      </c>
      <c r="AL1260" s="24">
        <v>96529.95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 s="24">
        <v>96529.95</v>
      </c>
      <c r="AV1260">
        <v>0</v>
      </c>
      <c r="AW1260">
        <v>0</v>
      </c>
      <c r="AX1260">
        <v>311000</v>
      </c>
      <c r="AY1260" t="s">
        <v>161</v>
      </c>
      <c r="AZ1260">
        <v>0</v>
      </c>
      <c r="BA1260">
        <v>0</v>
      </c>
      <c r="BB1260">
        <v>0</v>
      </c>
      <c r="BC1260" t="s">
        <v>245</v>
      </c>
      <c r="BD1260">
        <v>1509</v>
      </c>
      <c r="BE1260" t="s">
        <v>169</v>
      </c>
      <c r="BF1260">
        <v>5094202650</v>
      </c>
      <c r="BG1260" t="s">
        <v>362</v>
      </c>
    </row>
    <row r="1261" spans="1:59">
      <c r="A1261">
        <v>1115</v>
      </c>
      <c r="B1261">
        <v>1115</v>
      </c>
      <c r="C1261">
        <v>10</v>
      </c>
      <c r="D1261">
        <v>2</v>
      </c>
      <c r="E1261" t="s">
        <v>152</v>
      </c>
      <c r="F1261" t="s">
        <v>153</v>
      </c>
      <c r="G1261" t="s">
        <v>154</v>
      </c>
      <c r="H1261">
        <v>1526006785</v>
      </c>
      <c r="I1261">
        <v>1000007064</v>
      </c>
      <c r="L1261" t="s">
        <v>362</v>
      </c>
      <c r="M1261">
        <v>5100001955</v>
      </c>
      <c r="N1261" t="s">
        <v>155</v>
      </c>
      <c r="O1261" t="s">
        <v>156</v>
      </c>
      <c r="P1261">
        <v>5500001432</v>
      </c>
      <c r="Q1261" t="s">
        <v>320</v>
      </c>
      <c r="R1261">
        <v>5356</v>
      </c>
      <c r="S1261" t="s">
        <v>158</v>
      </c>
      <c r="W1261">
        <v>1104040829</v>
      </c>
      <c r="X1261" t="s">
        <v>321</v>
      </c>
      <c r="Y1261" t="s">
        <v>339</v>
      </c>
      <c r="Z1261">
        <v>87141090</v>
      </c>
      <c r="AA1261">
        <v>324</v>
      </c>
      <c r="AB1261" t="s">
        <v>159</v>
      </c>
      <c r="AC1261">
        <v>136.6</v>
      </c>
      <c r="AD1261" t="s">
        <v>160</v>
      </c>
      <c r="AE1261" s="24">
        <v>44258.400000000001</v>
      </c>
      <c r="AF1261">
        <v>0</v>
      </c>
      <c r="AG1261" s="24">
        <v>44258.400000000001</v>
      </c>
      <c r="AH1261">
        <v>0</v>
      </c>
      <c r="AI1261">
        <v>0</v>
      </c>
      <c r="AJ1261">
        <v>0</v>
      </c>
      <c r="AK1261">
        <v>0</v>
      </c>
      <c r="AL1261" s="24">
        <v>44258.400000000001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 s="24">
        <v>44258.400000000001</v>
      </c>
      <c r="AV1261">
        <v>0</v>
      </c>
      <c r="AW1261">
        <v>0</v>
      </c>
      <c r="AX1261">
        <v>311003</v>
      </c>
      <c r="AY1261" t="s">
        <v>322</v>
      </c>
      <c r="AZ1261">
        <v>2.62</v>
      </c>
      <c r="BA1261">
        <v>2.62</v>
      </c>
      <c r="BB1261">
        <v>0</v>
      </c>
      <c r="BC1261">
        <v>2000000894</v>
      </c>
      <c r="BD1261">
        <v>1123</v>
      </c>
      <c r="BE1261" t="s">
        <v>323</v>
      </c>
      <c r="BF1261" t="s">
        <v>163</v>
      </c>
      <c r="BG1261" t="s">
        <v>164</v>
      </c>
    </row>
    <row r="1262" spans="1:59">
      <c r="A1262">
        <v>1115</v>
      </c>
      <c r="B1262">
        <v>1115</v>
      </c>
      <c r="C1262">
        <v>10</v>
      </c>
      <c r="D1262">
        <v>2</v>
      </c>
      <c r="E1262" t="s">
        <v>152</v>
      </c>
      <c r="F1262" t="s">
        <v>153</v>
      </c>
      <c r="G1262" t="s">
        <v>154</v>
      </c>
      <c r="H1262">
        <v>1526006786</v>
      </c>
      <c r="I1262">
        <v>1000007065</v>
      </c>
      <c r="L1262" t="s">
        <v>362</v>
      </c>
      <c r="M1262">
        <v>5100001636</v>
      </c>
      <c r="N1262" t="s">
        <v>155</v>
      </c>
      <c r="O1262" t="s">
        <v>156</v>
      </c>
      <c r="P1262">
        <v>4110026445</v>
      </c>
      <c r="Q1262" t="s">
        <v>170</v>
      </c>
      <c r="R1262">
        <v>5000</v>
      </c>
      <c r="S1262" t="s">
        <v>166</v>
      </c>
      <c r="V1262" t="s">
        <v>167</v>
      </c>
      <c r="W1262">
        <v>1502020104</v>
      </c>
      <c r="X1262" t="s">
        <v>26</v>
      </c>
      <c r="Y1262" t="str">
        <f>VLOOKUP(W1262,Sheet4!$A$5:$B$71,2,0)</f>
        <v>RE STYLING</v>
      </c>
      <c r="Z1262">
        <v>87082900</v>
      </c>
      <c r="AA1262">
        <v>15</v>
      </c>
      <c r="AB1262" t="s">
        <v>159</v>
      </c>
      <c r="AC1262" s="24">
        <v>6585.55</v>
      </c>
      <c r="AD1262" t="s">
        <v>160</v>
      </c>
      <c r="AE1262" s="24">
        <v>98783.25</v>
      </c>
      <c r="AF1262">
        <v>0</v>
      </c>
      <c r="AG1262" s="24">
        <v>98783.25</v>
      </c>
      <c r="AH1262">
        <v>0</v>
      </c>
      <c r="AI1262">
        <v>0</v>
      </c>
      <c r="AJ1262">
        <v>0</v>
      </c>
      <c r="AK1262">
        <v>0</v>
      </c>
      <c r="AL1262" s="24">
        <v>98783.25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 s="24">
        <v>98783.25</v>
      </c>
      <c r="AV1262">
        <v>0</v>
      </c>
      <c r="AW1262">
        <v>0</v>
      </c>
      <c r="AX1262">
        <v>311000</v>
      </c>
      <c r="AY1262" t="s">
        <v>161</v>
      </c>
      <c r="AZ1262">
        <v>49.75</v>
      </c>
      <c r="BA1262">
        <v>49.75</v>
      </c>
      <c r="BB1262">
        <v>0</v>
      </c>
      <c r="BC1262" t="s">
        <v>171</v>
      </c>
      <c r="BD1262">
        <v>1509</v>
      </c>
      <c r="BE1262" t="s">
        <v>169</v>
      </c>
      <c r="BF1262" t="s">
        <v>163</v>
      </c>
      <c r="BG1262" t="s">
        <v>164</v>
      </c>
    </row>
    <row r="1263" spans="1:59">
      <c r="A1263">
        <v>1115</v>
      </c>
      <c r="B1263">
        <v>1115</v>
      </c>
      <c r="C1263">
        <v>10</v>
      </c>
      <c r="D1263">
        <v>2</v>
      </c>
      <c r="E1263" t="s">
        <v>152</v>
      </c>
      <c r="F1263" t="s">
        <v>153</v>
      </c>
      <c r="G1263" t="s">
        <v>154</v>
      </c>
      <c r="H1263">
        <v>1526006787</v>
      </c>
      <c r="I1263">
        <v>1000007066</v>
      </c>
      <c r="L1263" t="s">
        <v>362</v>
      </c>
      <c r="M1263">
        <v>5100001636</v>
      </c>
      <c r="N1263" t="s">
        <v>155</v>
      </c>
      <c r="O1263" t="s">
        <v>156</v>
      </c>
      <c r="P1263">
        <v>4110026445</v>
      </c>
      <c r="Q1263" t="s">
        <v>170</v>
      </c>
      <c r="R1263">
        <v>5000</v>
      </c>
      <c r="S1263" t="s">
        <v>166</v>
      </c>
      <c r="V1263" t="s">
        <v>167</v>
      </c>
      <c r="W1263">
        <v>1502020104</v>
      </c>
      <c r="X1263" t="s">
        <v>26</v>
      </c>
      <c r="Y1263" t="str">
        <f>VLOOKUP(W1263,Sheet4!$A$5:$B$71,2,0)</f>
        <v>RE STYLING</v>
      </c>
      <c r="Z1263">
        <v>87082900</v>
      </c>
      <c r="AA1263">
        <v>15</v>
      </c>
      <c r="AB1263" t="s">
        <v>159</v>
      </c>
      <c r="AC1263" s="24">
        <v>6585.55</v>
      </c>
      <c r="AD1263" t="s">
        <v>160</v>
      </c>
      <c r="AE1263" s="24">
        <v>98783.25</v>
      </c>
      <c r="AF1263">
        <v>0</v>
      </c>
      <c r="AG1263" s="24">
        <v>98783.25</v>
      </c>
      <c r="AH1263">
        <v>0</v>
      </c>
      <c r="AI1263">
        <v>0</v>
      </c>
      <c r="AJ1263">
        <v>0</v>
      </c>
      <c r="AK1263">
        <v>0</v>
      </c>
      <c r="AL1263" s="24">
        <v>98783.25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s="24">
        <v>98783.25</v>
      </c>
      <c r="AV1263">
        <v>0</v>
      </c>
      <c r="AW1263">
        <v>0</v>
      </c>
      <c r="AX1263">
        <v>311000</v>
      </c>
      <c r="AY1263" t="s">
        <v>161</v>
      </c>
      <c r="AZ1263">
        <v>49.75</v>
      </c>
      <c r="BA1263">
        <v>49.75</v>
      </c>
      <c r="BB1263">
        <v>0</v>
      </c>
      <c r="BC1263" t="s">
        <v>171</v>
      </c>
      <c r="BD1263">
        <v>1509</v>
      </c>
      <c r="BE1263" t="s">
        <v>169</v>
      </c>
      <c r="BF1263" t="s">
        <v>163</v>
      </c>
      <c r="BG1263" t="s">
        <v>164</v>
      </c>
    </row>
    <row r="1264" spans="1:59">
      <c r="A1264">
        <v>1115</v>
      </c>
      <c r="B1264">
        <v>1115</v>
      </c>
      <c r="C1264">
        <v>10</v>
      </c>
      <c r="D1264">
        <v>2</v>
      </c>
      <c r="E1264" t="s">
        <v>152</v>
      </c>
      <c r="F1264" t="s">
        <v>153</v>
      </c>
      <c r="G1264" t="s">
        <v>154</v>
      </c>
      <c r="H1264">
        <v>1526006788</v>
      </c>
      <c r="I1264">
        <v>1000007067</v>
      </c>
      <c r="L1264" t="s">
        <v>362</v>
      </c>
      <c r="M1264">
        <v>5100001636</v>
      </c>
      <c r="N1264" t="s">
        <v>155</v>
      </c>
      <c r="O1264" t="s">
        <v>156</v>
      </c>
      <c r="P1264">
        <v>4110026445</v>
      </c>
      <c r="Q1264" t="s">
        <v>170</v>
      </c>
      <c r="R1264">
        <v>5000</v>
      </c>
      <c r="S1264" t="s">
        <v>166</v>
      </c>
      <c r="V1264" t="s">
        <v>167</v>
      </c>
      <c r="W1264">
        <v>1502020104</v>
      </c>
      <c r="X1264" t="s">
        <v>26</v>
      </c>
      <c r="Y1264" t="str">
        <f>VLOOKUP(W1264,Sheet4!$A$5:$B$71,2,0)</f>
        <v>RE STYLING</v>
      </c>
      <c r="Z1264">
        <v>87082900</v>
      </c>
      <c r="AA1264">
        <v>15</v>
      </c>
      <c r="AB1264" t="s">
        <v>159</v>
      </c>
      <c r="AC1264" s="24">
        <v>6585.55</v>
      </c>
      <c r="AD1264" t="s">
        <v>160</v>
      </c>
      <c r="AE1264" s="24">
        <v>98783.25</v>
      </c>
      <c r="AF1264">
        <v>0</v>
      </c>
      <c r="AG1264" s="24">
        <v>98783.25</v>
      </c>
      <c r="AH1264">
        <v>0</v>
      </c>
      <c r="AI1264">
        <v>0</v>
      </c>
      <c r="AJ1264">
        <v>0</v>
      </c>
      <c r="AK1264">
        <v>0</v>
      </c>
      <c r="AL1264" s="24">
        <v>98783.25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 s="24">
        <v>98783.25</v>
      </c>
      <c r="AV1264">
        <v>0</v>
      </c>
      <c r="AW1264">
        <v>0</v>
      </c>
      <c r="AX1264">
        <v>311000</v>
      </c>
      <c r="AY1264" t="s">
        <v>161</v>
      </c>
      <c r="AZ1264">
        <v>49.75</v>
      </c>
      <c r="BA1264">
        <v>49.75</v>
      </c>
      <c r="BB1264">
        <v>0</v>
      </c>
      <c r="BC1264" t="s">
        <v>171</v>
      </c>
      <c r="BD1264">
        <v>1509</v>
      </c>
      <c r="BE1264" t="s">
        <v>169</v>
      </c>
      <c r="BF1264" t="s">
        <v>163</v>
      </c>
      <c r="BG1264" t="s">
        <v>164</v>
      </c>
    </row>
    <row r="1265" spans="1:59">
      <c r="A1265">
        <v>1115</v>
      </c>
      <c r="B1265">
        <v>1115</v>
      </c>
      <c r="C1265">
        <v>10</v>
      </c>
      <c r="D1265">
        <v>2</v>
      </c>
      <c r="E1265" t="s">
        <v>152</v>
      </c>
      <c r="F1265" t="s">
        <v>153</v>
      </c>
      <c r="G1265" t="s">
        <v>154</v>
      </c>
      <c r="H1265">
        <v>1526006789</v>
      </c>
      <c r="I1265">
        <v>1000007068</v>
      </c>
      <c r="L1265" t="s">
        <v>362</v>
      </c>
      <c r="M1265">
        <v>5100001636</v>
      </c>
      <c r="N1265" t="s">
        <v>155</v>
      </c>
      <c r="O1265" t="s">
        <v>156</v>
      </c>
      <c r="P1265">
        <v>4110026445</v>
      </c>
      <c r="Q1265" t="s">
        <v>170</v>
      </c>
      <c r="R1265">
        <v>5000</v>
      </c>
      <c r="S1265" t="s">
        <v>166</v>
      </c>
      <c r="V1265" t="s">
        <v>167</v>
      </c>
      <c r="W1265">
        <v>1502020104</v>
      </c>
      <c r="X1265" t="s">
        <v>26</v>
      </c>
      <c r="Y1265" t="str">
        <f>VLOOKUP(W1265,Sheet4!$A$5:$B$71,2,0)</f>
        <v>RE STYLING</v>
      </c>
      <c r="Z1265">
        <v>87082900</v>
      </c>
      <c r="AA1265">
        <v>15</v>
      </c>
      <c r="AB1265" t="s">
        <v>159</v>
      </c>
      <c r="AC1265" s="24">
        <v>6585.55</v>
      </c>
      <c r="AD1265" t="s">
        <v>160</v>
      </c>
      <c r="AE1265" s="24">
        <v>98783.25</v>
      </c>
      <c r="AF1265">
        <v>0</v>
      </c>
      <c r="AG1265" s="24">
        <v>98783.25</v>
      </c>
      <c r="AH1265">
        <v>0</v>
      </c>
      <c r="AI1265">
        <v>0</v>
      </c>
      <c r="AJ1265">
        <v>0</v>
      </c>
      <c r="AK1265">
        <v>0</v>
      </c>
      <c r="AL1265" s="24">
        <v>98783.25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 s="24">
        <v>98783.25</v>
      </c>
      <c r="AV1265">
        <v>0</v>
      </c>
      <c r="AW1265">
        <v>0</v>
      </c>
      <c r="AX1265">
        <v>311000</v>
      </c>
      <c r="AY1265" t="s">
        <v>161</v>
      </c>
      <c r="AZ1265">
        <v>49.75</v>
      </c>
      <c r="BA1265">
        <v>49.75</v>
      </c>
      <c r="BB1265">
        <v>0</v>
      </c>
      <c r="BC1265" t="s">
        <v>171</v>
      </c>
      <c r="BD1265">
        <v>1509</v>
      </c>
      <c r="BE1265" t="s">
        <v>169</v>
      </c>
      <c r="BF1265" t="s">
        <v>163</v>
      </c>
      <c r="BG1265" t="s">
        <v>164</v>
      </c>
    </row>
    <row r="1266" spans="1:59">
      <c r="A1266">
        <v>1115</v>
      </c>
      <c r="B1266">
        <v>1115</v>
      </c>
      <c r="C1266">
        <v>10</v>
      </c>
      <c r="D1266">
        <v>2</v>
      </c>
      <c r="E1266" t="s">
        <v>152</v>
      </c>
      <c r="F1266" t="s">
        <v>153</v>
      </c>
      <c r="G1266" t="s">
        <v>154</v>
      </c>
      <c r="H1266">
        <v>1526006790</v>
      </c>
      <c r="I1266">
        <v>1000007069</v>
      </c>
      <c r="L1266" t="s">
        <v>362</v>
      </c>
      <c r="M1266">
        <v>5100001928</v>
      </c>
      <c r="N1266" t="s">
        <v>155</v>
      </c>
      <c r="O1266" t="s">
        <v>156</v>
      </c>
      <c r="P1266">
        <v>4110057393</v>
      </c>
      <c r="Q1266" t="s">
        <v>192</v>
      </c>
      <c r="R1266">
        <v>5000</v>
      </c>
      <c r="S1266" t="s">
        <v>166</v>
      </c>
      <c r="V1266" t="s">
        <v>167</v>
      </c>
      <c r="W1266">
        <v>1502020122</v>
      </c>
      <c r="X1266" t="s">
        <v>70</v>
      </c>
      <c r="Y1266" t="str">
        <f>VLOOKUP(W1266,Sheet4!$A$5:$B$71,2,0)</f>
        <v>MAX UG NEW EV</v>
      </c>
      <c r="Z1266">
        <v>87082900</v>
      </c>
      <c r="AA1266">
        <v>10</v>
      </c>
      <c r="AB1266" t="s">
        <v>159</v>
      </c>
      <c r="AC1266" s="24">
        <v>9566.51</v>
      </c>
      <c r="AD1266" t="s">
        <v>160</v>
      </c>
      <c r="AE1266" s="24">
        <v>95665.1</v>
      </c>
      <c r="AF1266">
        <v>0</v>
      </c>
      <c r="AG1266" s="24">
        <v>95665.1</v>
      </c>
      <c r="AH1266">
        <v>0</v>
      </c>
      <c r="AI1266">
        <v>0</v>
      </c>
      <c r="AJ1266">
        <v>0</v>
      </c>
      <c r="AK1266">
        <v>0</v>
      </c>
      <c r="AL1266" s="24">
        <v>95665.1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 s="24">
        <v>95665.1</v>
      </c>
      <c r="AV1266">
        <v>0</v>
      </c>
      <c r="AW1266">
        <v>0</v>
      </c>
      <c r="AX1266">
        <v>311000</v>
      </c>
      <c r="AY1266" t="s">
        <v>161</v>
      </c>
      <c r="AZ1266">
        <v>0</v>
      </c>
      <c r="BA1266">
        <v>61</v>
      </c>
      <c r="BB1266">
        <v>-61</v>
      </c>
      <c r="BC1266" t="s">
        <v>193</v>
      </c>
      <c r="BD1266">
        <v>1509</v>
      </c>
      <c r="BE1266" t="s">
        <v>169</v>
      </c>
      <c r="BF1266">
        <v>5094205911</v>
      </c>
      <c r="BG1266" t="s">
        <v>362</v>
      </c>
    </row>
    <row r="1267" spans="1:59">
      <c r="A1267">
        <v>1115</v>
      </c>
      <c r="B1267">
        <v>1115</v>
      </c>
      <c r="C1267">
        <v>10</v>
      </c>
      <c r="D1267">
        <v>2</v>
      </c>
      <c r="E1267" t="s">
        <v>152</v>
      </c>
      <c r="F1267" t="s">
        <v>153</v>
      </c>
      <c r="G1267" t="s">
        <v>154</v>
      </c>
      <c r="H1267">
        <v>1526006791</v>
      </c>
      <c r="I1267">
        <v>1000007070</v>
      </c>
      <c r="L1267" t="s">
        <v>362</v>
      </c>
      <c r="M1267">
        <v>5100001928</v>
      </c>
      <c r="N1267" t="s">
        <v>155</v>
      </c>
      <c r="O1267" t="s">
        <v>156</v>
      </c>
      <c r="P1267">
        <v>4110057393</v>
      </c>
      <c r="Q1267" t="s">
        <v>192</v>
      </c>
      <c r="R1267">
        <v>5000</v>
      </c>
      <c r="S1267" t="s">
        <v>166</v>
      </c>
      <c r="V1267" t="s">
        <v>167</v>
      </c>
      <c r="W1267">
        <v>1502020122</v>
      </c>
      <c r="X1267" t="s">
        <v>70</v>
      </c>
      <c r="Y1267" t="str">
        <f>VLOOKUP(W1267,Sheet4!$A$5:$B$71,2,0)</f>
        <v>MAX UG NEW EV</v>
      </c>
      <c r="Z1267">
        <v>87082900</v>
      </c>
      <c r="AA1267">
        <v>10</v>
      </c>
      <c r="AB1267" t="s">
        <v>159</v>
      </c>
      <c r="AC1267" s="24">
        <v>9566.51</v>
      </c>
      <c r="AD1267" t="s">
        <v>160</v>
      </c>
      <c r="AE1267" s="24">
        <v>95665.1</v>
      </c>
      <c r="AF1267">
        <v>0</v>
      </c>
      <c r="AG1267" s="24">
        <v>95665.1</v>
      </c>
      <c r="AH1267">
        <v>0</v>
      </c>
      <c r="AI1267">
        <v>0</v>
      </c>
      <c r="AJ1267">
        <v>0</v>
      </c>
      <c r="AK1267">
        <v>0</v>
      </c>
      <c r="AL1267" s="24">
        <v>95665.1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 s="24">
        <v>95665.1</v>
      </c>
      <c r="AV1267">
        <v>0</v>
      </c>
      <c r="AW1267">
        <v>0</v>
      </c>
      <c r="AX1267">
        <v>311000</v>
      </c>
      <c r="AY1267" t="s">
        <v>161</v>
      </c>
      <c r="AZ1267">
        <v>0</v>
      </c>
      <c r="BA1267">
        <v>61</v>
      </c>
      <c r="BB1267">
        <v>-61</v>
      </c>
      <c r="BC1267" t="s">
        <v>193</v>
      </c>
      <c r="BD1267">
        <v>1509</v>
      </c>
      <c r="BE1267" t="s">
        <v>169</v>
      </c>
      <c r="BF1267">
        <v>5094205912</v>
      </c>
      <c r="BG1267" t="s">
        <v>362</v>
      </c>
    </row>
    <row r="1268" spans="1:59">
      <c r="A1268">
        <v>1115</v>
      </c>
      <c r="B1268">
        <v>1115</v>
      </c>
      <c r="C1268">
        <v>10</v>
      </c>
      <c r="D1268">
        <v>2</v>
      </c>
      <c r="E1268" t="s">
        <v>152</v>
      </c>
      <c r="F1268" t="s">
        <v>153</v>
      </c>
      <c r="G1268" t="s">
        <v>154</v>
      </c>
      <c r="H1268">
        <v>1526006792</v>
      </c>
      <c r="I1268">
        <v>1000007071</v>
      </c>
      <c r="L1268" t="s">
        <v>362</v>
      </c>
      <c r="M1268">
        <v>5100001928</v>
      </c>
      <c r="N1268" t="s">
        <v>155</v>
      </c>
      <c r="O1268" t="s">
        <v>156</v>
      </c>
      <c r="P1268">
        <v>4110057393</v>
      </c>
      <c r="Q1268" t="s">
        <v>192</v>
      </c>
      <c r="R1268">
        <v>5000</v>
      </c>
      <c r="S1268" t="s">
        <v>166</v>
      </c>
      <c r="V1268" t="s">
        <v>167</v>
      </c>
      <c r="W1268">
        <v>1502020122</v>
      </c>
      <c r="X1268" t="s">
        <v>70</v>
      </c>
      <c r="Y1268" t="str">
        <f>VLOOKUP(W1268,Sheet4!$A$5:$B$71,2,0)</f>
        <v>MAX UG NEW EV</v>
      </c>
      <c r="Z1268">
        <v>87082900</v>
      </c>
      <c r="AA1268">
        <v>10</v>
      </c>
      <c r="AB1268" t="s">
        <v>159</v>
      </c>
      <c r="AC1268" s="24">
        <v>9566.51</v>
      </c>
      <c r="AD1268" t="s">
        <v>160</v>
      </c>
      <c r="AE1268" s="24">
        <v>95665.1</v>
      </c>
      <c r="AF1268">
        <v>0</v>
      </c>
      <c r="AG1268" s="24">
        <v>95665.1</v>
      </c>
      <c r="AH1268">
        <v>0</v>
      </c>
      <c r="AI1268">
        <v>0</v>
      </c>
      <c r="AJ1268">
        <v>0</v>
      </c>
      <c r="AK1268">
        <v>0</v>
      </c>
      <c r="AL1268" s="24">
        <v>95665.1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 s="24">
        <v>95665.1</v>
      </c>
      <c r="AV1268">
        <v>0</v>
      </c>
      <c r="AW1268">
        <v>0</v>
      </c>
      <c r="AX1268">
        <v>311000</v>
      </c>
      <c r="AY1268" t="s">
        <v>161</v>
      </c>
      <c r="AZ1268">
        <v>0</v>
      </c>
      <c r="BA1268">
        <v>61</v>
      </c>
      <c r="BB1268">
        <v>-61</v>
      </c>
      <c r="BC1268" t="s">
        <v>193</v>
      </c>
      <c r="BD1268">
        <v>1509</v>
      </c>
      <c r="BE1268" t="s">
        <v>169</v>
      </c>
      <c r="BF1268">
        <v>5094205913</v>
      </c>
      <c r="BG1268" t="s">
        <v>362</v>
      </c>
    </row>
    <row r="1269" spans="1:59">
      <c r="A1269">
        <v>1115</v>
      </c>
      <c r="B1269">
        <v>1115</v>
      </c>
      <c r="C1269">
        <v>10</v>
      </c>
      <c r="D1269">
        <v>2</v>
      </c>
      <c r="E1269" t="s">
        <v>152</v>
      </c>
      <c r="F1269" t="s">
        <v>153</v>
      </c>
      <c r="G1269" t="s">
        <v>154</v>
      </c>
      <c r="H1269">
        <v>1526006793</v>
      </c>
      <c r="I1269">
        <v>1000007072</v>
      </c>
      <c r="L1269" t="s">
        <v>362</v>
      </c>
      <c r="M1269">
        <v>5100001928</v>
      </c>
      <c r="N1269" t="s">
        <v>155</v>
      </c>
      <c r="O1269" t="s">
        <v>156</v>
      </c>
      <c r="P1269">
        <v>4110057393</v>
      </c>
      <c r="Q1269" t="s">
        <v>192</v>
      </c>
      <c r="R1269">
        <v>5000</v>
      </c>
      <c r="S1269" t="s">
        <v>166</v>
      </c>
      <c r="V1269" t="s">
        <v>167</v>
      </c>
      <c r="W1269">
        <v>1502020122</v>
      </c>
      <c r="X1269" t="s">
        <v>70</v>
      </c>
      <c r="Y1269" t="str">
        <f>VLOOKUP(W1269,Sheet4!$A$5:$B$71,2,0)</f>
        <v>MAX UG NEW EV</v>
      </c>
      <c r="Z1269">
        <v>87082900</v>
      </c>
      <c r="AA1269">
        <v>10</v>
      </c>
      <c r="AB1269" t="s">
        <v>159</v>
      </c>
      <c r="AC1269" s="24">
        <v>9566.51</v>
      </c>
      <c r="AD1269" t="s">
        <v>160</v>
      </c>
      <c r="AE1269" s="24">
        <v>95665.1</v>
      </c>
      <c r="AF1269">
        <v>0</v>
      </c>
      <c r="AG1269" s="24">
        <v>95665.1</v>
      </c>
      <c r="AH1269">
        <v>0</v>
      </c>
      <c r="AI1269">
        <v>0</v>
      </c>
      <c r="AJ1269">
        <v>0</v>
      </c>
      <c r="AK1269">
        <v>0</v>
      </c>
      <c r="AL1269" s="24">
        <v>95665.1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 s="24">
        <v>95665.1</v>
      </c>
      <c r="AV1269">
        <v>0</v>
      </c>
      <c r="AW1269">
        <v>0</v>
      </c>
      <c r="AX1269">
        <v>311000</v>
      </c>
      <c r="AY1269" t="s">
        <v>161</v>
      </c>
      <c r="AZ1269">
        <v>0</v>
      </c>
      <c r="BA1269">
        <v>61</v>
      </c>
      <c r="BB1269">
        <v>-61</v>
      </c>
      <c r="BC1269" t="s">
        <v>193</v>
      </c>
      <c r="BD1269">
        <v>1509</v>
      </c>
      <c r="BE1269" t="s">
        <v>169</v>
      </c>
      <c r="BF1269">
        <v>5094203410</v>
      </c>
      <c r="BG1269" t="s">
        <v>362</v>
      </c>
    </row>
    <row r="1270" spans="1:59">
      <c r="A1270">
        <v>1115</v>
      </c>
      <c r="B1270">
        <v>1115</v>
      </c>
      <c r="C1270">
        <v>10</v>
      </c>
      <c r="D1270">
        <v>2</v>
      </c>
      <c r="E1270" t="s">
        <v>152</v>
      </c>
      <c r="F1270" t="s">
        <v>153</v>
      </c>
      <c r="G1270" t="s">
        <v>154</v>
      </c>
      <c r="H1270">
        <v>1526006794</v>
      </c>
      <c r="I1270">
        <v>1000007073</v>
      </c>
      <c r="L1270" t="s">
        <v>362</v>
      </c>
      <c r="M1270">
        <v>5100001928</v>
      </c>
      <c r="N1270" t="s">
        <v>155</v>
      </c>
      <c r="O1270" t="s">
        <v>156</v>
      </c>
      <c r="P1270">
        <v>4110057393</v>
      </c>
      <c r="Q1270" t="s">
        <v>192</v>
      </c>
      <c r="R1270">
        <v>5000</v>
      </c>
      <c r="S1270" t="s">
        <v>166</v>
      </c>
      <c r="V1270" t="s">
        <v>167</v>
      </c>
      <c r="W1270">
        <v>1502020122</v>
      </c>
      <c r="X1270" t="s">
        <v>70</v>
      </c>
      <c r="Y1270" t="str">
        <f>VLOOKUP(W1270,Sheet4!$A$5:$B$71,2,0)</f>
        <v>MAX UG NEW EV</v>
      </c>
      <c r="Z1270">
        <v>87082900</v>
      </c>
      <c r="AA1270">
        <v>10</v>
      </c>
      <c r="AB1270" t="s">
        <v>159</v>
      </c>
      <c r="AC1270" s="24">
        <v>9566.51</v>
      </c>
      <c r="AD1270" t="s">
        <v>160</v>
      </c>
      <c r="AE1270" s="24">
        <v>95665.1</v>
      </c>
      <c r="AF1270">
        <v>0</v>
      </c>
      <c r="AG1270" s="24">
        <v>95665.1</v>
      </c>
      <c r="AH1270">
        <v>0</v>
      </c>
      <c r="AI1270">
        <v>0</v>
      </c>
      <c r="AJ1270">
        <v>0</v>
      </c>
      <c r="AK1270">
        <v>0</v>
      </c>
      <c r="AL1270" s="24">
        <v>95665.1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 s="24">
        <v>95665.1</v>
      </c>
      <c r="AV1270">
        <v>0</v>
      </c>
      <c r="AW1270">
        <v>0</v>
      </c>
      <c r="AX1270">
        <v>311000</v>
      </c>
      <c r="AY1270" t="s">
        <v>161</v>
      </c>
      <c r="AZ1270">
        <v>0</v>
      </c>
      <c r="BA1270">
        <v>61</v>
      </c>
      <c r="BB1270">
        <v>-61</v>
      </c>
      <c r="BC1270" t="s">
        <v>193</v>
      </c>
      <c r="BD1270">
        <v>1509</v>
      </c>
      <c r="BE1270" t="s">
        <v>169</v>
      </c>
      <c r="BF1270">
        <v>5094202217</v>
      </c>
      <c r="BG1270" t="s">
        <v>362</v>
      </c>
    </row>
    <row r="1271" spans="1:59">
      <c r="A1271">
        <v>1115</v>
      </c>
      <c r="B1271">
        <v>1115</v>
      </c>
      <c r="C1271">
        <v>10</v>
      </c>
      <c r="D1271">
        <v>2</v>
      </c>
      <c r="E1271" t="s">
        <v>152</v>
      </c>
      <c r="F1271" t="s">
        <v>153</v>
      </c>
      <c r="G1271" t="s">
        <v>154</v>
      </c>
      <c r="H1271">
        <v>1526006795</v>
      </c>
      <c r="I1271">
        <v>1000007074</v>
      </c>
      <c r="L1271" t="s">
        <v>362</v>
      </c>
      <c r="M1271">
        <v>5100001939</v>
      </c>
      <c r="N1271" t="s">
        <v>155</v>
      </c>
      <c r="O1271" t="s">
        <v>156</v>
      </c>
      <c r="P1271">
        <v>4110059608</v>
      </c>
      <c r="Q1271" t="s">
        <v>240</v>
      </c>
      <c r="R1271">
        <v>5000</v>
      </c>
      <c r="S1271" t="s">
        <v>166</v>
      </c>
      <c r="V1271" t="s">
        <v>167</v>
      </c>
      <c r="W1271">
        <v>1502020129</v>
      </c>
      <c r="X1271" t="s">
        <v>241</v>
      </c>
      <c r="Y1271" t="str">
        <f>VLOOKUP(W1271,Sheet4!$A$5:$B$71,2,0)</f>
        <v>RE STYLING</v>
      </c>
      <c r="Z1271">
        <v>87082900</v>
      </c>
      <c r="AA1271">
        <v>6</v>
      </c>
      <c r="AB1271" t="s">
        <v>159</v>
      </c>
      <c r="AC1271" s="24">
        <v>6500.18</v>
      </c>
      <c r="AD1271" t="s">
        <v>160</v>
      </c>
      <c r="AE1271" s="24">
        <v>39001.08</v>
      </c>
      <c r="AF1271">
        <v>0</v>
      </c>
      <c r="AG1271" s="24">
        <v>39001.08</v>
      </c>
      <c r="AH1271">
        <v>0</v>
      </c>
      <c r="AI1271">
        <v>0</v>
      </c>
      <c r="AJ1271">
        <v>0</v>
      </c>
      <c r="AK1271">
        <v>0</v>
      </c>
      <c r="AL1271" s="24">
        <v>39001.08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 s="24">
        <v>39001.08</v>
      </c>
      <c r="AV1271">
        <v>0</v>
      </c>
      <c r="AW1271">
        <v>0</v>
      </c>
      <c r="AX1271">
        <v>311000</v>
      </c>
      <c r="AY1271" t="s">
        <v>161</v>
      </c>
      <c r="AZ1271">
        <v>0</v>
      </c>
      <c r="BA1271">
        <v>0</v>
      </c>
      <c r="BB1271">
        <v>0</v>
      </c>
      <c r="BC1271" t="s">
        <v>242</v>
      </c>
      <c r="BD1271">
        <v>1509</v>
      </c>
      <c r="BE1271" t="s">
        <v>169</v>
      </c>
      <c r="BF1271" t="s">
        <v>163</v>
      </c>
      <c r="BG1271" t="s">
        <v>164</v>
      </c>
    </row>
    <row r="1272" spans="1:59">
      <c r="A1272">
        <v>1115</v>
      </c>
      <c r="B1272">
        <v>1115</v>
      </c>
      <c r="C1272">
        <v>10</v>
      </c>
      <c r="D1272">
        <v>2</v>
      </c>
      <c r="E1272" t="s">
        <v>152</v>
      </c>
      <c r="F1272" t="s">
        <v>153</v>
      </c>
      <c r="G1272" t="s">
        <v>154</v>
      </c>
      <c r="H1272">
        <v>1526006796</v>
      </c>
      <c r="I1272">
        <v>1000007075</v>
      </c>
      <c r="L1272" t="s">
        <v>362</v>
      </c>
      <c r="M1272">
        <v>5100001949</v>
      </c>
      <c r="N1272" t="s">
        <v>155</v>
      </c>
      <c r="O1272" t="s">
        <v>156</v>
      </c>
      <c r="P1272">
        <v>4110063766</v>
      </c>
      <c r="Q1272" t="s">
        <v>252</v>
      </c>
      <c r="R1272">
        <v>5000</v>
      </c>
      <c r="S1272" t="s">
        <v>166</v>
      </c>
      <c r="V1272" t="s">
        <v>167</v>
      </c>
      <c r="W1272">
        <v>1502040322</v>
      </c>
      <c r="X1272" t="s">
        <v>250</v>
      </c>
      <c r="Y1272" t="str">
        <f>VLOOKUP(W1272,Sheet4!$A$5:$B$71,2,0)</f>
        <v>DASH BOARD</v>
      </c>
      <c r="Z1272">
        <v>87082900</v>
      </c>
      <c r="AA1272">
        <v>180</v>
      </c>
      <c r="AB1272" t="s">
        <v>159</v>
      </c>
      <c r="AC1272">
        <v>291.27999999999997</v>
      </c>
      <c r="AD1272" t="s">
        <v>160</v>
      </c>
      <c r="AE1272" s="24">
        <v>52430.400000000001</v>
      </c>
      <c r="AF1272">
        <v>0</v>
      </c>
      <c r="AG1272" s="24">
        <v>52430.400000000001</v>
      </c>
      <c r="AH1272">
        <v>0</v>
      </c>
      <c r="AI1272">
        <v>0</v>
      </c>
      <c r="AJ1272">
        <v>0</v>
      </c>
      <c r="AK1272">
        <v>0</v>
      </c>
      <c r="AL1272" s="24">
        <v>52430.400000000001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 s="24">
        <v>52430.400000000001</v>
      </c>
      <c r="AV1272">
        <v>0</v>
      </c>
      <c r="AW1272">
        <v>0</v>
      </c>
      <c r="AX1272">
        <v>311000</v>
      </c>
      <c r="AY1272" t="s">
        <v>161</v>
      </c>
      <c r="AZ1272">
        <v>2.37</v>
      </c>
      <c r="BA1272">
        <v>2.37</v>
      </c>
      <c r="BB1272">
        <v>0</v>
      </c>
      <c r="BC1272" t="s">
        <v>251</v>
      </c>
      <c r="BD1272">
        <v>1511</v>
      </c>
      <c r="BE1272" t="s">
        <v>174</v>
      </c>
      <c r="BF1272" t="s">
        <v>163</v>
      </c>
      <c r="BG1272" t="s">
        <v>164</v>
      </c>
    </row>
    <row r="1273" spans="1:59">
      <c r="A1273">
        <v>1115</v>
      </c>
      <c r="B1273">
        <v>1115</v>
      </c>
      <c r="C1273">
        <v>10</v>
      </c>
      <c r="D1273">
        <v>2</v>
      </c>
      <c r="E1273" t="s">
        <v>152</v>
      </c>
      <c r="F1273" t="s">
        <v>153</v>
      </c>
      <c r="G1273" t="s">
        <v>154</v>
      </c>
      <c r="H1273">
        <v>1526006820</v>
      </c>
      <c r="I1273">
        <v>1000007099</v>
      </c>
      <c r="L1273" t="s">
        <v>362</v>
      </c>
      <c r="M1273">
        <v>5100001636</v>
      </c>
      <c r="N1273" t="s">
        <v>155</v>
      </c>
      <c r="O1273" t="s">
        <v>156</v>
      </c>
      <c r="P1273">
        <v>4110026445</v>
      </c>
      <c r="Q1273" t="s">
        <v>170</v>
      </c>
      <c r="R1273">
        <v>5000</v>
      </c>
      <c r="S1273" t="s">
        <v>166</v>
      </c>
      <c r="V1273" t="s">
        <v>167</v>
      </c>
      <c r="W1273">
        <v>1502020104</v>
      </c>
      <c r="X1273" t="s">
        <v>26</v>
      </c>
      <c r="Y1273" t="str">
        <f>VLOOKUP(W1273,Sheet4!$A$5:$B$71,2,0)</f>
        <v>RE STYLING</v>
      </c>
      <c r="Z1273">
        <v>87082900</v>
      </c>
      <c r="AA1273">
        <v>15</v>
      </c>
      <c r="AB1273" t="s">
        <v>159</v>
      </c>
      <c r="AC1273" s="24">
        <v>6585.55</v>
      </c>
      <c r="AD1273" t="s">
        <v>160</v>
      </c>
      <c r="AE1273" s="24">
        <v>98783.25</v>
      </c>
      <c r="AF1273">
        <v>0</v>
      </c>
      <c r="AG1273" s="24">
        <v>98783.25</v>
      </c>
      <c r="AH1273">
        <v>0</v>
      </c>
      <c r="AI1273">
        <v>0</v>
      </c>
      <c r="AJ1273">
        <v>0</v>
      </c>
      <c r="AK1273">
        <v>0</v>
      </c>
      <c r="AL1273" s="24">
        <v>98783.25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 s="24">
        <v>98783.25</v>
      </c>
      <c r="AV1273">
        <v>0</v>
      </c>
      <c r="AW1273">
        <v>0</v>
      </c>
      <c r="AX1273">
        <v>311000</v>
      </c>
      <c r="AY1273" t="s">
        <v>161</v>
      </c>
      <c r="AZ1273">
        <v>49.75</v>
      </c>
      <c r="BA1273">
        <v>49.75</v>
      </c>
      <c r="BB1273">
        <v>0</v>
      </c>
      <c r="BC1273" t="s">
        <v>171</v>
      </c>
      <c r="BD1273">
        <v>1509</v>
      </c>
      <c r="BE1273" t="s">
        <v>169</v>
      </c>
      <c r="BF1273" t="s">
        <v>163</v>
      </c>
      <c r="BG1273" t="s">
        <v>164</v>
      </c>
    </row>
    <row r="1274" spans="1:59">
      <c r="A1274">
        <v>1115</v>
      </c>
      <c r="B1274">
        <v>1115</v>
      </c>
      <c r="C1274">
        <v>10</v>
      </c>
      <c r="D1274">
        <v>2</v>
      </c>
      <c r="E1274" t="s">
        <v>152</v>
      </c>
      <c r="F1274" t="s">
        <v>153</v>
      </c>
      <c r="G1274" t="s">
        <v>154</v>
      </c>
      <c r="H1274">
        <v>1526006850</v>
      </c>
      <c r="I1274">
        <v>1000007131</v>
      </c>
      <c r="L1274" t="s">
        <v>362</v>
      </c>
      <c r="M1274">
        <v>5100001636</v>
      </c>
      <c r="N1274" t="s">
        <v>155</v>
      </c>
      <c r="O1274" t="s">
        <v>156</v>
      </c>
      <c r="P1274">
        <v>4110026445</v>
      </c>
      <c r="Q1274" t="s">
        <v>170</v>
      </c>
      <c r="R1274">
        <v>5000</v>
      </c>
      <c r="S1274" t="s">
        <v>166</v>
      </c>
      <c r="V1274" t="s">
        <v>167</v>
      </c>
      <c r="W1274">
        <v>1502020104</v>
      </c>
      <c r="X1274" t="s">
        <v>26</v>
      </c>
      <c r="Y1274" t="str">
        <f>VLOOKUP(W1274,Sheet4!$A$5:$B$71,2,0)</f>
        <v>RE STYLING</v>
      </c>
      <c r="Z1274">
        <v>87082900</v>
      </c>
      <c r="AA1274">
        <v>15</v>
      </c>
      <c r="AB1274" t="s">
        <v>159</v>
      </c>
      <c r="AC1274" s="24">
        <v>6585.55</v>
      </c>
      <c r="AD1274" t="s">
        <v>160</v>
      </c>
      <c r="AE1274" s="24">
        <v>98783.25</v>
      </c>
      <c r="AF1274">
        <v>0</v>
      </c>
      <c r="AG1274" s="24">
        <v>98783.25</v>
      </c>
      <c r="AH1274">
        <v>0</v>
      </c>
      <c r="AI1274">
        <v>0</v>
      </c>
      <c r="AJ1274">
        <v>0</v>
      </c>
      <c r="AK1274">
        <v>0</v>
      </c>
      <c r="AL1274" s="24">
        <v>98783.25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 s="24">
        <v>98783.25</v>
      </c>
      <c r="AV1274">
        <v>0</v>
      </c>
      <c r="AW1274">
        <v>0</v>
      </c>
      <c r="AX1274">
        <v>311000</v>
      </c>
      <c r="AY1274" t="s">
        <v>161</v>
      </c>
      <c r="AZ1274">
        <v>49.75</v>
      </c>
      <c r="BA1274">
        <v>49.75</v>
      </c>
      <c r="BB1274">
        <v>0</v>
      </c>
      <c r="BC1274" t="s">
        <v>171</v>
      </c>
      <c r="BD1274">
        <v>1509</v>
      </c>
      <c r="BE1274" t="s">
        <v>169</v>
      </c>
      <c r="BF1274" t="s">
        <v>163</v>
      </c>
      <c r="BG1274" t="s">
        <v>164</v>
      </c>
    </row>
    <row r="1275" spans="1:59">
      <c r="A1275">
        <v>1115</v>
      </c>
      <c r="B1275">
        <v>1115</v>
      </c>
      <c r="C1275">
        <v>10</v>
      </c>
      <c r="D1275">
        <v>2</v>
      </c>
      <c r="E1275" t="s">
        <v>152</v>
      </c>
      <c r="F1275" t="s">
        <v>153</v>
      </c>
      <c r="G1275" t="s">
        <v>154</v>
      </c>
      <c r="H1275">
        <v>1526006851</v>
      </c>
      <c r="I1275">
        <v>1000007132</v>
      </c>
      <c r="L1275" t="s">
        <v>362</v>
      </c>
      <c r="M1275">
        <v>5100001636</v>
      </c>
      <c r="N1275" t="s">
        <v>155</v>
      </c>
      <c r="O1275" t="s">
        <v>156</v>
      </c>
      <c r="P1275">
        <v>4110026445</v>
      </c>
      <c r="Q1275" t="s">
        <v>170</v>
      </c>
      <c r="R1275">
        <v>5000</v>
      </c>
      <c r="S1275" t="s">
        <v>166</v>
      </c>
      <c r="V1275" t="s">
        <v>167</v>
      </c>
      <c r="W1275">
        <v>1502020104</v>
      </c>
      <c r="X1275" t="s">
        <v>26</v>
      </c>
      <c r="Y1275" t="str">
        <f>VLOOKUP(W1275,Sheet4!$A$5:$B$71,2,0)</f>
        <v>RE STYLING</v>
      </c>
      <c r="Z1275">
        <v>87082900</v>
      </c>
      <c r="AA1275">
        <v>15</v>
      </c>
      <c r="AB1275" t="s">
        <v>159</v>
      </c>
      <c r="AC1275" s="24">
        <v>6585.55</v>
      </c>
      <c r="AD1275" t="s">
        <v>160</v>
      </c>
      <c r="AE1275" s="24">
        <v>98783.25</v>
      </c>
      <c r="AF1275">
        <v>0</v>
      </c>
      <c r="AG1275" s="24">
        <v>98783.25</v>
      </c>
      <c r="AH1275">
        <v>0</v>
      </c>
      <c r="AI1275">
        <v>0</v>
      </c>
      <c r="AJ1275">
        <v>0</v>
      </c>
      <c r="AK1275">
        <v>0</v>
      </c>
      <c r="AL1275" s="24">
        <v>98783.25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 s="24">
        <v>98783.25</v>
      </c>
      <c r="AV1275">
        <v>0</v>
      </c>
      <c r="AW1275">
        <v>0</v>
      </c>
      <c r="AX1275">
        <v>311000</v>
      </c>
      <c r="AY1275" t="s">
        <v>161</v>
      </c>
      <c r="AZ1275">
        <v>49.75</v>
      </c>
      <c r="BA1275">
        <v>49.75</v>
      </c>
      <c r="BB1275">
        <v>0</v>
      </c>
      <c r="BC1275" t="s">
        <v>171</v>
      </c>
      <c r="BD1275">
        <v>1509</v>
      </c>
      <c r="BE1275" t="s">
        <v>169</v>
      </c>
      <c r="BF1275" t="s">
        <v>163</v>
      </c>
      <c r="BG1275" t="s">
        <v>164</v>
      </c>
    </row>
    <row r="1276" spans="1:59">
      <c r="A1276">
        <v>1115</v>
      </c>
      <c r="B1276">
        <v>1115</v>
      </c>
      <c r="C1276">
        <v>10</v>
      </c>
      <c r="D1276">
        <v>2</v>
      </c>
      <c r="E1276" t="s">
        <v>152</v>
      </c>
      <c r="F1276" t="s">
        <v>153</v>
      </c>
      <c r="G1276" t="s">
        <v>154</v>
      </c>
      <c r="H1276">
        <v>1526006852</v>
      </c>
      <c r="I1276">
        <v>1000007133</v>
      </c>
      <c r="L1276" t="s">
        <v>362</v>
      </c>
      <c r="M1276">
        <v>5100001636</v>
      </c>
      <c r="N1276" t="s">
        <v>155</v>
      </c>
      <c r="O1276" t="s">
        <v>156</v>
      </c>
      <c r="P1276">
        <v>4110026445</v>
      </c>
      <c r="Q1276" t="s">
        <v>170</v>
      </c>
      <c r="R1276">
        <v>5000</v>
      </c>
      <c r="S1276" t="s">
        <v>166</v>
      </c>
      <c r="V1276" t="s">
        <v>167</v>
      </c>
      <c r="W1276">
        <v>1502020104</v>
      </c>
      <c r="X1276" t="s">
        <v>26</v>
      </c>
      <c r="Y1276" t="str">
        <f>VLOOKUP(W1276,Sheet4!$A$5:$B$71,2,0)</f>
        <v>RE STYLING</v>
      </c>
      <c r="Z1276">
        <v>87082900</v>
      </c>
      <c r="AA1276">
        <v>15</v>
      </c>
      <c r="AB1276" t="s">
        <v>159</v>
      </c>
      <c r="AC1276" s="24">
        <v>6585.55</v>
      </c>
      <c r="AD1276" t="s">
        <v>160</v>
      </c>
      <c r="AE1276" s="24">
        <v>98783.25</v>
      </c>
      <c r="AF1276">
        <v>0</v>
      </c>
      <c r="AG1276" s="24">
        <v>98783.25</v>
      </c>
      <c r="AH1276">
        <v>0</v>
      </c>
      <c r="AI1276">
        <v>0</v>
      </c>
      <c r="AJ1276">
        <v>0</v>
      </c>
      <c r="AK1276">
        <v>0</v>
      </c>
      <c r="AL1276" s="24">
        <v>98783.25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 s="24">
        <v>98783.25</v>
      </c>
      <c r="AV1276">
        <v>0</v>
      </c>
      <c r="AW1276">
        <v>0</v>
      </c>
      <c r="AX1276">
        <v>311000</v>
      </c>
      <c r="AY1276" t="s">
        <v>161</v>
      </c>
      <c r="AZ1276">
        <v>49.75</v>
      </c>
      <c r="BA1276">
        <v>49.75</v>
      </c>
      <c r="BB1276">
        <v>0</v>
      </c>
      <c r="BC1276" t="s">
        <v>171</v>
      </c>
      <c r="BD1276">
        <v>1509</v>
      </c>
      <c r="BE1276" t="s">
        <v>169</v>
      </c>
      <c r="BF1276" t="s">
        <v>163</v>
      </c>
      <c r="BG1276" t="s">
        <v>164</v>
      </c>
    </row>
    <row r="1277" spans="1:59">
      <c r="A1277">
        <v>1115</v>
      </c>
      <c r="B1277">
        <v>1115</v>
      </c>
      <c r="C1277">
        <v>10</v>
      </c>
      <c r="D1277">
        <v>2</v>
      </c>
      <c r="E1277" t="s">
        <v>152</v>
      </c>
      <c r="F1277" t="s">
        <v>153</v>
      </c>
      <c r="G1277" t="s">
        <v>154</v>
      </c>
      <c r="H1277">
        <v>1526006853</v>
      </c>
      <c r="I1277">
        <v>1000007134</v>
      </c>
      <c r="L1277" t="s">
        <v>362</v>
      </c>
      <c r="M1277">
        <v>5100001934</v>
      </c>
      <c r="N1277" t="s">
        <v>155</v>
      </c>
      <c r="O1277" t="s">
        <v>156</v>
      </c>
      <c r="P1277">
        <v>4110058649</v>
      </c>
      <c r="Q1277" t="s">
        <v>196</v>
      </c>
      <c r="R1277">
        <v>5000</v>
      </c>
      <c r="S1277" t="s">
        <v>166</v>
      </c>
      <c r="V1277" t="s">
        <v>167</v>
      </c>
      <c r="W1277">
        <v>1502040217</v>
      </c>
      <c r="X1277" t="s">
        <v>197</v>
      </c>
      <c r="Y1277" t="str">
        <f>VLOOKUP(W1277,Sheet4!$A$5:$B$71,2,0)</f>
        <v>FRONT MUDGARD GOGO</v>
      </c>
      <c r="Z1277">
        <v>87082900</v>
      </c>
      <c r="AA1277">
        <v>150</v>
      </c>
      <c r="AB1277" t="s">
        <v>159</v>
      </c>
      <c r="AC1277">
        <v>380.93</v>
      </c>
      <c r="AD1277" t="s">
        <v>160</v>
      </c>
      <c r="AE1277" s="24">
        <v>57139.5</v>
      </c>
      <c r="AF1277">
        <v>0</v>
      </c>
      <c r="AG1277" s="24">
        <v>57139.5</v>
      </c>
      <c r="AH1277">
        <v>0</v>
      </c>
      <c r="AI1277">
        <v>0</v>
      </c>
      <c r="AJ1277">
        <v>0</v>
      </c>
      <c r="AK1277">
        <v>0</v>
      </c>
      <c r="AL1277" s="24">
        <v>57139.5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 s="24">
        <v>57139.5</v>
      </c>
      <c r="AV1277">
        <v>0</v>
      </c>
      <c r="AW1277">
        <v>0</v>
      </c>
      <c r="AX1277">
        <v>311000</v>
      </c>
      <c r="AY1277" t="s">
        <v>161</v>
      </c>
      <c r="AZ1277">
        <v>2.13</v>
      </c>
      <c r="BA1277">
        <v>2.13</v>
      </c>
      <c r="BB1277">
        <v>0</v>
      </c>
      <c r="BC1277" t="s">
        <v>198</v>
      </c>
      <c r="BD1277">
        <v>1511</v>
      </c>
      <c r="BE1277" t="s">
        <v>174</v>
      </c>
      <c r="BF1277">
        <v>5094209998</v>
      </c>
      <c r="BG1277" t="s">
        <v>362</v>
      </c>
    </row>
    <row r="1278" spans="1:59">
      <c r="A1278">
        <v>1115</v>
      </c>
      <c r="B1278">
        <v>1115</v>
      </c>
      <c r="C1278">
        <v>10</v>
      </c>
      <c r="D1278">
        <v>2</v>
      </c>
      <c r="E1278" t="s">
        <v>152</v>
      </c>
      <c r="F1278" t="s">
        <v>153</v>
      </c>
      <c r="G1278" t="s">
        <v>154</v>
      </c>
      <c r="H1278">
        <v>1526006856</v>
      </c>
      <c r="I1278">
        <v>1000007137</v>
      </c>
      <c r="L1278" t="s">
        <v>362</v>
      </c>
      <c r="M1278">
        <v>5100001928</v>
      </c>
      <c r="N1278" t="s">
        <v>155</v>
      </c>
      <c r="O1278" t="s">
        <v>156</v>
      </c>
      <c r="P1278">
        <v>4110057393</v>
      </c>
      <c r="Q1278" t="s">
        <v>192</v>
      </c>
      <c r="R1278">
        <v>5000</v>
      </c>
      <c r="S1278" t="s">
        <v>166</v>
      </c>
      <c r="V1278" t="s">
        <v>167</v>
      </c>
      <c r="W1278">
        <v>1502020122</v>
      </c>
      <c r="X1278" t="s">
        <v>70</v>
      </c>
      <c r="Y1278" t="str">
        <f>VLOOKUP(W1278,Sheet4!$A$5:$B$71,2,0)</f>
        <v>MAX UG NEW EV</v>
      </c>
      <c r="Z1278">
        <v>87082900</v>
      </c>
      <c r="AA1278">
        <v>10</v>
      </c>
      <c r="AB1278" t="s">
        <v>159</v>
      </c>
      <c r="AC1278" s="24">
        <v>9566.51</v>
      </c>
      <c r="AD1278" t="s">
        <v>160</v>
      </c>
      <c r="AE1278" s="24">
        <v>95665.1</v>
      </c>
      <c r="AF1278">
        <v>0</v>
      </c>
      <c r="AG1278" s="24">
        <v>95665.1</v>
      </c>
      <c r="AH1278">
        <v>0</v>
      </c>
      <c r="AI1278">
        <v>0</v>
      </c>
      <c r="AJ1278">
        <v>0</v>
      </c>
      <c r="AK1278">
        <v>0</v>
      </c>
      <c r="AL1278" s="24">
        <v>95665.1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 s="24">
        <v>95665.1</v>
      </c>
      <c r="AV1278">
        <v>0</v>
      </c>
      <c r="AW1278">
        <v>0</v>
      </c>
      <c r="AX1278">
        <v>311000</v>
      </c>
      <c r="AY1278" t="s">
        <v>161</v>
      </c>
      <c r="AZ1278">
        <v>0</v>
      </c>
      <c r="BA1278">
        <v>61</v>
      </c>
      <c r="BB1278">
        <v>-61</v>
      </c>
      <c r="BC1278" t="s">
        <v>193</v>
      </c>
      <c r="BD1278">
        <v>1509</v>
      </c>
      <c r="BE1278" t="s">
        <v>169</v>
      </c>
      <c r="BF1278" t="s">
        <v>163</v>
      </c>
      <c r="BG1278" t="s">
        <v>164</v>
      </c>
    </row>
    <row r="1279" spans="1:59">
      <c r="A1279">
        <v>1115</v>
      </c>
      <c r="B1279">
        <v>1115</v>
      </c>
      <c r="C1279">
        <v>10</v>
      </c>
      <c r="D1279">
        <v>2</v>
      </c>
      <c r="E1279" t="s">
        <v>152</v>
      </c>
      <c r="F1279" t="s">
        <v>153</v>
      </c>
      <c r="G1279" t="s">
        <v>154</v>
      </c>
      <c r="H1279">
        <v>1526006857</v>
      </c>
      <c r="I1279">
        <v>1000007138</v>
      </c>
      <c r="L1279" t="s">
        <v>362</v>
      </c>
      <c r="M1279">
        <v>5100001928</v>
      </c>
      <c r="N1279" t="s">
        <v>155</v>
      </c>
      <c r="O1279" t="s">
        <v>156</v>
      </c>
      <c r="P1279">
        <v>4110057393</v>
      </c>
      <c r="Q1279" t="s">
        <v>192</v>
      </c>
      <c r="R1279">
        <v>5000</v>
      </c>
      <c r="S1279" t="s">
        <v>166</v>
      </c>
      <c r="V1279" t="s">
        <v>167</v>
      </c>
      <c r="W1279">
        <v>1502020122</v>
      </c>
      <c r="X1279" t="s">
        <v>70</v>
      </c>
      <c r="Y1279" t="str">
        <f>VLOOKUP(W1279,Sheet4!$A$5:$B$71,2,0)</f>
        <v>MAX UG NEW EV</v>
      </c>
      <c r="Z1279">
        <v>87082900</v>
      </c>
      <c r="AA1279">
        <v>10</v>
      </c>
      <c r="AB1279" t="s">
        <v>159</v>
      </c>
      <c r="AC1279" s="24">
        <v>9566.51</v>
      </c>
      <c r="AD1279" t="s">
        <v>160</v>
      </c>
      <c r="AE1279" s="24">
        <v>95665.1</v>
      </c>
      <c r="AF1279">
        <v>0</v>
      </c>
      <c r="AG1279" s="24">
        <v>95665.1</v>
      </c>
      <c r="AH1279">
        <v>0</v>
      </c>
      <c r="AI1279">
        <v>0</v>
      </c>
      <c r="AJ1279">
        <v>0</v>
      </c>
      <c r="AK1279">
        <v>0</v>
      </c>
      <c r="AL1279" s="24">
        <v>95665.1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 s="24">
        <v>95665.1</v>
      </c>
      <c r="AV1279">
        <v>0</v>
      </c>
      <c r="AW1279">
        <v>0</v>
      </c>
      <c r="AX1279">
        <v>311000</v>
      </c>
      <c r="AY1279" t="s">
        <v>161</v>
      </c>
      <c r="AZ1279">
        <v>0</v>
      </c>
      <c r="BA1279">
        <v>61</v>
      </c>
      <c r="BB1279">
        <v>-61</v>
      </c>
      <c r="BC1279" t="s">
        <v>193</v>
      </c>
      <c r="BD1279">
        <v>1509</v>
      </c>
      <c r="BE1279" t="s">
        <v>169</v>
      </c>
      <c r="BF1279" t="s">
        <v>163</v>
      </c>
      <c r="BG1279" t="s">
        <v>164</v>
      </c>
    </row>
    <row r="1280" spans="1:59">
      <c r="A1280">
        <v>1115</v>
      </c>
      <c r="B1280">
        <v>1115</v>
      </c>
      <c r="C1280">
        <v>10</v>
      </c>
      <c r="D1280">
        <v>2</v>
      </c>
      <c r="E1280" t="s">
        <v>152</v>
      </c>
      <c r="F1280" t="s">
        <v>153</v>
      </c>
      <c r="G1280" t="s">
        <v>154</v>
      </c>
      <c r="H1280">
        <v>1526006858</v>
      </c>
      <c r="I1280">
        <v>1000007139</v>
      </c>
      <c r="L1280" t="s">
        <v>362</v>
      </c>
      <c r="M1280">
        <v>5100001913</v>
      </c>
      <c r="N1280" t="s">
        <v>155</v>
      </c>
      <c r="O1280" t="s">
        <v>156</v>
      </c>
      <c r="P1280">
        <v>4110050475</v>
      </c>
      <c r="Q1280" t="s">
        <v>178</v>
      </c>
      <c r="R1280">
        <v>5000</v>
      </c>
      <c r="S1280" t="s">
        <v>166</v>
      </c>
      <c r="V1280" t="s">
        <v>167</v>
      </c>
      <c r="W1280">
        <v>1502040289</v>
      </c>
      <c r="X1280" t="s">
        <v>49</v>
      </c>
      <c r="Y1280" t="str">
        <f>VLOOKUP(W1280,Sheet4!$A$5:$B$71,2,0)</f>
        <v>SUPPORT TOP</v>
      </c>
      <c r="Z1280">
        <v>87082900</v>
      </c>
      <c r="AA1280">
        <v>192</v>
      </c>
      <c r="AB1280" t="s">
        <v>159</v>
      </c>
      <c r="AC1280">
        <v>174.61</v>
      </c>
      <c r="AD1280" t="s">
        <v>160</v>
      </c>
      <c r="AE1280" s="24">
        <v>33525.120000000003</v>
      </c>
      <c r="AF1280">
        <v>0</v>
      </c>
      <c r="AG1280" s="24">
        <v>33525.120000000003</v>
      </c>
      <c r="AH1280">
        <v>0</v>
      </c>
      <c r="AI1280">
        <v>0</v>
      </c>
      <c r="AJ1280">
        <v>0</v>
      </c>
      <c r="AK1280">
        <v>0</v>
      </c>
      <c r="AL1280" s="24">
        <v>33525.120000000003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 s="24">
        <v>33525.120000000003</v>
      </c>
      <c r="AV1280">
        <v>0</v>
      </c>
      <c r="AW1280">
        <v>0</v>
      </c>
      <c r="AX1280">
        <v>311000</v>
      </c>
      <c r="AY1280" t="s">
        <v>161</v>
      </c>
      <c r="AZ1280">
        <v>0</v>
      </c>
      <c r="BA1280">
        <v>0</v>
      </c>
      <c r="BB1280">
        <v>0</v>
      </c>
      <c r="BC1280" t="s">
        <v>179</v>
      </c>
      <c r="BD1280">
        <v>1511</v>
      </c>
      <c r="BE1280" t="s">
        <v>174</v>
      </c>
      <c r="BF1280">
        <v>5094211969</v>
      </c>
      <c r="BG1280" t="s">
        <v>362</v>
      </c>
    </row>
    <row r="1281" spans="1:59">
      <c r="A1281">
        <v>1115</v>
      </c>
      <c r="B1281">
        <v>1115</v>
      </c>
      <c r="C1281">
        <v>10</v>
      </c>
      <c r="D1281">
        <v>2</v>
      </c>
      <c r="E1281" t="s">
        <v>152</v>
      </c>
      <c r="F1281" t="s">
        <v>153</v>
      </c>
      <c r="G1281" t="s">
        <v>154</v>
      </c>
      <c r="H1281">
        <v>1526006859</v>
      </c>
      <c r="I1281">
        <v>1000007140</v>
      </c>
      <c r="L1281" t="s">
        <v>362</v>
      </c>
      <c r="M1281">
        <v>5100001928</v>
      </c>
      <c r="N1281" t="s">
        <v>155</v>
      </c>
      <c r="O1281" t="s">
        <v>156</v>
      </c>
      <c r="P1281">
        <v>4110057393</v>
      </c>
      <c r="Q1281" t="s">
        <v>192</v>
      </c>
      <c r="R1281">
        <v>5000</v>
      </c>
      <c r="S1281" t="s">
        <v>166</v>
      </c>
      <c r="V1281" t="s">
        <v>167</v>
      </c>
      <c r="W1281">
        <v>1502020122</v>
      </c>
      <c r="X1281" t="s">
        <v>70</v>
      </c>
      <c r="Y1281" t="str">
        <f>VLOOKUP(W1281,Sheet4!$A$5:$B$71,2,0)</f>
        <v>MAX UG NEW EV</v>
      </c>
      <c r="Z1281">
        <v>87082900</v>
      </c>
      <c r="AA1281">
        <v>10</v>
      </c>
      <c r="AB1281" t="s">
        <v>159</v>
      </c>
      <c r="AC1281" s="24">
        <v>9566.51</v>
      </c>
      <c r="AD1281" t="s">
        <v>160</v>
      </c>
      <c r="AE1281" s="24">
        <v>95665.1</v>
      </c>
      <c r="AF1281">
        <v>0</v>
      </c>
      <c r="AG1281" s="24">
        <v>95665.1</v>
      </c>
      <c r="AH1281">
        <v>0</v>
      </c>
      <c r="AI1281">
        <v>0</v>
      </c>
      <c r="AJ1281">
        <v>0</v>
      </c>
      <c r="AK1281">
        <v>0</v>
      </c>
      <c r="AL1281" s="24">
        <v>95665.1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 s="24">
        <v>95665.1</v>
      </c>
      <c r="AV1281">
        <v>0</v>
      </c>
      <c r="AW1281">
        <v>0</v>
      </c>
      <c r="AX1281">
        <v>311000</v>
      </c>
      <c r="AY1281" t="s">
        <v>161</v>
      </c>
      <c r="AZ1281">
        <v>0</v>
      </c>
      <c r="BA1281">
        <v>61</v>
      </c>
      <c r="BB1281">
        <v>-61</v>
      </c>
      <c r="BC1281" t="s">
        <v>193</v>
      </c>
      <c r="BD1281">
        <v>1509</v>
      </c>
      <c r="BE1281" t="s">
        <v>169</v>
      </c>
      <c r="BF1281" t="s">
        <v>163</v>
      </c>
      <c r="BG1281" t="s">
        <v>164</v>
      </c>
    </row>
    <row r="1282" spans="1:59">
      <c r="A1282">
        <v>1115</v>
      </c>
      <c r="B1282">
        <v>1115</v>
      </c>
      <c r="C1282">
        <v>10</v>
      </c>
      <c r="D1282">
        <v>2</v>
      </c>
      <c r="E1282" t="s">
        <v>152</v>
      </c>
      <c r="F1282" t="s">
        <v>153</v>
      </c>
      <c r="G1282" t="s">
        <v>154</v>
      </c>
      <c r="H1282">
        <v>1526006860</v>
      </c>
      <c r="I1282">
        <v>1000007141</v>
      </c>
      <c r="L1282" t="s">
        <v>362</v>
      </c>
      <c r="M1282">
        <v>5100001568</v>
      </c>
      <c r="N1282" t="s">
        <v>155</v>
      </c>
      <c r="O1282" t="s">
        <v>156</v>
      </c>
      <c r="P1282">
        <v>4110023868</v>
      </c>
      <c r="Q1282" t="s">
        <v>182</v>
      </c>
      <c r="R1282">
        <v>5000</v>
      </c>
      <c r="S1282" t="s">
        <v>166</v>
      </c>
      <c r="V1282" t="s">
        <v>167</v>
      </c>
      <c r="W1282">
        <v>1502040236</v>
      </c>
      <c r="X1282" t="s">
        <v>50</v>
      </c>
      <c r="Y1282" t="str">
        <f>VLOOKUP(W1282,Sheet4!$A$5:$B$71,2,0)</f>
        <v>SUPPORT TOP</v>
      </c>
      <c r="Z1282">
        <v>87082900</v>
      </c>
      <c r="AA1282">
        <v>144</v>
      </c>
      <c r="AB1282" t="s">
        <v>159</v>
      </c>
      <c r="AC1282">
        <v>134.19999999999999</v>
      </c>
      <c r="AD1282" t="s">
        <v>160</v>
      </c>
      <c r="AE1282" s="24">
        <v>19324.8</v>
      </c>
      <c r="AF1282">
        <v>0</v>
      </c>
      <c r="AG1282" s="24">
        <v>19324.8</v>
      </c>
      <c r="AH1282">
        <v>0</v>
      </c>
      <c r="AI1282">
        <v>0</v>
      </c>
      <c r="AJ1282">
        <v>0</v>
      </c>
      <c r="AK1282">
        <v>0</v>
      </c>
      <c r="AL1282" s="24">
        <v>19324.8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 s="24">
        <v>19324.8</v>
      </c>
      <c r="AV1282">
        <v>0</v>
      </c>
      <c r="AW1282">
        <v>0</v>
      </c>
      <c r="AX1282">
        <v>311000</v>
      </c>
      <c r="AY1282" t="s">
        <v>161</v>
      </c>
      <c r="AZ1282">
        <v>1.19</v>
      </c>
      <c r="BA1282">
        <v>1.19</v>
      </c>
      <c r="BB1282">
        <v>0</v>
      </c>
      <c r="BC1282" t="s">
        <v>183</v>
      </c>
      <c r="BD1282">
        <v>1511</v>
      </c>
      <c r="BE1282" t="s">
        <v>174</v>
      </c>
      <c r="BF1282">
        <v>5094211970</v>
      </c>
      <c r="BG1282" t="s">
        <v>362</v>
      </c>
    </row>
    <row r="1283" spans="1:59">
      <c r="A1283">
        <v>1115</v>
      </c>
      <c r="B1283">
        <v>1115</v>
      </c>
      <c r="C1283">
        <v>10</v>
      </c>
      <c r="D1283">
        <v>2</v>
      </c>
      <c r="E1283" t="s">
        <v>152</v>
      </c>
      <c r="F1283" t="s">
        <v>153</v>
      </c>
      <c r="G1283" t="s">
        <v>154</v>
      </c>
      <c r="H1283">
        <v>1526006861</v>
      </c>
      <c r="I1283">
        <v>1000007142</v>
      </c>
      <c r="L1283" t="s">
        <v>362</v>
      </c>
      <c r="M1283">
        <v>5100001588</v>
      </c>
      <c r="N1283" t="s">
        <v>155</v>
      </c>
      <c r="O1283" t="s">
        <v>156</v>
      </c>
      <c r="P1283">
        <v>4110025058</v>
      </c>
      <c r="Q1283" t="s">
        <v>180</v>
      </c>
      <c r="R1283">
        <v>5000</v>
      </c>
      <c r="S1283" t="s">
        <v>166</v>
      </c>
      <c r="V1283" t="s">
        <v>167</v>
      </c>
      <c r="W1283">
        <v>1502040235</v>
      </c>
      <c r="X1283" t="s">
        <v>47</v>
      </c>
      <c r="Y1283" t="str">
        <f>VLOOKUP(W1283,Sheet4!$A$5:$B$71,2,0)</f>
        <v>STARTING HANDLE</v>
      </c>
      <c r="Z1283">
        <v>87082900</v>
      </c>
      <c r="AA1283">
        <v>540</v>
      </c>
      <c r="AB1283" t="s">
        <v>159</v>
      </c>
      <c r="AC1283">
        <v>217.33</v>
      </c>
      <c r="AD1283" t="s">
        <v>160</v>
      </c>
      <c r="AE1283" s="24">
        <v>117358.2</v>
      </c>
      <c r="AF1283">
        <v>0</v>
      </c>
      <c r="AG1283" s="24">
        <v>117358.2</v>
      </c>
      <c r="AH1283">
        <v>0</v>
      </c>
      <c r="AI1283">
        <v>0</v>
      </c>
      <c r="AJ1283">
        <v>0</v>
      </c>
      <c r="AK1283">
        <v>0</v>
      </c>
      <c r="AL1283" s="24">
        <v>117358.2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 s="24">
        <v>117358.2</v>
      </c>
      <c r="AV1283">
        <v>0</v>
      </c>
      <c r="AW1283">
        <v>0</v>
      </c>
      <c r="AX1283">
        <v>311000</v>
      </c>
      <c r="AY1283" t="s">
        <v>161</v>
      </c>
      <c r="AZ1283">
        <v>1.19</v>
      </c>
      <c r="BA1283">
        <v>1.19</v>
      </c>
      <c r="BB1283">
        <v>0</v>
      </c>
      <c r="BC1283" t="s">
        <v>181</v>
      </c>
      <c r="BD1283">
        <v>1511</v>
      </c>
      <c r="BE1283" t="s">
        <v>174</v>
      </c>
      <c r="BF1283" t="s">
        <v>163</v>
      </c>
      <c r="BG1283" t="s">
        <v>164</v>
      </c>
    </row>
    <row r="1284" spans="1:59">
      <c r="A1284">
        <v>1115</v>
      </c>
      <c r="B1284">
        <v>1115</v>
      </c>
      <c r="C1284">
        <v>10</v>
      </c>
      <c r="D1284">
        <v>2</v>
      </c>
      <c r="E1284" t="s">
        <v>152</v>
      </c>
      <c r="F1284" t="s">
        <v>153</v>
      </c>
      <c r="G1284" t="s">
        <v>154</v>
      </c>
      <c r="H1284">
        <v>1526006863</v>
      </c>
      <c r="I1284">
        <v>1000007145</v>
      </c>
      <c r="L1284" t="s">
        <v>362</v>
      </c>
      <c r="M1284">
        <v>5100001928</v>
      </c>
      <c r="N1284" t="s">
        <v>155</v>
      </c>
      <c r="O1284" t="s">
        <v>156</v>
      </c>
      <c r="P1284">
        <v>4110057393</v>
      </c>
      <c r="Q1284" t="s">
        <v>192</v>
      </c>
      <c r="R1284">
        <v>5000</v>
      </c>
      <c r="S1284" t="s">
        <v>166</v>
      </c>
      <c r="V1284" t="s">
        <v>167</v>
      </c>
      <c r="W1284">
        <v>1502020122</v>
      </c>
      <c r="X1284" t="s">
        <v>70</v>
      </c>
      <c r="Y1284" t="str">
        <f>VLOOKUP(W1284,Sheet4!$A$5:$B$71,2,0)</f>
        <v>MAX UG NEW EV</v>
      </c>
      <c r="Z1284">
        <v>87082900</v>
      </c>
      <c r="AA1284">
        <v>10</v>
      </c>
      <c r="AB1284" t="s">
        <v>159</v>
      </c>
      <c r="AC1284" s="24">
        <v>9566.51</v>
      </c>
      <c r="AD1284" t="s">
        <v>160</v>
      </c>
      <c r="AE1284" s="24">
        <v>95665.1</v>
      </c>
      <c r="AF1284">
        <v>0</v>
      </c>
      <c r="AG1284" s="24">
        <v>95665.1</v>
      </c>
      <c r="AH1284">
        <v>0</v>
      </c>
      <c r="AI1284">
        <v>0</v>
      </c>
      <c r="AJ1284">
        <v>0</v>
      </c>
      <c r="AK1284">
        <v>0</v>
      </c>
      <c r="AL1284" s="24">
        <v>95665.1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 s="24">
        <v>95665.1</v>
      </c>
      <c r="AV1284">
        <v>0</v>
      </c>
      <c r="AW1284">
        <v>0</v>
      </c>
      <c r="AX1284">
        <v>311000</v>
      </c>
      <c r="AY1284" t="s">
        <v>161</v>
      </c>
      <c r="AZ1284">
        <v>0</v>
      </c>
      <c r="BA1284">
        <v>61</v>
      </c>
      <c r="BB1284">
        <v>-61</v>
      </c>
      <c r="BC1284" t="s">
        <v>193</v>
      </c>
      <c r="BD1284">
        <v>1509</v>
      </c>
      <c r="BE1284" t="s">
        <v>169</v>
      </c>
      <c r="BF1284" t="s">
        <v>163</v>
      </c>
      <c r="BG1284" t="s">
        <v>164</v>
      </c>
    </row>
    <row r="1285" spans="1:59">
      <c r="A1285">
        <v>1115</v>
      </c>
      <c r="B1285">
        <v>1115</v>
      </c>
      <c r="C1285">
        <v>10</v>
      </c>
      <c r="D1285">
        <v>2</v>
      </c>
      <c r="E1285" t="s">
        <v>152</v>
      </c>
      <c r="F1285" t="s">
        <v>153</v>
      </c>
      <c r="G1285" t="s">
        <v>154</v>
      </c>
      <c r="H1285">
        <v>1526006864</v>
      </c>
      <c r="I1285">
        <v>1000007147</v>
      </c>
      <c r="L1285" t="s">
        <v>362</v>
      </c>
      <c r="M1285">
        <v>5100001924</v>
      </c>
      <c r="N1285" t="s">
        <v>155</v>
      </c>
      <c r="O1285" t="s">
        <v>156</v>
      </c>
      <c r="P1285">
        <v>4110055642</v>
      </c>
      <c r="Q1285" t="s">
        <v>199</v>
      </c>
      <c r="R1285">
        <v>5000</v>
      </c>
      <c r="S1285" t="s">
        <v>166</v>
      </c>
      <c r="V1285" t="s">
        <v>167</v>
      </c>
      <c r="W1285">
        <v>1502040315</v>
      </c>
      <c r="X1285" t="s">
        <v>353</v>
      </c>
      <c r="Y1285" t="str">
        <f>VLOOKUP(W1285,Sheet4!$A$5:$B$71,2,0)</f>
        <v>Re Side Door</v>
      </c>
      <c r="Z1285">
        <v>87082900</v>
      </c>
      <c r="AA1285">
        <v>120</v>
      </c>
      <c r="AB1285" t="s">
        <v>159</v>
      </c>
      <c r="AC1285">
        <v>497.08</v>
      </c>
      <c r="AD1285" t="s">
        <v>160</v>
      </c>
      <c r="AE1285" s="24">
        <v>59649.599999999999</v>
      </c>
      <c r="AF1285">
        <v>0</v>
      </c>
      <c r="AG1285" s="24">
        <v>59649.599999999999</v>
      </c>
      <c r="AH1285">
        <v>0</v>
      </c>
      <c r="AI1285">
        <v>0</v>
      </c>
      <c r="AJ1285">
        <v>0</v>
      </c>
      <c r="AK1285">
        <v>0</v>
      </c>
      <c r="AL1285" s="24">
        <v>59649.599999999999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 s="24">
        <v>59649.599999999999</v>
      </c>
      <c r="AV1285">
        <v>0</v>
      </c>
      <c r="AW1285">
        <v>0</v>
      </c>
      <c r="AX1285">
        <v>311000</v>
      </c>
      <c r="AY1285" t="s">
        <v>161</v>
      </c>
      <c r="AZ1285">
        <v>2.27</v>
      </c>
      <c r="BA1285">
        <v>2.27</v>
      </c>
      <c r="BB1285">
        <v>0</v>
      </c>
      <c r="BC1285" t="s">
        <v>354</v>
      </c>
      <c r="BD1285">
        <v>1511</v>
      </c>
      <c r="BE1285" t="s">
        <v>174</v>
      </c>
      <c r="BF1285" t="s">
        <v>163</v>
      </c>
      <c r="BG1285" t="s">
        <v>164</v>
      </c>
    </row>
    <row r="1286" spans="1:59">
      <c r="A1286">
        <v>1115</v>
      </c>
      <c r="B1286">
        <v>1115</v>
      </c>
      <c r="C1286">
        <v>10</v>
      </c>
      <c r="D1286">
        <v>2</v>
      </c>
      <c r="E1286" t="s">
        <v>152</v>
      </c>
      <c r="F1286" t="s">
        <v>153</v>
      </c>
      <c r="G1286" t="s">
        <v>154</v>
      </c>
      <c r="H1286">
        <v>1526006865</v>
      </c>
      <c r="I1286">
        <v>1000007148</v>
      </c>
      <c r="L1286" t="s">
        <v>362</v>
      </c>
      <c r="M1286">
        <v>5100001924</v>
      </c>
      <c r="N1286" t="s">
        <v>155</v>
      </c>
      <c r="O1286" t="s">
        <v>156</v>
      </c>
      <c r="P1286">
        <v>4110055642</v>
      </c>
      <c r="Q1286" t="s">
        <v>199</v>
      </c>
      <c r="R1286">
        <v>5000</v>
      </c>
      <c r="S1286" t="s">
        <v>166</v>
      </c>
      <c r="V1286" t="s">
        <v>167</v>
      </c>
      <c r="W1286">
        <v>1502040316</v>
      </c>
      <c r="X1286" t="s">
        <v>351</v>
      </c>
      <c r="Y1286" t="str">
        <f>VLOOKUP(W1286,Sheet4!$A$5:$B$71,2,0)</f>
        <v>Re Side Door</v>
      </c>
      <c r="Z1286">
        <v>87082900</v>
      </c>
      <c r="AA1286">
        <v>120</v>
      </c>
      <c r="AB1286" t="s">
        <v>159</v>
      </c>
      <c r="AC1286">
        <v>497.87</v>
      </c>
      <c r="AD1286" t="s">
        <v>160</v>
      </c>
      <c r="AE1286" s="24">
        <v>59744.4</v>
      </c>
      <c r="AF1286">
        <v>0</v>
      </c>
      <c r="AG1286" s="24">
        <v>59744.4</v>
      </c>
      <c r="AH1286">
        <v>0</v>
      </c>
      <c r="AI1286">
        <v>0</v>
      </c>
      <c r="AJ1286">
        <v>0</v>
      </c>
      <c r="AK1286">
        <v>0</v>
      </c>
      <c r="AL1286" s="24">
        <v>59744.4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 s="24">
        <v>59744.4</v>
      </c>
      <c r="AV1286">
        <v>0</v>
      </c>
      <c r="AW1286">
        <v>0</v>
      </c>
      <c r="AX1286">
        <v>311000</v>
      </c>
      <c r="AY1286" t="s">
        <v>161</v>
      </c>
      <c r="AZ1286">
        <v>2.27</v>
      </c>
      <c r="BA1286">
        <v>2.27</v>
      </c>
      <c r="BB1286">
        <v>0</v>
      </c>
      <c r="BC1286" t="s">
        <v>352</v>
      </c>
      <c r="BD1286">
        <v>1511</v>
      </c>
      <c r="BE1286" t="s">
        <v>174</v>
      </c>
      <c r="BF1286" t="s">
        <v>163</v>
      </c>
      <c r="BG1286" t="s">
        <v>164</v>
      </c>
    </row>
    <row r="1287" spans="1:59">
      <c r="A1287">
        <v>1115</v>
      </c>
      <c r="B1287">
        <v>1115</v>
      </c>
      <c r="C1287">
        <v>10</v>
      </c>
      <c r="D1287">
        <v>2</v>
      </c>
      <c r="E1287" t="s">
        <v>152</v>
      </c>
      <c r="F1287" t="s">
        <v>153</v>
      </c>
      <c r="G1287" t="s">
        <v>154</v>
      </c>
      <c r="H1287">
        <v>1526006866</v>
      </c>
      <c r="I1287">
        <v>1000007149</v>
      </c>
      <c r="L1287" t="s">
        <v>362</v>
      </c>
      <c r="M1287">
        <v>5100001928</v>
      </c>
      <c r="N1287" t="s">
        <v>155</v>
      </c>
      <c r="O1287" t="s">
        <v>156</v>
      </c>
      <c r="P1287">
        <v>4110057393</v>
      </c>
      <c r="Q1287" t="s">
        <v>192</v>
      </c>
      <c r="R1287">
        <v>5000</v>
      </c>
      <c r="S1287" t="s">
        <v>166</v>
      </c>
      <c r="V1287" t="s">
        <v>167</v>
      </c>
      <c r="W1287">
        <v>1502020122</v>
      </c>
      <c r="X1287" t="s">
        <v>70</v>
      </c>
      <c r="Y1287" t="str">
        <f>VLOOKUP(W1287,Sheet4!$A$5:$B$71,2,0)</f>
        <v>MAX UG NEW EV</v>
      </c>
      <c r="Z1287">
        <v>87082900</v>
      </c>
      <c r="AA1287">
        <v>10</v>
      </c>
      <c r="AB1287" t="s">
        <v>159</v>
      </c>
      <c r="AC1287" s="24">
        <v>9566.51</v>
      </c>
      <c r="AD1287" t="s">
        <v>160</v>
      </c>
      <c r="AE1287" s="24">
        <v>95665.1</v>
      </c>
      <c r="AF1287">
        <v>0</v>
      </c>
      <c r="AG1287" s="24">
        <v>95665.1</v>
      </c>
      <c r="AH1287">
        <v>0</v>
      </c>
      <c r="AI1287">
        <v>0</v>
      </c>
      <c r="AJ1287">
        <v>0</v>
      </c>
      <c r="AK1287">
        <v>0</v>
      </c>
      <c r="AL1287" s="24">
        <v>95665.1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 s="24">
        <v>95665.1</v>
      </c>
      <c r="AV1287">
        <v>0</v>
      </c>
      <c r="AW1287">
        <v>0</v>
      </c>
      <c r="AX1287">
        <v>311000</v>
      </c>
      <c r="AY1287" t="s">
        <v>161</v>
      </c>
      <c r="AZ1287">
        <v>0</v>
      </c>
      <c r="BA1287">
        <v>61</v>
      </c>
      <c r="BB1287">
        <v>-61</v>
      </c>
      <c r="BC1287" t="s">
        <v>193</v>
      </c>
      <c r="BD1287">
        <v>1509</v>
      </c>
      <c r="BE1287" t="s">
        <v>169</v>
      </c>
      <c r="BF1287" t="s">
        <v>163</v>
      </c>
      <c r="BG1287" t="s">
        <v>164</v>
      </c>
    </row>
    <row r="1288" spans="1:59">
      <c r="A1288">
        <v>1115</v>
      </c>
      <c r="B1288">
        <v>1115</v>
      </c>
      <c r="C1288">
        <v>10</v>
      </c>
      <c r="D1288">
        <v>2</v>
      </c>
      <c r="E1288" t="s">
        <v>152</v>
      </c>
      <c r="F1288" t="s">
        <v>153</v>
      </c>
      <c r="G1288" t="s">
        <v>154</v>
      </c>
      <c r="H1288">
        <v>1526006871</v>
      </c>
      <c r="I1288">
        <v>1000007155</v>
      </c>
      <c r="L1288" t="s">
        <v>362</v>
      </c>
      <c r="M1288">
        <v>5100001603</v>
      </c>
      <c r="N1288" t="s">
        <v>155</v>
      </c>
      <c r="O1288" t="s">
        <v>156</v>
      </c>
      <c r="P1288">
        <v>4110025468</v>
      </c>
      <c r="Q1288" t="s">
        <v>165</v>
      </c>
      <c r="R1288">
        <v>5000</v>
      </c>
      <c r="S1288" t="s">
        <v>166</v>
      </c>
      <c r="V1288" t="s">
        <v>167</v>
      </c>
      <c r="W1288">
        <v>1502020102</v>
      </c>
      <c r="X1288" t="s">
        <v>58</v>
      </c>
      <c r="Y1288" t="str">
        <f>VLOOKUP(W1288,Sheet4!$A$5:$B$71,2,0)</f>
        <v>MAXIMA HD</v>
      </c>
      <c r="Z1288">
        <v>87082900</v>
      </c>
      <c r="AA1288">
        <v>8</v>
      </c>
      <c r="AB1288" t="s">
        <v>159</v>
      </c>
      <c r="AC1288" s="24">
        <v>8593.51</v>
      </c>
      <c r="AD1288" t="s">
        <v>160</v>
      </c>
      <c r="AE1288" s="24">
        <v>68748.08</v>
      </c>
      <c r="AF1288">
        <v>0</v>
      </c>
      <c r="AG1288" s="24">
        <v>68748.08</v>
      </c>
      <c r="AH1288">
        <v>0</v>
      </c>
      <c r="AI1288">
        <v>0</v>
      </c>
      <c r="AJ1288">
        <v>0</v>
      </c>
      <c r="AK1288">
        <v>0</v>
      </c>
      <c r="AL1288" s="24">
        <v>68748.08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 s="24">
        <v>68748.08</v>
      </c>
      <c r="AV1288">
        <v>0</v>
      </c>
      <c r="AW1288">
        <v>0</v>
      </c>
      <c r="AX1288">
        <v>311000</v>
      </c>
      <c r="AY1288" t="s">
        <v>161</v>
      </c>
      <c r="AZ1288">
        <v>93.34</v>
      </c>
      <c r="BA1288">
        <v>75.430000000000007</v>
      </c>
      <c r="BB1288">
        <v>17.91</v>
      </c>
      <c r="BC1288" t="s">
        <v>168</v>
      </c>
      <c r="BD1288">
        <v>1509</v>
      </c>
      <c r="BE1288" t="s">
        <v>169</v>
      </c>
      <c r="BF1288" t="s">
        <v>163</v>
      </c>
      <c r="BG1288" t="s">
        <v>164</v>
      </c>
    </row>
    <row r="1289" spans="1:59">
      <c r="A1289">
        <v>1115</v>
      </c>
      <c r="B1289">
        <v>1115</v>
      </c>
      <c r="C1289">
        <v>10</v>
      </c>
      <c r="D1289">
        <v>2</v>
      </c>
      <c r="E1289" t="s">
        <v>152</v>
      </c>
      <c r="F1289" t="s">
        <v>153</v>
      </c>
      <c r="G1289" t="s">
        <v>154</v>
      </c>
      <c r="H1289">
        <v>1526006872</v>
      </c>
      <c r="I1289">
        <v>1000007157</v>
      </c>
      <c r="L1289" t="s">
        <v>362</v>
      </c>
      <c r="M1289">
        <v>5100001603</v>
      </c>
      <c r="N1289" t="s">
        <v>155</v>
      </c>
      <c r="O1289" t="s">
        <v>156</v>
      </c>
      <c r="P1289">
        <v>4110025468</v>
      </c>
      <c r="Q1289" t="s">
        <v>165</v>
      </c>
      <c r="R1289">
        <v>5000</v>
      </c>
      <c r="S1289" t="s">
        <v>166</v>
      </c>
      <c r="V1289" t="s">
        <v>167</v>
      </c>
      <c r="W1289">
        <v>1502020102</v>
      </c>
      <c r="X1289" t="s">
        <v>58</v>
      </c>
      <c r="Y1289" t="str">
        <f>VLOOKUP(W1289,Sheet4!$A$5:$B$71,2,0)</f>
        <v>MAXIMA HD</v>
      </c>
      <c r="Z1289">
        <v>87082900</v>
      </c>
      <c r="AA1289">
        <v>8</v>
      </c>
      <c r="AB1289" t="s">
        <v>159</v>
      </c>
      <c r="AC1289" s="24">
        <v>8593.51</v>
      </c>
      <c r="AD1289" t="s">
        <v>160</v>
      </c>
      <c r="AE1289" s="24">
        <v>68748.08</v>
      </c>
      <c r="AF1289">
        <v>0</v>
      </c>
      <c r="AG1289" s="24">
        <v>68748.08</v>
      </c>
      <c r="AH1289">
        <v>0</v>
      </c>
      <c r="AI1289">
        <v>0</v>
      </c>
      <c r="AJ1289">
        <v>0</v>
      </c>
      <c r="AK1289">
        <v>0</v>
      </c>
      <c r="AL1289" s="24">
        <v>68748.08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 s="24">
        <v>68748.08</v>
      </c>
      <c r="AV1289">
        <v>0</v>
      </c>
      <c r="AW1289">
        <v>0</v>
      </c>
      <c r="AX1289">
        <v>311000</v>
      </c>
      <c r="AY1289" t="s">
        <v>161</v>
      </c>
      <c r="AZ1289">
        <v>93.34</v>
      </c>
      <c r="BA1289">
        <v>75.430000000000007</v>
      </c>
      <c r="BB1289">
        <v>17.91</v>
      </c>
      <c r="BC1289" t="s">
        <v>168</v>
      </c>
      <c r="BD1289">
        <v>1509</v>
      </c>
      <c r="BE1289" t="s">
        <v>169</v>
      </c>
      <c r="BF1289" t="s">
        <v>163</v>
      </c>
      <c r="BG1289" t="s">
        <v>164</v>
      </c>
    </row>
    <row r="1290" spans="1:59">
      <c r="A1290">
        <v>1115</v>
      </c>
      <c r="B1290">
        <v>1115</v>
      </c>
      <c r="C1290">
        <v>10</v>
      </c>
      <c r="D1290">
        <v>2</v>
      </c>
      <c r="E1290" t="s">
        <v>152</v>
      </c>
      <c r="F1290" t="s">
        <v>153</v>
      </c>
      <c r="G1290" t="s">
        <v>154</v>
      </c>
      <c r="H1290">
        <v>1526006875</v>
      </c>
      <c r="I1290">
        <v>1000007162</v>
      </c>
      <c r="L1290" t="s">
        <v>362</v>
      </c>
      <c r="M1290">
        <v>5100001636</v>
      </c>
      <c r="N1290" t="s">
        <v>155</v>
      </c>
      <c r="O1290" t="s">
        <v>156</v>
      </c>
      <c r="P1290">
        <v>4110026445</v>
      </c>
      <c r="Q1290" t="s">
        <v>170</v>
      </c>
      <c r="R1290">
        <v>5000</v>
      </c>
      <c r="S1290" t="s">
        <v>166</v>
      </c>
      <c r="V1290" t="s">
        <v>167</v>
      </c>
      <c r="W1290">
        <v>1502020104</v>
      </c>
      <c r="X1290" t="s">
        <v>26</v>
      </c>
      <c r="Y1290" t="str">
        <f>VLOOKUP(W1290,Sheet4!$A$5:$B$71,2,0)</f>
        <v>RE STYLING</v>
      </c>
      <c r="Z1290">
        <v>87082900</v>
      </c>
      <c r="AA1290">
        <v>15</v>
      </c>
      <c r="AB1290" t="s">
        <v>159</v>
      </c>
      <c r="AC1290" s="24">
        <v>6585.55</v>
      </c>
      <c r="AD1290" t="s">
        <v>160</v>
      </c>
      <c r="AE1290" s="24">
        <v>98783.25</v>
      </c>
      <c r="AF1290">
        <v>0</v>
      </c>
      <c r="AG1290" s="24">
        <v>98783.25</v>
      </c>
      <c r="AH1290">
        <v>0</v>
      </c>
      <c r="AI1290">
        <v>0</v>
      </c>
      <c r="AJ1290">
        <v>0</v>
      </c>
      <c r="AK1290">
        <v>0</v>
      </c>
      <c r="AL1290" s="24">
        <v>98783.25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 s="24">
        <v>98783.25</v>
      </c>
      <c r="AV1290">
        <v>0</v>
      </c>
      <c r="AW1290">
        <v>0</v>
      </c>
      <c r="AX1290">
        <v>311000</v>
      </c>
      <c r="AY1290" t="s">
        <v>161</v>
      </c>
      <c r="AZ1290">
        <v>49.75</v>
      </c>
      <c r="BA1290">
        <v>49.75</v>
      </c>
      <c r="BB1290">
        <v>0</v>
      </c>
      <c r="BC1290" t="s">
        <v>171</v>
      </c>
      <c r="BD1290">
        <v>1509</v>
      </c>
      <c r="BE1290" t="s">
        <v>169</v>
      </c>
      <c r="BF1290" t="s">
        <v>163</v>
      </c>
      <c r="BG1290" t="s">
        <v>164</v>
      </c>
    </row>
    <row r="1291" spans="1:59">
      <c r="A1291">
        <v>1115</v>
      </c>
      <c r="B1291">
        <v>1115</v>
      </c>
      <c r="C1291">
        <v>10</v>
      </c>
      <c r="D1291">
        <v>2</v>
      </c>
      <c r="E1291" t="s">
        <v>152</v>
      </c>
      <c r="F1291" t="s">
        <v>153</v>
      </c>
      <c r="G1291" t="s">
        <v>154</v>
      </c>
      <c r="H1291">
        <v>1526006876</v>
      </c>
      <c r="I1291">
        <v>1000007163</v>
      </c>
      <c r="L1291" t="s">
        <v>362</v>
      </c>
      <c r="M1291">
        <v>5100001636</v>
      </c>
      <c r="N1291" t="s">
        <v>155</v>
      </c>
      <c r="O1291" t="s">
        <v>156</v>
      </c>
      <c r="P1291">
        <v>4110026445</v>
      </c>
      <c r="Q1291" t="s">
        <v>170</v>
      </c>
      <c r="R1291">
        <v>5000</v>
      </c>
      <c r="S1291" t="s">
        <v>166</v>
      </c>
      <c r="V1291" t="s">
        <v>167</v>
      </c>
      <c r="W1291">
        <v>1502020104</v>
      </c>
      <c r="X1291" t="s">
        <v>26</v>
      </c>
      <c r="Y1291" t="str">
        <f>VLOOKUP(W1291,Sheet4!$A$5:$B$71,2,0)</f>
        <v>RE STYLING</v>
      </c>
      <c r="Z1291">
        <v>87082900</v>
      </c>
      <c r="AA1291">
        <v>15</v>
      </c>
      <c r="AB1291" t="s">
        <v>159</v>
      </c>
      <c r="AC1291" s="24">
        <v>6585.55</v>
      </c>
      <c r="AD1291" t="s">
        <v>160</v>
      </c>
      <c r="AE1291" s="24">
        <v>98783.25</v>
      </c>
      <c r="AF1291">
        <v>0</v>
      </c>
      <c r="AG1291" s="24">
        <v>98783.25</v>
      </c>
      <c r="AH1291">
        <v>0</v>
      </c>
      <c r="AI1291">
        <v>0</v>
      </c>
      <c r="AJ1291">
        <v>0</v>
      </c>
      <c r="AK1291">
        <v>0</v>
      </c>
      <c r="AL1291" s="24">
        <v>98783.25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 s="24">
        <v>98783.25</v>
      </c>
      <c r="AV1291">
        <v>0</v>
      </c>
      <c r="AW1291">
        <v>0</v>
      </c>
      <c r="AX1291">
        <v>311000</v>
      </c>
      <c r="AY1291" t="s">
        <v>161</v>
      </c>
      <c r="AZ1291">
        <v>49.75</v>
      </c>
      <c r="BA1291">
        <v>49.75</v>
      </c>
      <c r="BB1291">
        <v>0</v>
      </c>
      <c r="BC1291" t="s">
        <v>171</v>
      </c>
      <c r="BD1291">
        <v>1509</v>
      </c>
      <c r="BE1291" t="s">
        <v>169</v>
      </c>
      <c r="BF1291" t="s">
        <v>163</v>
      </c>
      <c r="BG1291" t="s">
        <v>164</v>
      </c>
    </row>
    <row r="1292" spans="1:59">
      <c r="A1292">
        <v>1115</v>
      </c>
      <c r="B1292">
        <v>1115</v>
      </c>
      <c r="C1292">
        <v>10</v>
      </c>
      <c r="D1292">
        <v>2</v>
      </c>
      <c r="E1292" t="s">
        <v>152</v>
      </c>
      <c r="F1292" t="s">
        <v>153</v>
      </c>
      <c r="G1292" t="s">
        <v>154</v>
      </c>
      <c r="H1292">
        <v>1526006877</v>
      </c>
      <c r="I1292">
        <v>1000007164</v>
      </c>
      <c r="L1292" t="s">
        <v>362</v>
      </c>
      <c r="M1292">
        <v>5100001636</v>
      </c>
      <c r="N1292" t="s">
        <v>155</v>
      </c>
      <c r="O1292" t="s">
        <v>156</v>
      </c>
      <c r="P1292">
        <v>4110026445</v>
      </c>
      <c r="Q1292" t="s">
        <v>170</v>
      </c>
      <c r="R1292">
        <v>5000</v>
      </c>
      <c r="S1292" t="s">
        <v>166</v>
      </c>
      <c r="V1292" t="s">
        <v>167</v>
      </c>
      <c r="W1292">
        <v>1502020104</v>
      </c>
      <c r="X1292" t="s">
        <v>26</v>
      </c>
      <c r="Y1292" t="str">
        <f>VLOOKUP(W1292,Sheet4!$A$5:$B$71,2,0)</f>
        <v>RE STYLING</v>
      </c>
      <c r="Z1292">
        <v>87082900</v>
      </c>
      <c r="AA1292">
        <v>15</v>
      </c>
      <c r="AB1292" t="s">
        <v>159</v>
      </c>
      <c r="AC1292" s="24">
        <v>6585.55</v>
      </c>
      <c r="AD1292" t="s">
        <v>160</v>
      </c>
      <c r="AE1292" s="24">
        <v>98783.25</v>
      </c>
      <c r="AF1292">
        <v>0</v>
      </c>
      <c r="AG1292" s="24">
        <v>98783.25</v>
      </c>
      <c r="AH1292">
        <v>0</v>
      </c>
      <c r="AI1292">
        <v>0</v>
      </c>
      <c r="AJ1292">
        <v>0</v>
      </c>
      <c r="AK1292">
        <v>0</v>
      </c>
      <c r="AL1292" s="24">
        <v>98783.25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 s="24">
        <v>98783.25</v>
      </c>
      <c r="AV1292">
        <v>0</v>
      </c>
      <c r="AW1292">
        <v>0</v>
      </c>
      <c r="AX1292">
        <v>311000</v>
      </c>
      <c r="AY1292" t="s">
        <v>161</v>
      </c>
      <c r="AZ1292">
        <v>49.75</v>
      </c>
      <c r="BA1292">
        <v>49.75</v>
      </c>
      <c r="BB1292">
        <v>0</v>
      </c>
      <c r="BC1292" t="s">
        <v>171</v>
      </c>
      <c r="BD1292">
        <v>1509</v>
      </c>
      <c r="BE1292" t="s">
        <v>169</v>
      </c>
      <c r="BF1292" t="s">
        <v>163</v>
      </c>
      <c r="BG1292" t="s">
        <v>164</v>
      </c>
    </row>
    <row r="1293" spans="1:59">
      <c r="A1293">
        <v>1115</v>
      </c>
      <c r="B1293">
        <v>1115</v>
      </c>
      <c r="C1293">
        <v>10</v>
      </c>
      <c r="D1293">
        <v>2</v>
      </c>
      <c r="E1293" t="s">
        <v>152</v>
      </c>
      <c r="F1293" t="s">
        <v>153</v>
      </c>
      <c r="G1293" t="s">
        <v>154</v>
      </c>
      <c r="H1293">
        <v>1526006878</v>
      </c>
      <c r="I1293">
        <v>1000007166</v>
      </c>
      <c r="L1293" t="s">
        <v>362</v>
      </c>
      <c r="M1293">
        <v>5100001636</v>
      </c>
      <c r="N1293" t="s">
        <v>155</v>
      </c>
      <c r="O1293" t="s">
        <v>156</v>
      </c>
      <c r="P1293">
        <v>4110026445</v>
      </c>
      <c r="Q1293" t="s">
        <v>170</v>
      </c>
      <c r="R1293">
        <v>5000</v>
      </c>
      <c r="S1293" t="s">
        <v>166</v>
      </c>
      <c r="V1293" t="s">
        <v>167</v>
      </c>
      <c r="W1293">
        <v>1502020104</v>
      </c>
      <c r="X1293" t="s">
        <v>26</v>
      </c>
      <c r="Y1293" t="str">
        <f>VLOOKUP(W1293,Sheet4!$A$5:$B$71,2,0)</f>
        <v>RE STYLING</v>
      </c>
      <c r="Z1293">
        <v>87082900</v>
      </c>
      <c r="AA1293">
        <v>15</v>
      </c>
      <c r="AB1293" t="s">
        <v>159</v>
      </c>
      <c r="AC1293" s="24">
        <v>6585.55</v>
      </c>
      <c r="AD1293" t="s">
        <v>160</v>
      </c>
      <c r="AE1293" s="24">
        <v>98783.25</v>
      </c>
      <c r="AF1293">
        <v>0</v>
      </c>
      <c r="AG1293" s="24">
        <v>98783.25</v>
      </c>
      <c r="AH1293">
        <v>0</v>
      </c>
      <c r="AI1293">
        <v>0</v>
      </c>
      <c r="AJ1293">
        <v>0</v>
      </c>
      <c r="AK1293">
        <v>0</v>
      </c>
      <c r="AL1293" s="24">
        <v>98783.25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 s="24">
        <v>98783.25</v>
      </c>
      <c r="AV1293">
        <v>0</v>
      </c>
      <c r="AW1293">
        <v>0</v>
      </c>
      <c r="AX1293">
        <v>311000</v>
      </c>
      <c r="AY1293" t="s">
        <v>161</v>
      </c>
      <c r="AZ1293">
        <v>49.75</v>
      </c>
      <c r="BA1293">
        <v>49.75</v>
      </c>
      <c r="BB1293">
        <v>0</v>
      </c>
      <c r="BC1293" t="s">
        <v>171</v>
      </c>
      <c r="BD1293">
        <v>1509</v>
      </c>
      <c r="BE1293" t="s">
        <v>169</v>
      </c>
      <c r="BF1293" t="s">
        <v>163</v>
      </c>
      <c r="BG1293" t="s">
        <v>164</v>
      </c>
    </row>
    <row r="1294" spans="1:59">
      <c r="A1294">
        <v>1115</v>
      </c>
      <c r="B1294">
        <v>1115</v>
      </c>
      <c r="C1294">
        <v>10</v>
      </c>
      <c r="D1294">
        <v>2</v>
      </c>
      <c r="E1294" t="s">
        <v>152</v>
      </c>
      <c r="F1294" t="s">
        <v>153</v>
      </c>
      <c r="G1294" t="s">
        <v>154</v>
      </c>
      <c r="H1294">
        <v>1526006821</v>
      </c>
      <c r="I1294">
        <v>1000007100</v>
      </c>
      <c r="L1294" t="s">
        <v>362</v>
      </c>
      <c r="M1294">
        <v>5100001636</v>
      </c>
      <c r="N1294" t="s">
        <v>155</v>
      </c>
      <c r="O1294" t="s">
        <v>156</v>
      </c>
      <c r="P1294">
        <v>4110026445</v>
      </c>
      <c r="Q1294" t="s">
        <v>170</v>
      </c>
      <c r="R1294">
        <v>5000</v>
      </c>
      <c r="S1294" t="s">
        <v>166</v>
      </c>
      <c r="V1294" t="s">
        <v>167</v>
      </c>
      <c r="W1294">
        <v>1502020104</v>
      </c>
      <c r="X1294" t="s">
        <v>26</v>
      </c>
      <c r="Y1294" t="str">
        <f>VLOOKUP(W1294,Sheet4!$A$5:$B$71,2,0)</f>
        <v>RE STYLING</v>
      </c>
      <c r="Z1294">
        <v>87082900</v>
      </c>
      <c r="AA1294">
        <v>15</v>
      </c>
      <c r="AB1294" t="s">
        <v>159</v>
      </c>
      <c r="AC1294" s="24">
        <v>6585.55</v>
      </c>
      <c r="AD1294" t="s">
        <v>160</v>
      </c>
      <c r="AE1294" s="24">
        <v>98783.25</v>
      </c>
      <c r="AF1294">
        <v>0</v>
      </c>
      <c r="AG1294" s="24">
        <v>98783.25</v>
      </c>
      <c r="AH1294">
        <v>0</v>
      </c>
      <c r="AI1294">
        <v>0</v>
      </c>
      <c r="AJ1294">
        <v>0</v>
      </c>
      <c r="AK1294">
        <v>0</v>
      </c>
      <c r="AL1294" s="24">
        <v>98783.25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s="24">
        <v>98783.25</v>
      </c>
      <c r="AV1294">
        <v>0</v>
      </c>
      <c r="AW1294">
        <v>0</v>
      </c>
      <c r="AX1294">
        <v>311000</v>
      </c>
      <c r="AY1294" t="s">
        <v>161</v>
      </c>
      <c r="AZ1294">
        <v>49.75</v>
      </c>
      <c r="BA1294">
        <v>49.75</v>
      </c>
      <c r="BB1294">
        <v>0</v>
      </c>
      <c r="BC1294" t="s">
        <v>171</v>
      </c>
      <c r="BD1294">
        <v>1509</v>
      </c>
      <c r="BE1294" t="s">
        <v>169</v>
      </c>
      <c r="BF1294" t="s">
        <v>163</v>
      </c>
      <c r="BG1294" t="s">
        <v>164</v>
      </c>
    </row>
    <row r="1295" spans="1:59">
      <c r="A1295">
        <v>1115</v>
      </c>
      <c r="B1295">
        <v>1115</v>
      </c>
      <c r="C1295">
        <v>10</v>
      </c>
      <c r="D1295">
        <v>2</v>
      </c>
      <c r="E1295" t="s">
        <v>152</v>
      </c>
      <c r="F1295" t="s">
        <v>153</v>
      </c>
      <c r="G1295" t="s">
        <v>154</v>
      </c>
      <c r="H1295">
        <v>1526006822</v>
      </c>
      <c r="I1295">
        <v>1000007101</v>
      </c>
      <c r="L1295" t="s">
        <v>362</v>
      </c>
      <c r="M1295">
        <v>5100001636</v>
      </c>
      <c r="N1295" t="s">
        <v>155</v>
      </c>
      <c r="O1295" t="s">
        <v>156</v>
      </c>
      <c r="P1295">
        <v>4110026445</v>
      </c>
      <c r="Q1295" t="s">
        <v>170</v>
      </c>
      <c r="R1295">
        <v>5000</v>
      </c>
      <c r="S1295" t="s">
        <v>166</v>
      </c>
      <c r="V1295" t="s">
        <v>167</v>
      </c>
      <c r="W1295">
        <v>1502020104</v>
      </c>
      <c r="X1295" t="s">
        <v>26</v>
      </c>
      <c r="Y1295" t="str">
        <f>VLOOKUP(W1295,Sheet4!$A$5:$B$71,2,0)</f>
        <v>RE STYLING</v>
      </c>
      <c r="Z1295">
        <v>87082900</v>
      </c>
      <c r="AA1295">
        <v>15</v>
      </c>
      <c r="AB1295" t="s">
        <v>159</v>
      </c>
      <c r="AC1295" s="24">
        <v>6585.55</v>
      </c>
      <c r="AD1295" t="s">
        <v>160</v>
      </c>
      <c r="AE1295" s="24">
        <v>98783.25</v>
      </c>
      <c r="AF1295">
        <v>0</v>
      </c>
      <c r="AG1295" s="24">
        <v>98783.25</v>
      </c>
      <c r="AH1295">
        <v>0</v>
      </c>
      <c r="AI1295">
        <v>0</v>
      </c>
      <c r="AJ1295">
        <v>0</v>
      </c>
      <c r="AK1295">
        <v>0</v>
      </c>
      <c r="AL1295" s="24">
        <v>98783.25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 s="24">
        <v>98783.25</v>
      </c>
      <c r="AV1295">
        <v>0</v>
      </c>
      <c r="AW1295">
        <v>0</v>
      </c>
      <c r="AX1295">
        <v>311000</v>
      </c>
      <c r="AY1295" t="s">
        <v>161</v>
      </c>
      <c r="AZ1295">
        <v>49.75</v>
      </c>
      <c r="BA1295">
        <v>49.75</v>
      </c>
      <c r="BB1295">
        <v>0</v>
      </c>
      <c r="BC1295" t="s">
        <v>171</v>
      </c>
      <c r="BD1295">
        <v>1509</v>
      </c>
      <c r="BE1295" t="s">
        <v>169</v>
      </c>
      <c r="BF1295" t="s">
        <v>163</v>
      </c>
      <c r="BG1295" t="s">
        <v>164</v>
      </c>
    </row>
    <row r="1296" spans="1:59">
      <c r="A1296">
        <v>1115</v>
      </c>
      <c r="B1296">
        <v>1115</v>
      </c>
      <c r="C1296">
        <v>10</v>
      </c>
      <c r="D1296">
        <v>2</v>
      </c>
      <c r="E1296" t="s">
        <v>152</v>
      </c>
      <c r="F1296" t="s">
        <v>153</v>
      </c>
      <c r="G1296" t="s">
        <v>154</v>
      </c>
      <c r="H1296">
        <v>1526006823</v>
      </c>
      <c r="I1296">
        <v>1000007102</v>
      </c>
      <c r="L1296" t="s">
        <v>362</v>
      </c>
      <c r="M1296">
        <v>5100001924</v>
      </c>
      <c r="N1296" t="s">
        <v>155</v>
      </c>
      <c r="O1296" t="s">
        <v>156</v>
      </c>
      <c r="P1296">
        <v>4110055642</v>
      </c>
      <c r="Q1296" t="s">
        <v>199</v>
      </c>
      <c r="R1296">
        <v>5000</v>
      </c>
      <c r="S1296" t="s">
        <v>166</v>
      </c>
      <c r="V1296" t="s">
        <v>167</v>
      </c>
      <c r="W1296">
        <v>1502040313</v>
      </c>
      <c r="X1296" t="s">
        <v>246</v>
      </c>
      <c r="Y1296" t="str">
        <f>VLOOKUP(W1296,Sheet4!$A$5:$B$71,2,0)</f>
        <v>Re Side Door</v>
      </c>
      <c r="Z1296">
        <v>87082900</v>
      </c>
      <c r="AA1296">
        <v>120</v>
      </c>
      <c r="AB1296" t="s">
        <v>159</v>
      </c>
      <c r="AC1296">
        <v>504.46</v>
      </c>
      <c r="AD1296" t="s">
        <v>160</v>
      </c>
      <c r="AE1296" s="24">
        <v>60535.199999999997</v>
      </c>
      <c r="AF1296">
        <v>0</v>
      </c>
      <c r="AG1296" s="24">
        <v>60535.199999999997</v>
      </c>
      <c r="AH1296">
        <v>0</v>
      </c>
      <c r="AI1296">
        <v>0</v>
      </c>
      <c r="AJ1296">
        <v>0</v>
      </c>
      <c r="AK1296">
        <v>0</v>
      </c>
      <c r="AL1296" s="24">
        <v>60535.199999999997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 s="24">
        <v>60535.199999999997</v>
      </c>
      <c r="AV1296">
        <v>0</v>
      </c>
      <c r="AW1296">
        <v>0</v>
      </c>
      <c r="AX1296">
        <v>311000</v>
      </c>
      <c r="AY1296" t="s">
        <v>161</v>
      </c>
      <c r="AZ1296">
        <v>2.27</v>
      </c>
      <c r="BA1296">
        <v>2.27</v>
      </c>
      <c r="BB1296">
        <v>0</v>
      </c>
      <c r="BC1296" t="s">
        <v>247</v>
      </c>
      <c r="BD1296">
        <v>1511</v>
      </c>
      <c r="BE1296" t="s">
        <v>174</v>
      </c>
      <c r="BF1296" t="s">
        <v>163</v>
      </c>
      <c r="BG1296" t="s">
        <v>164</v>
      </c>
    </row>
    <row r="1297" spans="1:59">
      <c r="A1297">
        <v>1115</v>
      </c>
      <c r="B1297">
        <v>1115</v>
      </c>
      <c r="C1297">
        <v>10</v>
      </c>
      <c r="D1297">
        <v>2</v>
      </c>
      <c r="E1297" t="s">
        <v>152</v>
      </c>
      <c r="F1297" t="s">
        <v>153</v>
      </c>
      <c r="G1297" t="s">
        <v>154</v>
      </c>
      <c r="H1297">
        <v>1526006824</v>
      </c>
      <c r="I1297">
        <v>1000007103</v>
      </c>
      <c r="L1297" t="s">
        <v>362</v>
      </c>
      <c r="M1297">
        <v>5100001924</v>
      </c>
      <c r="N1297" t="s">
        <v>155</v>
      </c>
      <c r="O1297" t="s">
        <v>156</v>
      </c>
      <c r="P1297">
        <v>4110055642</v>
      </c>
      <c r="Q1297" t="s">
        <v>199</v>
      </c>
      <c r="R1297">
        <v>5000</v>
      </c>
      <c r="S1297" t="s">
        <v>166</v>
      </c>
      <c r="V1297" t="s">
        <v>167</v>
      </c>
      <c r="W1297">
        <v>1502040314</v>
      </c>
      <c r="X1297" t="s">
        <v>248</v>
      </c>
      <c r="Y1297" t="str">
        <f>VLOOKUP(W1297,Sheet4!$A$5:$B$71,2,0)</f>
        <v>Re Side Door</v>
      </c>
      <c r="Z1297">
        <v>87082900</v>
      </c>
      <c r="AA1297">
        <v>120</v>
      </c>
      <c r="AB1297" t="s">
        <v>159</v>
      </c>
      <c r="AC1297">
        <v>504.46</v>
      </c>
      <c r="AD1297" t="s">
        <v>160</v>
      </c>
      <c r="AE1297" s="24">
        <v>60535.199999999997</v>
      </c>
      <c r="AF1297">
        <v>0</v>
      </c>
      <c r="AG1297" s="24">
        <v>60535.199999999997</v>
      </c>
      <c r="AH1297">
        <v>0</v>
      </c>
      <c r="AI1297">
        <v>0</v>
      </c>
      <c r="AJ1297">
        <v>0</v>
      </c>
      <c r="AK1297">
        <v>0</v>
      </c>
      <c r="AL1297" s="24">
        <v>60535.199999999997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 s="24">
        <v>60535.199999999997</v>
      </c>
      <c r="AV1297">
        <v>0</v>
      </c>
      <c r="AW1297">
        <v>0</v>
      </c>
      <c r="AX1297">
        <v>311000</v>
      </c>
      <c r="AY1297" t="s">
        <v>161</v>
      </c>
      <c r="AZ1297">
        <v>2.27</v>
      </c>
      <c r="BA1297">
        <v>2.27</v>
      </c>
      <c r="BB1297">
        <v>0</v>
      </c>
      <c r="BC1297" t="s">
        <v>249</v>
      </c>
      <c r="BD1297">
        <v>1511</v>
      </c>
      <c r="BE1297" t="s">
        <v>174</v>
      </c>
      <c r="BF1297" t="s">
        <v>163</v>
      </c>
      <c r="BG1297" t="s">
        <v>164</v>
      </c>
    </row>
    <row r="1298" spans="1:59">
      <c r="A1298">
        <v>1115</v>
      </c>
      <c r="B1298">
        <v>1115</v>
      </c>
      <c r="C1298">
        <v>10</v>
      </c>
      <c r="D1298">
        <v>2</v>
      </c>
      <c r="E1298" t="s">
        <v>152</v>
      </c>
      <c r="F1298" t="s">
        <v>153</v>
      </c>
      <c r="G1298" t="s">
        <v>154</v>
      </c>
      <c r="H1298">
        <v>1526006825</v>
      </c>
      <c r="I1298">
        <v>1000007104</v>
      </c>
      <c r="L1298" t="s">
        <v>362</v>
      </c>
      <c r="M1298">
        <v>5100001928</v>
      </c>
      <c r="N1298" t="s">
        <v>155</v>
      </c>
      <c r="O1298" t="s">
        <v>156</v>
      </c>
      <c r="P1298">
        <v>4110057393</v>
      </c>
      <c r="Q1298" t="s">
        <v>192</v>
      </c>
      <c r="R1298">
        <v>5000</v>
      </c>
      <c r="S1298" t="s">
        <v>166</v>
      </c>
      <c r="V1298" t="s">
        <v>167</v>
      </c>
      <c r="W1298">
        <v>1502020122</v>
      </c>
      <c r="X1298" t="s">
        <v>70</v>
      </c>
      <c r="Y1298" t="str">
        <f>VLOOKUP(W1298,Sheet4!$A$5:$B$71,2,0)</f>
        <v>MAX UG NEW EV</v>
      </c>
      <c r="Z1298">
        <v>87082900</v>
      </c>
      <c r="AA1298">
        <v>10</v>
      </c>
      <c r="AB1298" t="s">
        <v>159</v>
      </c>
      <c r="AC1298" s="24">
        <v>9566.51</v>
      </c>
      <c r="AD1298" t="s">
        <v>160</v>
      </c>
      <c r="AE1298" s="24">
        <v>95665.1</v>
      </c>
      <c r="AF1298">
        <v>0</v>
      </c>
      <c r="AG1298" s="24">
        <v>95665.1</v>
      </c>
      <c r="AH1298">
        <v>0</v>
      </c>
      <c r="AI1298">
        <v>0</v>
      </c>
      <c r="AJ1298">
        <v>0</v>
      </c>
      <c r="AK1298">
        <v>0</v>
      </c>
      <c r="AL1298" s="24">
        <v>95665.1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 s="24">
        <v>95665.1</v>
      </c>
      <c r="AV1298">
        <v>0</v>
      </c>
      <c r="AW1298">
        <v>0</v>
      </c>
      <c r="AX1298">
        <v>311000</v>
      </c>
      <c r="AY1298" t="s">
        <v>161</v>
      </c>
      <c r="AZ1298">
        <v>0</v>
      </c>
      <c r="BA1298">
        <v>61</v>
      </c>
      <c r="BB1298">
        <v>-61</v>
      </c>
      <c r="BC1298" t="s">
        <v>193</v>
      </c>
      <c r="BD1298">
        <v>1509</v>
      </c>
      <c r="BE1298" t="s">
        <v>169</v>
      </c>
      <c r="BF1298">
        <v>5094209974</v>
      </c>
      <c r="BG1298" t="s">
        <v>362</v>
      </c>
    </row>
    <row r="1299" spans="1:59">
      <c r="A1299">
        <v>1115</v>
      </c>
      <c r="B1299">
        <v>1115</v>
      </c>
      <c r="C1299">
        <v>10</v>
      </c>
      <c r="D1299">
        <v>2</v>
      </c>
      <c r="E1299" t="s">
        <v>152</v>
      </c>
      <c r="F1299" t="s">
        <v>153</v>
      </c>
      <c r="G1299" t="s">
        <v>154</v>
      </c>
      <c r="H1299">
        <v>1526006826</v>
      </c>
      <c r="I1299">
        <v>1000007105</v>
      </c>
      <c r="L1299" t="s">
        <v>362</v>
      </c>
      <c r="M1299">
        <v>5100001100</v>
      </c>
      <c r="N1299" t="s">
        <v>155</v>
      </c>
      <c r="O1299" t="s">
        <v>156</v>
      </c>
      <c r="P1299">
        <v>4110004652</v>
      </c>
      <c r="Q1299" t="s">
        <v>177</v>
      </c>
      <c r="R1299">
        <v>5000</v>
      </c>
      <c r="S1299" t="s">
        <v>166</v>
      </c>
      <c r="V1299" t="s">
        <v>167</v>
      </c>
      <c r="W1299">
        <v>1502040125</v>
      </c>
      <c r="X1299" t="s">
        <v>52</v>
      </c>
      <c r="Y1299" t="str">
        <f>VLOOKUP(W1299,Sheet4!$A$5:$B$71,2,0)</f>
        <v>REAR COVER</v>
      </c>
      <c r="Z1299">
        <v>87082900</v>
      </c>
      <c r="AA1299">
        <v>55</v>
      </c>
      <c r="AB1299" t="s">
        <v>159</v>
      </c>
      <c r="AC1299">
        <v>160.44999999999999</v>
      </c>
      <c r="AD1299" t="s">
        <v>160</v>
      </c>
      <c r="AE1299" s="24">
        <v>8824.75</v>
      </c>
      <c r="AF1299">
        <v>0</v>
      </c>
      <c r="AG1299" s="24">
        <v>8824.75</v>
      </c>
      <c r="AH1299">
        <v>0</v>
      </c>
      <c r="AI1299">
        <v>0</v>
      </c>
      <c r="AJ1299">
        <v>0</v>
      </c>
      <c r="AK1299">
        <v>0</v>
      </c>
      <c r="AL1299" s="24">
        <v>8824.75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 s="24">
        <v>8824.75</v>
      </c>
      <c r="AV1299">
        <v>0</v>
      </c>
      <c r="AW1299">
        <v>0</v>
      </c>
      <c r="AX1299">
        <v>311000</v>
      </c>
      <c r="AY1299" t="s">
        <v>161</v>
      </c>
      <c r="AZ1299">
        <v>1.1850000000000001</v>
      </c>
      <c r="BA1299">
        <v>1.1850000000000001</v>
      </c>
      <c r="BB1299">
        <v>0</v>
      </c>
      <c r="BC1299" t="s">
        <v>233</v>
      </c>
      <c r="BD1299">
        <v>1511</v>
      </c>
      <c r="BE1299" t="s">
        <v>174</v>
      </c>
      <c r="BF1299">
        <v>5094211031</v>
      </c>
      <c r="BG1299" t="s">
        <v>362</v>
      </c>
    </row>
    <row r="1300" spans="1:59">
      <c r="A1300">
        <v>1115</v>
      </c>
      <c r="B1300">
        <v>1115</v>
      </c>
      <c r="C1300">
        <v>10</v>
      </c>
      <c r="D1300">
        <v>2</v>
      </c>
      <c r="E1300" t="s">
        <v>152</v>
      </c>
      <c r="F1300" t="s">
        <v>153</v>
      </c>
      <c r="G1300" t="s">
        <v>154</v>
      </c>
      <c r="H1300">
        <v>1526006828</v>
      </c>
      <c r="I1300">
        <v>1000007108</v>
      </c>
      <c r="L1300" t="s">
        <v>362</v>
      </c>
      <c r="M1300">
        <v>5100001100</v>
      </c>
      <c r="N1300" t="s">
        <v>155</v>
      </c>
      <c r="O1300" t="s">
        <v>156</v>
      </c>
      <c r="P1300">
        <v>4110004652</v>
      </c>
      <c r="Q1300" t="s">
        <v>177</v>
      </c>
      <c r="R1300">
        <v>5000</v>
      </c>
      <c r="S1300" t="s">
        <v>166</v>
      </c>
      <c r="V1300" t="s">
        <v>167</v>
      </c>
      <c r="W1300">
        <v>1502040126</v>
      </c>
      <c r="X1300" t="s">
        <v>53</v>
      </c>
      <c r="Y1300" t="str">
        <f>VLOOKUP(W1300,Sheet4!$A$5:$B$71,2,0)</f>
        <v>REAR COVER</v>
      </c>
      <c r="Z1300">
        <v>87082900</v>
      </c>
      <c r="AA1300">
        <v>55</v>
      </c>
      <c r="AB1300" t="s">
        <v>159</v>
      </c>
      <c r="AC1300">
        <v>155.58000000000001</v>
      </c>
      <c r="AD1300" t="s">
        <v>160</v>
      </c>
      <c r="AE1300" s="24">
        <v>8556.9</v>
      </c>
      <c r="AF1300">
        <v>0</v>
      </c>
      <c r="AG1300" s="24">
        <v>8556.9</v>
      </c>
      <c r="AH1300">
        <v>0</v>
      </c>
      <c r="AI1300">
        <v>0</v>
      </c>
      <c r="AJ1300">
        <v>0</v>
      </c>
      <c r="AK1300">
        <v>0</v>
      </c>
      <c r="AL1300" s="24">
        <v>8556.9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 s="24">
        <v>8556.9</v>
      </c>
      <c r="AV1300">
        <v>0</v>
      </c>
      <c r="AW1300">
        <v>0</v>
      </c>
      <c r="AX1300">
        <v>311000</v>
      </c>
      <c r="AY1300" t="s">
        <v>161</v>
      </c>
      <c r="AZ1300">
        <v>1.1850000000000001</v>
      </c>
      <c r="BA1300">
        <v>1.1850000000000001</v>
      </c>
      <c r="BB1300">
        <v>0</v>
      </c>
      <c r="BC1300" t="s">
        <v>232</v>
      </c>
      <c r="BD1300">
        <v>1511</v>
      </c>
      <c r="BE1300" t="s">
        <v>174</v>
      </c>
      <c r="BF1300">
        <v>5094211034</v>
      </c>
      <c r="BG1300" t="s">
        <v>362</v>
      </c>
    </row>
    <row r="1301" spans="1:59">
      <c r="A1301">
        <v>1115</v>
      </c>
      <c r="B1301">
        <v>1115</v>
      </c>
      <c r="C1301">
        <v>10</v>
      </c>
      <c r="D1301">
        <v>2</v>
      </c>
      <c r="E1301" t="s">
        <v>152</v>
      </c>
      <c r="F1301" t="s">
        <v>153</v>
      </c>
      <c r="G1301" t="s">
        <v>154</v>
      </c>
      <c r="H1301">
        <v>1526006829</v>
      </c>
      <c r="I1301">
        <v>1000007110</v>
      </c>
      <c r="L1301" t="s">
        <v>362</v>
      </c>
      <c r="M1301">
        <v>5100001928</v>
      </c>
      <c r="N1301" t="s">
        <v>155</v>
      </c>
      <c r="O1301" t="s">
        <v>156</v>
      </c>
      <c r="P1301">
        <v>4110057393</v>
      </c>
      <c r="Q1301" t="s">
        <v>192</v>
      </c>
      <c r="R1301">
        <v>5000</v>
      </c>
      <c r="S1301" t="s">
        <v>166</v>
      </c>
      <c r="V1301" t="s">
        <v>167</v>
      </c>
      <c r="W1301">
        <v>1502020122</v>
      </c>
      <c r="X1301" t="s">
        <v>70</v>
      </c>
      <c r="Y1301" t="str">
        <f>VLOOKUP(W1301,Sheet4!$A$5:$B$71,2,0)</f>
        <v>MAX UG NEW EV</v>
      </c>
      <c r="Z1301">
        <v>87082900</v>
      </c>
      <c r="AA1301">
        <v>10</v>
      </c>
      <c r="AB1301" t="s">
        <v>159</v>
      </c>
      <c r="AC1301" s="24">
        <v>9566.51</v>
      </c>
      <c r="AD1301" t="s">
        <v>160</v>
      </c>
      <c r="AE1301" s="24">
        <v>95665.1</v>
      </c>
      <c r="AF1301">
        <v>0</v>
      </c>
      <c r="AG1301" s="24">
        <v>95665.1</v>
      </c>
      <c r="AH1301">
        <v>0</v>
      </c>
      <c r="AI1301">
        <v>0</v>
      </c>
      <c r="AJ1301">
        <v>0</v>
      </c>
      <c r="AK1301">
        <v>0</v>
      </c>
      <c r="AL1301" s="24">
        <v>95665.1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 s="24">
        <v>95665.1</v>
      </c>
      <c r="AV1301">
        <v>0</v>
      </c>
      <c r="AW1301">
        <v>0</v>
      </c>
      <c r="AX1301">
        <v>311000</v>
      </c>
      <c r="AY1301" t="s">
        <v>161</v>
      </c>
      <c r="AZ1301">
        <v>0</v>
      </c>
      <c r="BA1301">
        <v>61</v>
      </c>
      <c r="BB1301">
        <v>-61</v>
      </c>
      <c r="BC1301" t="s">
        <v>193</v>
      </c>
      <c r="BD1301">
        <v>1509</v>
      </c>
      <c r="BE1301" t="s">
        <v>169</v>
      </c>
      <c r="BF1301">
        <v>5094211849</v>
      </c>
      <c r="BG1301" t="s">
        <v>362</v>
      </c>
    </row>
    <row r="1302" spans="1:59">
      <c r="A1302">
        <v>1115</v>
      </c>
      <c r="B1302">
        <v>1115</v>
      </c>
      <c r="C1302">
        <v>10</v>
      </c>
      <c r="D1302">
        <v>2</v>
      </c>
      <c r="E1302" t="s">
        <v>152</v>
      </c>
      <c r="F1302" t="s">
        <v>153</v>
      </c>
      <c r="G1302" t="s">
        <v>154</v>
      </c>
      <c r="H1302">
        <v>1526006830</v>
      </c>
      <c r="I1302">
        <v>1000007111</v>
      </c>
      <c r="L1302" t="s">
        <v>362</v>
      </c>
      <c r="M1302">
        <v>5100001928</v>
      </c>
      <c r="N1302" t="s">
        <v>155</v>
      </c>
      <c r="O1302" t="s">
        <v>156</v>
      </c>
      <c r="P1302">
        <v>4110057393</v>
      </c>
      <c r="Q1302" t="s">
        <v>192</v>
      </c>
      <c r="R1302">
        <v>5000</v>
      </c>
      <c r="S1302" t="s">
        <v>166</v>
      </c>
      <c r="V1302" t="s">
        <v>167</v>
      </c>
      <c r="W1302">
        <v>1502020122</v>
      </c>
      <c r="X1302" t="s">
        <v>70</v>
      </c>
      <c r="Y1302" t="str">
        <f>VLOOKUP(W1302,Sheet4!$A$5:$B$71,2,0)</f>
        <v>MAX UG NEW EV</v>
      </c>
      <c r="Z1302">
        <v>87082900</v>
      </c>
      <c r="AA1302">
        <v>10</v>
      </c>
      <c r="AB1302" t="s">
        <v>159</v>
      </c>
      <c r="AC1302" s="24">
        <v>9566.51</v>
      </c>
      <c r="AD1302" t="s">
        <v>160</v>
      </c>
      <c r="AE1302" s="24">
        <v>95665.1</v>
      </c>
      <c r="AF1302">
        <v>0</v>
      </c>
      <c r="AG1302" s="24">
        <v>95665.1</v>
      </c>
      <c r="AH1302">
        <v>0</v>
      </c>
      <c r="AI1302">
        <v>0</v>
      </c>
      <c r="AJ1302">
        <v>0</v>
      </c>
      <c r="AK1302">
        <v>0</v>
      </c>
      <c r="AL1302" s="24">
        <v>95665.1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 s="24">
        <v>95665.1</v>
      </c>
      <c r="AV1302">
        <v>0</v>
      </c>
      <c r="AW1302">
        <v>0</v>
      </c>
      <c r="AX1302">
        <v>311000</v>
      </c>
      <c r="AY1302" t="s">
        <v>161</v>
      </c>
      <c r="AZ1302">
        <v>0</v>
      </c>
      <c r="BA1302">
        <v>61</v>
      </c>
      <c r="BB1302">
        <v>-61</v>
      </c>
      <c r="BC1302" t="s">
        <v>193</v>
      </c>
      <c r="BD1302">
        <v>1509</v>
      </c>
      <c r="BE1302" t="s">
        <v>169</v>
      </c>
      <c r="BF1302">
        <v>5094210033</v>
      </c>
      <c r="BG1302" t="s">
        <v>362</v>
      </c>
    </row>
    <row r="1303" spans="1:59">
      <c r="A1303">
        <v>1115</v>
      </c>
      <c r="B1303">
        <v>1115</v>
      </c>
      <c r="C1303">
        <v>10</v>
      </c>
      <c r="D1303">
        <v>2</v>
      </c>
      <c r="E1303" t="s">
        <v>152</v>
      </c>
      <c r="F1303" t="s">
        <v>153</v>
      </c>
      <c r="G1303" t="s">
        <v>154</v>
      </c>
      <c r="H1303">
        <v>1526006831</v>
      </c>
      <c r="I1303">
        <v>1000007112</v>
      </c>
      <c r="L1303" t="s">
        <v>362</v>
      </c>
      <c r="M1303">
        <v>5100001928</v>
      </c>
      <c r="N1303" t="s">
        <v>155</v>
      </c>
      <c r="O1303" t="s">
        <v>156</v>
      </c>
      <c r="P1303">
        <v>4110057393</v>
      </c>
      <c r="Q1303" t="s">
        <v>192</v>
      </c>
      <c r="R1303">
        <v>5000</v>
      </c>
      <c r="S1303" t="s">
        <v>166</v>
      </c>
      <c r="V1303" t="s">
        <v>167</v>
      </c>
      <c r="W1303">
        <v>1502020122</v>
      </c>
      <c r="X1303" t="s">
        <v>70</v>
      </c>
      <c r="Y1303" t="str">
        <f>VLOOKUP(W1303,Sheet4!$A$5:$B$71,2,0)</f>
        <v>MAX UG NEW EV</v>
      </c>
      <c r="Z1303">
        <v>87082900</v>
      </c>
      <c r="AA1303">
        <v>10</v>
      </c>
      <c r="AB1303" t="s">
        <v>159</v>
      </c>
      <c r="AC1303" s="24">
        <v>9566.51</v>
      </c>
      <c r="AD1303" t="s">
        <v>160</v>
      </c>
      <c r="AE1303" s="24">
        <v>95665.1</v>
      </c>
      <c r="AF1303">
        <v>0</v>
      </c>
      <c r="AG1303" s="24">
        <v>95665.1</v>
      </c>
      <c r="AH1303">
        <v>0</v>
      </c>
      <c r="AI1303">
        <v>0</v>
      </c>
      <c r="AJ1303">
        <v>0</v>
      </c>
      <c r="AK1303">
        <v>0</v>
      </c>
      <c r="AL1303" s="24">
        <v>95665.1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 s="24">
        <v>95665.1</v>
      </c>
      <c r="AV1303">
        <v>0</v>
      </c>
      <c r="AW1303">
        <v>0</v>
      </c>
      <c r="AX1303">
        <v>311000</v>
      </c>
      <c r="AY1303" t="s">
        <v>161</v>
      </c>
      <c r="AZ1303">
        <v>0</v>
      </c>
      <c r="BA1303">
        <v>61</v>
      </c>
      <c r="BB1303">
        <v>-61</v>
      </c>
      <c r="BC1303" t="s">
        <v>193</v>
      </c>
      <c r="BD1303">
        <v>1509</v>
      </c>
      <c r="BE1303" t="s">
        <v>169</v>
      </c>
      <c r="BF1303">
        <v>5094211853</v>
      </c>
      <c r="BG1303" t="s">
        <v>362</v>
      </c>
    </row>
    <row r="1304" spans="1:59">
      <c r="A1304">
        <v>1115</v>
      </c>
      <c r="B1304">
        <v>1115</v>
      </c>
      <c r="C1304">
        <v>10</v>
      </c>
      <c r="D1304">
        <v>2</v>
      </c>
      <c r="E1304" t="s">
        <v>152</v>
      </c>
      <c r="F1304" t="s">
        <v>153</v>
      </c>
      <c r="G1304" t="s">
        <v>154</v>
      </c>
      <c r="H1304">
        <v>1526006832</v>
      </c>
      <c r="I1304">
        <v>1000007113</v>
      </c>
      <c r="L1304" t="s">
        <v>362</v>
      </c>
      <c r="M1304">
        <v>5100001928</v>
      </c>
      <c r="N1304" t="s">
        <v>155</v>
      </c>
      <c r="O1304" t="s">
        <v>156</v>
      </c>
      <c r="P1304">
        <v>4110057393</v>
      </c>
      <c r="Q1304" t="s">
        <v>192</v>
      </c>
      <c r="R1304">
        <v>5000</v>
      </c>
      <c r="S1304" t="s">
        <v>166</v>
      </c>
      <c r="V1304" t="s">
        <v>167</v>
      </c>
      <c r="W1304">
        <v>1502020122</v>
      </c>
      <c r="X1304" t="s">
        <v>70</v>
      </c>
      <c r="Y1304" t="str">
        <f>VLOOKUP(W1304,Sheet4!$A$5:$B$71,2,0)</f>
        <v>MAX UG NEW EV</v>
      </c>
      <c r="Z1304">
        <v>87082900</v>
      </c>
      <c r="AA1304">
        <v>10</v>
      </c>
      <c r="AB1304" t="s">
        <v>159</v>
      </c>
      <c r="AC1304" s="24">
        <v>9566.51</v>
      </c>
      <c r="AD1304" t="s">
        <v>160</v>
      </c>
      <c r="AE1304" s="24">
        <v>95665.1</v>
      </c>
      <c r="AF1304">
        <v>0</v>
      </c>
      <c r="AG1304" s="24">
        <v>95665.1</v>
      </c>
      <c r="AH1304">
        <v>0</v>
      </c>
      <c r="AI1304">
        <v>0</v>
      </c>
      <c r="AJ1304">
        <v>0</v>
      </c>
      <c r="AK1304">
        <v>0</v>
      </c>
      <c r="AL1304" s="24">
        <v>95665.1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 s="24">
        <v>95665.1</v>
      </c>
      <c r="AV1304">
        <v>0</v>
      </c>
      <c r="AW1304">
        <v>0</v>
      </c>
      <c r="AX1304">
        <v>311000</v>
      </c>
      <c r="AY1304" t="s">
        <v>161</v>
      </c>
      <c r="AZ1304">
        <v>0</v>
      </c>
      <c r="BA1304">
        <v>61</v>
      </c>
      <c r="BB1304">
        <v>-61</v>
      </c>
      <c r="BC1304" t="s">
        <v>193</v>
      </c>
      <c r="BD1304">
        <v>1509</v>
      </c>
      <c r="BE1304" t="s">
        <v>169</v>
      </c>
      <c r="BF1304" t="s">
        <v>163</v>
      </c>
      <c r="BG1304" t="s">
        <v>164</v>
      </c>
    </row>
    <row r="1305" spans="1:59">
      <c r="A1305">
        <v>1115</v>
      </c>
      <c r="B1305">
        <v>1115</v>
      </c>
      <c r="C1305">
        <v>10</v>
      </c>
      <c r="D1305">
        <v>2</v>
      </c>
      <c r="E1305" t="s">
        <v>152</v>
      </c>
      <c r="F1305" t="s">
        <v>153</v>
      </c>
      <c r="G1305" t="s">
        <v>154</v>
      </c>
      <c r="H1305">
        <v>1526006833</v>
      </c>
      <c r="I1305">
        <v>1000007114</v>
      </c>
      <c r="L1305" t="s">
        <v>362</v>
      </c>
      <c r="M1305">
        <v>5100001928</v>
      </c>
      <c r="N1305" t="s">
        <v>155</v>
      </c>
      <c r="O1305" t="s">
        <v>156</v>
      </c>
      <c r="P1305">
        <v>4110057393</v>
      </c>
      <c r="Q1305" t="s">
        <v>192</v>
      </c>
      <c r="R1305">
        <v>5000</v>
      </c>
      <c r="S1305" t="s">
        <v>166</v>
      </c>
      <c r="V1305" t="s">
        <v>167</v>
      </c>
      <c r="W1305">
        <v>1502020122</v>
      </c>
      <c r="X1305" t="s">
        <v>70</v>
      </c>
      <c r="Y1305" t="str">
        <f>VLOOKUP(W1305,Sheet4!$A$5:$B$71,2,0)</f>
        <v>MAX UG NEW EV</v>
      </c>
      <c r="Z1305">
        <v>87082900</v>
      </c>
      <c r="AA1305">
        <v>10</v>
      </c>
      <c r="AB1305" t="s">
        <v>159</v>
      </c>
      <c r="AC1305" s="24">
        <v>9566.51</v>
      </c>
      <c r="AD1305" t="s">
        <v>160</v>
      </c>
      <c r="AE1305" s="24">
        <v>95665.1</v>
      </c>
      <c r="AF1305">
        <v>0</v>
      </c>
      <c r="AG1305" s="24">
        <v>95665.1</v>
      </c>
      <c r="AH1305">
        <v>0</v>
      </c>
      <c r="AI1305">
        <v>0</v>
      </c>
      <c r="AJ1305">
        <v>0</v>
      </c>
      <c r="AK1305">
        <v>0</v>
      </c>
      <c r="AL1305" s="24">
        <v>95665.1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 s="24">
        <v>95665.1</v>
      </c>
      <c r="AV1305">
        <v>0</v>
      </c>
      <c r="AW1305">
        <v>0</v>
      </c>
      <c r="AX1305">
        <v>311000</v>
      </c>
      <c r="AY1305" t="s">
        <v>161</v>
      </c>
      <c r="AZ1305">
        <v>0</v>
      </c>
      <c r="BA1305">
        <v>61</v>
      </c>
      <c r="BB1305">
        <v>-61</v>
      </c>
      <c r="BC1305" t="s">
        <v>193</v>
      </c>
      <c r="BD1305">
        <v>1509</v>
      </c>
      <c r="BE1305" t="s">
        <v>169</v>
      </c>
      <c r="BF1305">
        <v>5094209914</v>
      </c>
      <c r="BG1305" t="s">
        <v>362</v>
      </c>
    </row>
    <row r="1306" spans="1:59">
      <c r="A1306">
        <v>1115</v>
      </c>
      <c r="B1306">
        <v>1115</v>
      </c>
      <c r="C1306">
        <v>10</v>
      </c>
      <c r="D1306">
        <v>2</v>
      </c>
      <c r="E1306" t="s">
        <v>152</v>
      </c>
      <c r="F1306" t="s">
        <v>153</v>
      </c>
      <c r="G1306" t="s">
        <v>154</v>
      </c>
      <c r="H1306">
        <v>1526006835</v>
      </c>
      <c r="I1306">
        <v>1000007115</v>
      </c>
      <c r="L1306" t="s">
        <v>362</v>
      </c>
      <c r="M1306">
        <v>5100001636</v>
      </c>
      <c r="N1306" t="s">
        <v>155</v>
      </c>
      <c r="O1306" t="s">
        <v>156</v>
      </c>
      <c r="P1306">
        <v>4110026445</v>
      </c>
      <c r="Q1306" t="s">
        <v>170</v>
      </c>
      <c r="R1306">
        <v>5000</v>
      </c>
      <c r="S1306" t="s">
        <v>166</v>
      </c>
      <c r="V1306" t="s">
        <v>167</v>
      </c>
      <c r="W1306">
        <v>1502020104</v>
      </c>
      <c r="X1306" t="s">
        <v>26</v>
      </c>
      <c r="Y1306" t="str">
        <f>VLOOKUP(W1306,Sheet4!$A$5:$B$71,2,0)</f>
        <v>RE STYLING</v>
      </c>
      <c r="Z1306">
        <v>87082900</v>
      </c>
      <c r="AA1306">
        <v>15</v>
      </c>
      <c r="AB1306" t="s">
        <v>159</v>
      </c>
      <c r="AC1306" s="24">
        <v>6585.55</v>
      </c>
      <c r="AD1306" t="s">
        <v>160</v>
      </c>
      <c r="AE1306" s="24">
        <v>98783.25</v>
      </c>
      <c r="AF1306">
        <v>0</v>
      </c>
      <c r="AG1306" s="24">
        <v>98783.25</v>
      </c>
      <c r="AH1306">
        <v>0</v>
      </c>
      <c r="AI1306">
        <v>0</v>
      </c>
      <c r="AJ1306">
        <v>0</v>
      </c>
      <c r="AK1306">
        <v>0</v>
      </c>
      <c r="AL1306" s="24">
        <v>98783.25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 s="24">
        <v>98783.25</v>
      </c>
      <c r="AV1306">
        <v>0</v>
      </c>
      <c r="AW1306">
        <v>0</v>
      </c>
      <c r="AX1306">
        <v>311000</v>
      </c>
      <c r="AY1306" t="s">
        <v>161</v>
      </c>
      <c r="AZ1306">
        <v>49.75</v>
      </c>
      <c r="BA1306">
        <v>49.75</v>
      </c>
      <c r="BB1306">
        <v>0</v>
      </c>
      <c r="BC1306" t="s">
        <v>171</v>
      </c>
      <c r="BD1306">
        <v>1509</v>
      </c>
      <c r="BE1306" t="s">
        <v>169</v>
      </c>
      <c r="BF1306" t="s">
        <v>163</v>
      </c>
      <c r="BG1306" t="s">
        <v>164</v>
      </c>
    </row>
    <row r="1307" spans="1:59">
      <c r="A1307">
        <v>1115</v>
      </c>
      <c r="B1307">
        <v>1115</v>
      </c>
      <c r="C1307">
        <v>10</v>
      </c>
      <c r="D1307">
        <v>2</v>
      </c>
      <c r="E1307" t="s">
        <v>152</v>
      </c>
      <c r="F1307" t="s">
        <v>153</v>
      </c>
      <c r="G1307" t="s">
        <v>154</v>
      </c>
      <c r="H1307">
        <v>1526006836</v>
      </c>
      <c r="I1307">
        <v>1000007116</v>
      </c>
      <c r="L1307" t="s">
        <v>362</v>
      </c>
      <c r="M1307">
        <v>5100001636</v>
      </c>
      <c r="N1307" t="s">
        <v>155</v>
      </c>
      <c r="O1307" t="s">
        <v>156</v>
      </c>
      <c r="P1307">
        <v>4110026445</v>
      </c>
      <c r="Q1307" t="s">
        <v>170</v>
      </c>
      <c r="R1307">
        <v>5000</v>
      </c>
      <c r="S1307" t="s">
        <v>166</v>
      </c>
      <c r="V1307" t="s">
        <v>167</v>
      </c>
      <c r="W1307">
        <v>1502020104</v>
      </c>
      <c r="X1307" t="s">
        <v>26</v>
      </c>
      <c r="Y1307" t="str">
        <f>VLOOKUP(W1307,Sheet4!$A$5:$B$71,2,0)</f>
        <v>RE STYLING</v>
      </c>
      <c r="Z1307">
        <v>87082900</v>
      </c>
      <c r="AA1307">
        <v>15</v>
      </c>
      <c r="AB1307" t="s">
        <v>159</v>
      </c>
      <c r="AC1307" s="24">
        <v>6585.55</v>
      </c>
      <c r="AD1307" t="s">
        <v>160</v>
      </c>
      <c r="AE1307" s="24">
        <v>98783.25</v>
      </c>
      <c r="AF1307">
        <v>0</v>
      </c>
      <c r="AG1307" s="24">
        <v>98783.25</v>
      </c>
      <c r="AH1307">
        <v>0</v>
      </c>
      <c r="AI1307">
        <v>0</v>
      </c>
      <c r="AJ1307">
        <v>0</v>
      </c>
      <c r="AK1307">
        <v>0</v>
      </c>
      <c r="AL1307" s="24">
        <v>98783.25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 s="24">
        <v>98783.25</v>
      </c>
      <c r="AV1307">
        <v>0</v>
      </c>
      <c r="AW1307">
        <v>0</v>
      </c>
      <c r="AX1307">
        <v>311000</v>
      </c>
      <c r="AY1307" t="s">
        <v>161</v>
      </c>
      <c r="AZ1307">
        <v>49.75</v>
      </c>
      <c r="BA1307">
        <v>49.75</v>
      </c>
      <c r="BB1307">
        <v>0</v>
      </c>
      <c r="BC1307" t="s">
        <v>171</v>
      </c>
      <c r="BD1307">
        <v>1509</v>
      </c>
      <c r="BE1307" t="s">
        <v>169</v>
      </c>
      <c r="BF1307" t="s">
        <v>163</v>
      </c>
      <c r="BG1307" t="s">
        <v>164</v>
      </c>
    </row>
    <row r="1308" spans="1:59">
      <c r="A1308">
        <v>1115</v>
      </c>
      <c r="B1308">
        <v>1115</v>
      </c>
      <c r="C1308">
        <v>10</v>
      </c>
      <c r="D1308">
        <v>2</v>
      </c>
      <c r="E1308" t="s">
        <v>152</v>
      </c>
      <c r="F1308" t="s">
        <v>153</v>
      </c>
      <c r="G1308" t="s">
        <v>154</v>
      </c>
      <c r="H1308">
        <v>1526006837</v>
      </c>
      <c r="I1308">
        <v>1000007117</v>
      </c>
      <c r="L1308" t="s">
        <v>362</v>
      </c>
      <c r="M1308">
        <v>5100001636</v>
      </c>
      <c r="N1308" t="s">
        <v>155</v>
      </c>
      <c r="O1308" t="s">
        <v>156</v>
      </c>
      <c r="P1308">
        <v>4110026445</v>
      </c>
      <c r="Q1308" t="s">
        <v>170</v>
      </c>
      <c r="R1308">
        <v>5000</v>
      </c>
      <c r="S1308" t="s">
        <v>166</v>
      </c>
      <c r="V1308" t="s">
        <v>167</v>
      </c>
      <c r="W1308">
        <v>1502020104</v>
      </c>
      <c r="X1308" t="s">
        <v>26</v>
      </c>
      <c r="Y1308" t="str">
        <f>VLOOKUP(W1308,Sheet4!$A$5:$B$71,2,0)</f>
        <v>RE STYLING</v>
      </c>
      <c r="Z1308">
        <v>87082900</v>
      </c>
      <c r="AA1308">
        <v>15</v>
      </c>
      <c r="AB1308" t="s">
        <v>159</v>
      </c>
      <c r="AC1308" s="24">
        <v>6585.55</v>
      </c>
      <c r="AD1308" t="s">
        <v>160</v>
      </c>
      <c r="AE1308" s="24">
        <v>98783.25</v>
      </c>
      <c r="AF1308">
        <v>0</v>
      </c>
      <c r="AG1308" s="24">
        <v>98783.25</v>
      </c>
      <c r="AH1308">
        <v>0</v>
      </c>
      <c r="AI1308">
        <v>0</v>
      </c>
      <c r="AJ1308">
        <v>0</v>
      </c>
      <c r="AK1308">
        <v>0</v>
      </c>
      <c r="AL1308" s="24">
        <v>98783.25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 s="24">
        <v>98783.25</v>
      </c>
      <c r="AV1308">
        <v>0</v>
      </c>
      <c r="AW1308">
        <v>0</v>
      </c>
      <c r="AX1308">
        <v>311000</v>
      </c>
      <c r="AY1308" t="s">
        <v>161</v>
      </c>
      <c r="AZ1308">
        <v>49.75</v>
      </c>
      <c r="BA1308">
        <v>49.75</v>
      </c>
      <c r="BB1308">
        <v>0</v>
      </c>
      <c r="BC1308" t="s">
        <v>171</v>
      </c>
      <c r="BD1308">
        <v>1509</v>
      </c>
      <c r="BE1308" t="s">
        <v>169</v>
      </c>
      <c r="BF1308" t="s">
        <v>163</v>
      </c>
      <c r="BG1308" t="s">
        <v>164</v>
      </c>
    </row>
    <row r="1309" spans="1:59">
      <c r="A1309">
        <v>1115</v>
      </c>
      <c r="B1309">
        <v>1115</v>
      </c>
      <c r="C1309">
        <v>10</v>
      </c>
      <c r="D1309">
        <v>2</v>
      </c>
      <c r="E1309" t="s">
        <v>152</v>
      </c>
      <c r="F1309" t="s">
        <v>153</v>
      </c>
      <c r="G1309" t="s">
        <v>154</v>
      </c>
      <c r="H1309">
        <v>1526006838</v>
      </c>
      <c r="I1309">
        <v>1000007118</v>
      </c>
      <c r="L1309" t="s">
        <v>362</v>
      </c>
      <c r="M1309">
        <v>5100001636</v>
      </c>
      <c r="N1309" t="s">
        <v>155</v>
      </c>
      <c r="O1309" t="s">
        <v>156</v>
      </c>
      <c r="P1309">
        <v>4110026445</v>
      </c>
      <c r="Q1309" t="s">
        <v>170</v>
      </c>
      <c r="R1309">
        <v>5000</v>
      </c>
      <c r="S1309" t="s">
        <v>166</v>
      </c>
      <c r="V1309" t="s">
        <v>167</v>
      </c>
      <c r="W1309">
        <v>1502020104</v>
      </c>
      <c r="X1309" t="s">
        <v>26</v>
      </c>
      <c r="Y1309" t="str">
        <f>VLOOKUP(W1309,Sheet4!$A$5:$B$71,2,0)</f>
        <v>RE STYLING</v>
      </c>
      <c r="Z1309">
        <v>87082900</v>
      </c>
      <c r="AA1309">
        <v>15</v>
      </c>
      <c r="AB1309" t="s">
        <v>159</v>
      </c>
      <c r="AC1309" s="24">
        <v>6585.55</v>
      </c>
      <c r="AD1309" t="s">
        <v>160</v>
      </c>
      <c r="AE1309" s="24">
        <v>98783.25</v>
      </c>
      <c r="AF1309">
        <v>0</v>
      </c>
      <c r="AG1309" s="24">
        <v>98783.25</v>
      </c>
      <c r="AH1309">
        <v>0</v>
      </c>
      <c r="AI1309">
        <v>0</v>
      </c>
      <c r="AJ1309">
        <v>0</v>
      </c>
      <c r="AK1309">
        <v>0</v>
      </c>
      <c r="AL1309" s="24">
        <v>98783.25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 s="24">
        <v>98783.25</v>
      </c>
      <c r="AV1309">
        <v>0</v>
      </c>
      <c r="AW1309">
        <v>0</v>
      </c>
      <c r="AX1309">
        <v>311000</v>
      </c>
      <c r="AY1309" t="s">
        <v>161</v>
      </c>
      <c r="AZ1309">
        <v>49.75</v>
      </c>
      <c r="BA1309">
        <v>49.75</v>
      </c>
      <c r="BB1309">
        <v>0</v>
      </c>
      <c r="BC1309" t="s">
        <v>171</v>
      </c>
      <c r="BD1309">
        <v>1509</v>
      </c>
      <c r="BE1309" t="s">
        <v>169</v>
      </c>
      <c r="BF1309" t="s">
        <v>163</v>
      </c>
      <c r="BG1309" t="s">
        <v>164</v>
      </c>
    </row>
    <row r="1310" spans="1:59">
      <c r="A1310">
        <v>1115</v>
      </c>
      <c r="B1310">
        <v>1115</v>
      </c>
      <c r="C1310">
        <v>10</v>
      </c>
      <c r="D1310">
        <v>2</v>
      </c>
      <c r="E1310" t="s">
        <v>152</v>
      </c>
      <c r="F1310" t="s">
        <v>153</v>
      </c>
      <c r="G1310" t="s">
        <v>154</v>
      </c>
      <c r="H1310">
        <v>1526006839</v>
      </c>
      <c r="I1310">
        <v>1000007119</v>
      </c>
      <c r="L1310" t="s">
        <v>362</v>
      </c>
      <c r="M1310">
        <v>5100001636</v>
      </c>
      <c r="N1310" t="s">
        <v>155</v>
      </c>
      <c r="O1310" t="s">
        <v>156</v>
      </c>
      <c r="P1310">
        <v>4110026445</v>
      </c>
      <c r="Q1310" t="s">
        <v>170</v>
      </c>
      <c r="R1310">
        <v>5000</v>
      </c>
      <c r="S1310" t="s">
        <v>166</v>
      </c>
      <c r="V1310" t="s">
        <v>167</v>
      </c>
      <c r="W1310">
        <v>1502020104</v>
      </c>
      <c r="X1310" t="s">
        <v>26</v>
      </c>
      <c r="Y1310" t="str">
        <f>VLOOKUP(W1310,Sheet4!$A$5:$B$71,2,0)</f>
        <v>RE STYLING</v>
      </c>
      <c r="Z1310">
        <v>87082900</v>
      </c>
      <c r="AA1310">
        <v>15</v>
      </c>
      <c r="AB1310" t="s">
        <v>159</v>
      </c>
      <c r="AC1310" s="24">
        <v>6585.55</v>
      </c>
      <c r="AD1310" t="s">
        <v>160</v>
      </c>
      <c r="AE1310" s="24">
        <v>98783.25</v>
      </c>
      <c r="AF1310">
        <v>0</v>
      </c>
      <c r="AG1310" s="24">
        <v>98783.25</v>
      </c>
      <c r="AH1310">
        <v>0</v>
      </c>
      <c r="AI1310">
        <v>0</v>
      </c>
      <c r="AJ1310">
        <v>0</v>
      </c>
      <c r="AK1310">
        <v>0</v>
      </c>
      <c r="AL1310" s="24">
        <v>98783.25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 s="24">
        <v>98783.25</v>
      </c>
      <c r="AV1310">
        <v>0</v>
      </c>
      <c r="AW1310">
        <v>0</v>
      </c>
      <c r="AX1310">
        <v>311000</v>
      </c>
      <c r="AY1310" t="s">
        <v>161</v>
      </c>
      <c r="AZ1310">
        <v>49.75</v>
      </c>
      <c r="BA1310">
        <v>49.75</v>
      </c>
      <c r="BB1310">
        <v>0</v>
      </c>
      <c r="BC1310" t="s">
        <v>171</v>
      </c>
      <c r="BD1310">
        <v>1509</v>
      </c>
      <c r="BE1310" t="s">
        <v>169</v>
      </c>
      <c r="BF1310" t="s">
        <v>163</v>
      </c>
      <c r="BG1310" t="s">
        <v>164</v>
      </c>
    </row>
    <row r="1311" spans="1:59">
      <c r="A1311">
        <v>1115</v>
      </c>
      <c r="B1311">
        <v>1115</v>
      </c>
      <c r="C1311">
        <v>10</v>
      </c>
      <c r="D1311">
        <v>2</v>
      </c>
      <c r="E1311" t="s">
        <v>152</v>
      </c>
      <c r="F1311" t="s">
        <v>153</v>
      </c>
      <c r="G1311" t="s">
        <v>154</v>
      </c>
      <c r="H1311">
        <v>1526006840</v>
      </c>
      <c r="I1311">
        <v>1000007121</v>
      </c>
      <c r="L1311" t="s">
        <v>362</v>
      </c>
      <c r="M1311">
        <v>5100001636</v>
      </c>
      <c r="N1311" t="s">
        <v>155</v>
      </c>
      <c r="O1311" t="s">
        <v>156</v>
      </c>
      <c r="P1311">
        <v>4110026445</v>
      </c>
      <c r="Q1311" t="s">
        <v>170</v>
      </c>
      <c r="R1311">
        <v>5000</v>
      </c>
      <c r="S1311" t="s">
        <v>166</v>
      </c>
      <c r="V1311" t="s">
        <v>167</v>
      </c>
      <c r="W1311">
        <v>1502020104</v>
      </c>
      <c r="X1311" t="s">
        <v>26</v>
      </c>
      <c r="Y1311" t="str">
        <f>VLOOKUP(W1311,Sheet4!$A$5:$B$71,2,0)</f>
        <v>RE STYLING</v>
      </c>
      <c r="Z1311">
        <v>87082900</v>
      </c>
      <c r="AA1311">
        <v>15</v>
      </c>
      <c r="AB1311" t="s">
        <v>159</v>
      </c>
      <c r="AC1311" s="24">
        <v>6585.55</v>
      </c>
      <c r="AD1311" t="s">
        <v>160</v>
      </c>
      <c r="AE1311" s="24">
        <v>98783.25</v>
      </c>
      <c r="AF1311">
        <v>0</v>
      </c>
      <c r="AG1311" s="24">
        <v>98783.25</v>
      </c>
      <c r="AH1311">
        <v>0</v>
      </c>
      <c r="AI1311">
        <v>0</v>
      </c>
      <c r="AJ1311">
        <v>0</v>
      </c>
      <c r="AK1311">
        <v>0</v>
      </c>
      <c r="AL1311" s="24">
        <v>98783.25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 s="24">
        <v>98783.25</v>
      </c>
      <c r="AV1311">
        <v>0</v>
      </c>
      <c r="AW1311">
        <v>0</v>
      </c>
      <c r="AX1311">
        <v>311000</v>
      </c>
      <c r="AY1311" t="s">
        <v>161</v>
      </c>
      <c r="AZ1311">
        <v>49.75</v>
      </c>
      <c r="BA1311">
        <v>49.75</v>
      </c>
      <c r="BB1311">
        <v>0</v>
      </c>
      <c r="BC1311" t="s">
        <v>171</v>
      </c>
      <c r="BD1311">
        <v>1509</v>
      </c>
      <c r="BE1311" t="s">
        <v>169</v>
      </c>
      <c r="BF1311" t="s">
        <v>163</v>
      </c>
      <c r="BG1311" t="s">
        <v>164</v>
      </c>
    </row>
    <row r="1312" spans="1:59">
      <c r="A1312">
        <v>1115</v>
      </c>
      <c r="B1312">
        <v>1115</v>
      </c>
      <c r="C1312">
        <v>10</v>
      </c>
      <c r="D1312">
        <v>2</v>
      </c>
      <c r="E1312" t="s">
        <v>152</v>
      </c>
      <c r="F1312" t="s">
        <v>153</v>
      </c>
      <c r="G1312" t="s">
        <v>154</v>
      </c>
      <c r="H1312">
        <v>1526006842</v>
      </c>
      <c r="I1312">
        <v>1000007124</v>
      </c>
      <c r="L1312" t="s">
        <v>362</v>
      </c>
      <c r="M1312">
        <v>5100001939</v>
      </c>
      <c r="N1312" t="s">
        <v>155</v>
      </c>
      <c r="O1312" t="s">
        <v>156</v>
      </c>
      <c r="P1312">
        <v>4110059608</v>
      </c>
      <c r="Q1312" t="s">
        <v>240</v>
      </c>
      <c r="R1312">
        <v>5000</v>
      </c>
      <c r="S1312" t="s">
        <v>166</v>
      </c>
      <c r="V1312" t="s">
        <v>167</v>
      </c>
      <c r="W1312">
        <v>1502020129</v>
      </c>
      <c r="X1312" t="s">
        <v>241</v>
      </c>
      <c r="Y1312" t="str">
        <f>VLOOKUP(W1312,Sheet4!$A$5:$B$71,2,0)</f>
        <v>RE STYLING</v>
      </c>
      <c r="Z1312">
        <v>87082900</v>
      </c>
      <c r="AA1312">
        <v>15</v>
      </c>
      <c r="AB1312" t="s">
        <v>159</v>
      </c>
      <c r="AC1312" s="24">
        <v>6500.18</v>
      </c>
      <c r="AD1312" t="s">
        <v>160</v>
      </c>
      <c r="AE1312" s="24">
        <v>97502.7</v>
      </c>
      <c r="AF1312">
        <v>0</v>
      </c>
      <c r="AG1312" s="24">
        <v>97502.7</v>
      </c>
      <c r="AH1312">
        <v>0</v>
      </c>
      <c r="AI1312">
        <v>0</v>
      </c>
      <c r="AJ1312">
        <v>0</v>
      </c>
      <c r="AK1312">
        <v>0</v>
      </c>
      <c r="AL1312" s="24">
        <v>97502.7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 s="24">
        <v>97502.7</v>
      </c>
      <c r="AV1312">
        <v>0</v>
      </c>
      <c r="AW1312">
        <v>0</v>
      </c>
      <c r="AX1312">
        <v>311000</v>
      </c>
      <c r="AY1312" t="s">
        <v>161</v>
      </c>
      <c r="AZ1312">
        <v>0</v>
      </c>
      <c r="BA1312">
        <v>0</v>
      </c>
      <c r="BB1312">
        <v>0</v>
      </c>
      <c r="BC1312" t="s">
        <v>242</v>
      </c>
      <c r="BD1312">
        <v>1509</v>
      </c>
      <c r="BE1312" t="s">
        <v>169</v>
      </c>
      <c r="BF1312" t="s">
        <v>163</v>
      </c>
      <c r="BG1312" t="s">
        <v>164</v>
      </c>
    </row>
    <row r="1313" spans="1:59">
      <c r="A1313">
        <v>1115</v>
      </c>
      <c r="B1313">
        <v>1115</v>
      </c>
      <c r="C1313">
        <v>10</v>
      </c>
      <c r="D1313">
        <v>2</v>
      </c>
      <c r="E1313" t="s">
        <v>152</v>
      </c>
      <c r="F1313" t="s">
        <v>153</v>
      </c>
      <c r="G1313" t="s">
        <v>154</v>
      </c>
      <c r="H1313">
        <v>1526006843</v>
      </c>
      <c r="I1313">
        <v>1000007125</v>
      </c>
      <c r="L1313" t="s">
        <v>362</v>
      </c>
      <c r="M1313">
        <v>5100001939</v>
      </c>
      <c r="N1313" t="s">
        <v>155</v>
      </c>
      <c r="O1313" t="s">
        <v>156</v>
      </c>
      <c r="P1313">
        <v>4110059608</v>
      </c>
      <c r="Q1313" t="s">
        <v>240</v>
      </c>
      <c r="R1313">
        <v>5000</v>
      </c>
      <c r="S1313" t="s">
        <v>166</v>
      </c>
      <c r="V1313" t="s">
        <v>167</v>
      </c>
      <c r="W1313">
        <v>1502020129</v>
      </c>
      <c r="X1313" t="s">
        <v>241</v>
      </c>
      <c r="Y1313" t="str">
        <f>VLOOKUP(W1313,Sheet4!$A$5:$B$71,2,0)</f>
        <v>RE STYLING</v>
      </c>
      <c r="Z1313">
        <v>87082900</v>
      </c>
      <c r="AA1313">
        <v>15</v>
      </c>
      <c r="AB1313" t="s">
        <v>159</v>
      </c>
      <c r="AC1313" s="24">
        <v>6500.18</v>
      </c>
      <c r="AD1313" t="s">
        <v>160</v>
      </c>
      <c r="AE1313" s="24">
        <v>97502.7</v>
      </c>
      <c r="AF1313">
        <v>0</v>
      </c>
      <c r="AG1313" s="24">
        <v>97502.7</v>
      </c>
      <c r="AH1313">
        <v>0</v>
      </c>
      <c r="AI1313">
        <v>0</v>
      </c>
      <c r="AJ1313">
        <v>0</v>
      </c>
      <c r="AK1313">
        <v>0</v>
      </c>
      <c r="AL1313" s="24">
        <v>97502.7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 s="24">
        <v>97502.7</v>
      </c>
      <c r="AV1313">
        <v>0</v>
      </c>
      <c r="AW1313">
        <v>0</v>
      </c>
      <c r="AX1313">
        <v>311000</v>
      </c>
      <c r="AY1313" t="s">
        <v>161</v>
      </c>
      <c r="AZ1313">
        <v>0</v>
      </c>
      <c r="BA1313">
        <v>0</v>
      </c>
      <c r="BB1313">
        <v>0</v>
      </c>
      <c r="BC1313" t="s">
        <v>242</v>
      </c>
      <c r="BD1313">
        <v>1509</v>
      </c>
      <c r="BE1313" t="s">
        <v>169</v>
      </c>
      <c r="BF1313" t="s">
        <v>163</v>
      </c>
      <c r="BG1313" t="s">
        <v>164</v>
      </c>
    </row>
    <row r="1314" spans="1:59">
      <c r="A1314">
        <v>1115</v>
      </c>
      <c r="B1314">
        <v>1115</v>
      </c>
      <c r="C1314">
        <v>10</v>
      </c>
      <c r="D1314">
        <v>2</v>
      </c>
      <c r="E1314" t="s">
        <v>152</v>
      </c>
      <c r="F1314" t="s">
        <v>153</v>
      </c>
      <c r="G1314" t="s">
        <v>154</v>
      </c>
      <c r="H1314">
        <v>1526006847</v>
      </c>
      <c r="I1314">
        <v>1000007127</v>
      </c>
      <c r="L1314" t="s">
        <v>362</v>
      </c>
      <c r="M1314">
        <v>5100001899</v>
      </c>
      <c r="N1314" t="s">
        <v>155</v>
      </c>
      <c r="O1314" t="s">
        <v>156</v>
      </c>
      <c r="P1314">
        <v>4110041854</v>
      </c>
      <c r="Q1314" t="s">
        <v>172</v>
      </c>
      <c r="R1314">
        <v>5000</v>
      </c>
      <c r="S1314" t="s">
        <v>166</v>
      </c>
      <c r="V1314" t="s">
        <v>167</v>
      </c>
      <c r="W1314">
        <v>1502040267</v>
      </c>
      <c r="X1314" t="s">
        <v>63</v>
      </c>
      <c r="Y1314" t="str">
        <f>VLOOKUP(W1314,Sheet4!$A$5:$B$71,2,0)</f>
        <v>DASH BOARD</v>
      </c>
      <c r="Z1314">
        <v>87082900</v>
      </c>
      <c r="AA1314">
        <v>448</v>
      </c>
      <c r="AB1314" t="s">
        <v>159</v>
      </c>
      <c r="AC1314">
        <v>290.89999999999998</v>
      </c>
      <c r="AD1314" t="s">
        <v>160</v>
      </c>
      <c r="AE1314" s="24">
        <v>130323.2</v>
      </c>
      <c r="AF1314">
        <v>0</v>
      </c>
      <c r="AG1314" s="24">
        <v>130323.2</v>
      </c>
      <c r="AH1314">
        <v>0</v>
      </c>
      <c r="AI1314">
        <v>0</v>
      </c>
      <c r="AJ1314">
        <v>0</v>
      </c>
      <c r="AK1314">
        <v>0</v>
      </c>
      <c r="AL1314" s="24">
        <v>130323.2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 s="24">
        <v>130323.2</v>
      </c>
      <c r="AV1314">
        <v>0</v>
      </c>
      <c r="AW1314">
        <v>0</v>
      </c>
      <c r="AX1314">
        <v>311000</v>
      </c>
      <c r="AY1314" t="s">
        <v>161</v>
      </c>
      <c r="AZ1314">
        <v>4.5</v>
      </c>
      <c r="BA1314">
        <v>4.5</v>
      </c>
      <c r="BB1314">
        <v>0</v>
      </c>
      <c r="BC1314" t="s">
        <v>173</v>
      </c>
      <c r="BD1314">
        <v>1511</v>
      </c>
      <c r="BE1314" t="s">
        <v>174</v>
      </c>
      <c r="BF1314" t="s">
        <v>163</v>
      </c>
      <c r="BG1314" t="s">
        <v>164</v>
      </c>
    </row>
    <row r="1315" spans="1:59">
      <c r="A1315">
        <v>1115</v>
      </c>
      <c r="B1315">
        <v>1115</v>
      </c>
      <c r="C1315">
        <v>10</v>
      </c>
      <c r="D1315">
        <v>2</v>
      </c>
      <c r="E1315" t="s">
        <v>152</v>
      </c>
      <c r="F1315" t="s">
        <v>153</v>
      </c>
      <c r="G1315" t="s">
        <v>154</v>
      </c>
      <c r="H1315">
        <v>1526006848</v>
      </c>
      <c r="I1315">
        <v>1000007129</v>
      </c>
      <c r="L1315" t="s">
        <v>362</v>
      </c>
      <c r="M1315">
        <v>5100001949</v>
      </c>
      <c r="N1315" t="s">
        <v>155</v>
      </c>
      <c r="O1315" t="s">
        <v>156</v>
      </c>
      <c r="P1315">
        <v>4110063766</v>
      </c>
      <c r="Q1315" t="s">
        <v>252</v>
      </c>
      <c r="R1315">
        <v>5000</v>
      </c>
      <c r="S1315" t="s">
        <v>166</v>
      </c>
      <c r="V1315" t="s">
        <v>167</v>
      </c>
      <c r="W1315">
        <v>1502040322</v>
      </c>
      <c r="X1315" t="s">
        <v>250</v>
      </c>
      <c r="Y1315" t="str">
        <f>VLOOKUP(W1315,Sheet4!$A$5:$B$71,2,0)</f>
        <v>DASH BOARD</v>
      </c>
      <c r="Z1315">
        <v>87082900</v>
      </c>
      <c r="AA1315">
        <v>60</v>
      </c>
      <c r="AB1315" t="s">
        <v>159</v>
      </c>
      <c r="AC1315">
        <v>291.27999999999997</v>
      </c>
      <c r="AD1315" t="s">
        <v>160</v>
      </c>
      <c r="AE1315" s="24">
        <v>17476.8</v>
      </c>
      <c r="AF1315">
        <v>0</v>
      </c>
      <c r="AG1315" s="24">
        <v>17476.8</v>
      </c>
      <c r="AH1315">
        <v>0</v>
      </c>
      <c r="AI1315">
        <v>0</v>
      </c>
      <c r="AJ1315">
        <v>0</v>
      </c>
      <c r="AK1315">
        <v>0</v>
      </c>
      <c r="AL1315" s="24">
        <v>17476.8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 s="24">
        <v>17476.8</v>
      </c>
      <c r="AV1315">
        <v>0</v>
      </c>
      <c r="AW1315">
        <v>0</v>
      </c>
      <c r="AX1315">
        <v>311000</v>
      </c>
      <c r="AY1315" t="s">
        <v>161</v>
      </c>
      <c r="AZ1315">
        <v>2.37</v>
      </c>
      <c r="BA1315">
        <v>2.37</v>
      </c>
      <c r="BB1315">
        <v>0</v>
      </c>
      <c r="BC1315" t="s">
        <v>251</v>
      </c>
      <c r="BD1315">
        <v>1511</v>
      </c>
      <c r="BE1315" t="s">
        <v>174</v>
      </c>
      <c r="BF1315" t="s">
        <v>163</v>
      </c>
      <c r="BG1315" t="s">
        <v>164</v>
      </c>
    </row>
    <row r="1316" spans="1:59">
      <c r="A1316">
        <v>1115</v>
      </c>
      <c r="B1316">
        <v>1115</v>
      </c>
      <c r="C1316">
        <v>10</v>
      </c>
      <c r="D1316">
        <v>2</v>
      </c>
      <c r="E1316" t="s">
        <v>152</v>
      </c>
      <c r="F1316" t="s">
        <v>153</v>
      </c>
      <c r="G1316" t="s">
        <v>154</v>
      </c>
      <c r="H1316">
        <v>1526006849</v>
      </c>
      <c r="I1316">
        <v>1000007130</v>
      </c>
      <c r="L1316" t="s">
        <v>362</v>
      </c>
      <c r="M1316">
        <v>5100001955</v>
      </c>
      <c r="N1316" t="s">
        <v>155</v>
      </c>
      <c r="O1316" t="s">
        <v>156</v>
      </c>
      <c r="P1316">
        <v>5500001432</v>
      </c>
      <c r="Q1316" t="s">
        <v>320</v>
      </c>
      <c r="R1316">
        <v>5356</v>
      </c>
      <c r="S1316" t="s">
        <v>158</v>
      </c>
      <c r="W1316">
        <v>1104040829</v>
      </c>
      <c r="X1316" t="s">
        <v>321</v>
      </c>
      <c r="Y1316" t="s">
        <v>339</v>
      </c>
      <c r="Z1316">
        <v>87141090</v>
      </c>
      <c r="AA1316">
        <v>147</v>
      </c>
      <c r="AB1316" t="s">
        <v>159</v>
      </c>
      <c r="AC1316">
        <v>136.6</v>
      </c>
      <c r="AD1316" t="s">
        <v>160</v>
      </c>
      <c r="AE1316" s="24">
        <v>20080.2</v>
      </c>
      <c r="AF1316">
        <v>0</v>
      </c>
      <c r="AG1316" s="24">
        <v>20080.2</v>
      </c>
      <c r="AH1316">
        <v>0</v>
      </c>
      <c r="AI1316">
        <v>0</v>
      </c>
      <c r="AJ1316">
        <v>0</v>
      </c>
      <c r="AK1316">
        <v>0</v>
      </c>
      <c r="AL1316" s="24">
        <v>20080.2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 s="24">
        <v>20080.2</v>
      </c>
      <c r="AV1316">
        <v>0</v>
      </c>
      <c r="AW1316">
        <v>0</v>
      </c>
      <c r="AX1316">
        <v>311003</v>
      </c>
      <c r="AY1316" t="s">
        <v>322</v>
      </c>
      <c r="AZ1316">
        <v>2.62</v>
      </c>
      <c r="BA1316">
        <v>2.62</v>
      </c>
      <c r="BB1316">
        <v>0</v>
      </c>
      <c r="BC1316">
        <v>2000000894</v>
      </c>
      <c r="BD1316">
        <v>1123</v>
      </c>
      <c r="BE1316" t="s">
        <v>323</v>
      </c>
      <c r="BF1316" t="s">
        <v>163</v>
      </c>
      <c r="BG1316" t="s">
        <v>164</v>
      </c>
    </row>
    <row r="1317" spans="1:59">
      <c r="A1317">
        <v>1115</v>
      </c>
      <c r="B1317">
        <v>1115</v>
      </c>
      <c r="C1317">
        <v>10</v>
      </c>
      <c r="D1317">
        <v>2</v>
      </c>
      <c r="E1317" t="s">
        <v>152</v>
      </c>
      <c r="F1317" t="s">
        <v>153</v>
      </c>
      <c r="G1317" t="s">
        <v>154</v>
      </c>
      <c r="H1317">
        <v>1526007396</v>
      </c>
      <c r="I1317">
        <v>1000007691</v>
      </c>
      <c r="L1317" t="s">
        <v>367</v>
      </c>
      <c r="M1317">
        <v>5100001928</v>
      </c>
      <c r="N1317" t="s">
        <v>155</v>
      </c>
      <c r="O1317" t="s">
        <v>156</v>
      </c>
      <c r="P1317">
        <v>4110057393</v>
      </c>
      <c r="Q1317" t="s">
        <v>192</v>
      </c>
      <c r="R1317">
        <v>5000</v>
      </c>
      <c r="S1317" t="s">
        <v>166</v>
      </c>
      <c r="V1317" t="s">
        <v>167</v>
      </c>
      <c r="W1317">
        <v>1502020122</v>
      </c>
      <c r="X1317" t="s">
        <v>70</v>
      </c>
      <c r="Y1317" t="str">
        <f>VLOOKUP(W1317,Sheet4!$A$5:$B$72,2,0)</f>
        <v>MAX UG NEW EV</v>
      </c>
      <c r="Z1317">
        <v>87082900</v>
      </c>
      <c r="AA1317">
        <v>10</v>
      </c>
      <c r="AB1317" t="s">
        <v>159</v>
      </c>
      <c r="AC1317" s="24">
        <v>9566.51</v>
      </c>
      <c r="AD1317" t="s">
        <v>160</v>
      </c>
      <c r="AE1317" s="24">
        <v>95665.1</v>
      </c>
      <c r="AF1317">
        <v>0</v>
      </c>
      <c r="AG1317" s="24">
        <v>95665.1</v>
      </c>
      <c r="AH1317">
        <v>0</v>
      </c>
      <c r="AI1317">
        <v>0</v>
      </c>
      <c r="AJ1317">
        <v>0</v>
      </c>
      <c r="AK1317">
        <v>0</v>
      </c>
      <c r="AL1317" s="24">
        <v>95665.1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 s="24">
        <v>95665.1</v>
      </c>
      <c r="AV1317">
        <v>0</v>
      </c>
      <c r="AW1317">
        <v>0</v>
      </c>
      <c r="AX1317">
        <v>311000</v>
      </c>
      <c r="AY1317" t="s">
        <v>161</v>
      </c>
      <c r="AZ1317">
        <v>0</v>
      </c>
      <c r="BA1317">
        <v>61</v>
      </c>
      <c r="BB1317">
        <v>-61</v>
      </c>
      <c r="BC1317" t="s">
        <v>193</v>
      </c>
      <c r="BD1317">
        <v>1509</v>
      </c>
      <c r="BE1317" t="s">
        <v>169</v>
      </c>
      <c r="BF1317" t="s">
        <v>163</v>
      </c>
      <c r="BG1317" t="s">
        <v>164</v>
      </c>
    </row>
    <row r="1318" spans="1:59">
      <c r="A1318">
        <v>1115</v>
      </c>
      <c r="B1318">
        <v>1115</v>
      </c>
      <c r="C1318">
        <v>10</v>
      </c>
      <c r="D1318">
        <v>2</v>
      </c>
      <c r="E1318" t="s">
        <v>152</v>
      </c>
      <c r="F1318" t="s">
        <v>153</v>
      </c>
      <c r="G1318" t="s">
        <v>154</v>
      </c>
      <c r="H1318">
        <v>1526007397</v>
      </c>
      <c r="I1318">
        <v>1000007692</v>
      </c>
      <c r="L1318" t="s">
        <v>367</v>
      </c>
      <c r="M1318">
        <v>5100001899</v>
      </c>
      <c r="N1318" t="s">
        <v>155</v>
      </c>
      <c r="O1318" t="s">
        <v>156</v>
      </c>
      <c r="P1318">
        <v>4110041854</v>
      </c>
      <c r="Q1318" t="s">
        <v>172</v>
      </c>
      <c r="R1318">
        <v>5000</v>
      </c>
      <c r="S1318" t="s">
        <v>166</v>
      </c>
      <c r="V1318" t="s">
        <v>167</v>
      </c>
      <c r="W1318">
        <v>1502040267</v>
      </c>
      <c r="X1318" t="s">
        <v>63</v>
      </c>
      <c r="Y1318" t="str">
        <f>VLOOKUP(W1318,Sheet4!$A$5:$B$72,2,0)</f>
        <v>DASH BOARD</v>
      </c>
      <c r="Z1318">
        <v>87082900</v>
      </c>
      <c r="AA1318">
        <v>384</v>
      </c>
      <c r="AB1318" t="s">
        <v>159</v>
      </c>
      <c r="AC1318">
        <v>290.89999999999998</v>
      </c>
      <c r="AD1318" t="s">
        <v>160</v>
      </c>
      <c r="AE1318" s="24">
        <v>111705.60000000001</v>
      </c>
      <c r="AF1318">
        <v>0</v>
      </c>
      <c r="AG1318" s="24">
        <v>111705.60000000001</v>
      </c>
      <c r="AH1318">
        <v>0</v>
      </c>
      <c r="AI1318">
        <v>0</v>
      </c>
      <c r="AJ1318">
        <v>0</v>
      </c>
      <c r="AK1318">
        <v>0</v>
      </c>
      <c r="AL1318" s="24">
        <v>111705.60000000001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 s="24">
        <v>111705.60000000001</v>
      </c>
      <c r="AV1318">
        <v>0</v>
      </c>
      <c r="AW1318">
        <v>0</v>
      </c>
      <c r="AX1318">
        <v>311000</v>
      </c>
      <c r="AY1318" t="s">
        <v>161</v>
      </c>
      <c r="AZ1318">
        <v>4.5</v>
      </c>
      <c r="BA1318">
        <v>4.5</v>
      </c>
      <c r="BB1318">
        <v>0</v>
      </c>
      <c r="BC1318" t="s">
        <v>173</v>
      </c>
      <c r="BD1318">
        <v>1511</v>
      </c>
      <c r="BE1318" t="s">
        <v>174</v>
      </c>
      <c r="BF1318" t="s">
        <v>163</v>
      </c>
      <c r="BG1318" t="s">
        <v>164</v>
      </c>
    </row>
    <row r="1319" spans="1:59">
      <c r="A1319">
        <v>1115</v>
      </c>
      <c r="B1319">
        <v>1115</v>
      </c>
      <c r="C1319">
        <v>10</v>
      </c>
      <c r="D1319">
        <v>2</v>
      </c>
      <c r="E1319" t="s">
        <v>152</v>
      </c>
      <c r="F1319" t="s">
        <v>153</v>
      </c>
      <c r="G1319" t="s">
        <v>154</v>
      </c>
      <c r="H1319">
        <v>1526007398</v>
      </c>
      <c r="I1319">
        <v>1000007693</v>
      </c>
      <c r="L1319" t="s">
        <v>367</v>
      </c>
      <c r="M1319">
        <v>5100001949</v>
      </c>
      <c r="N1319" t="s">
        <v>155</v>
      </c>
      <c r="O1319" t="s">
        <v>156</v>
      </c>
      <c r="P1319">
        <v>4110063766</v>
      </c>
      <c r="Q1319" t="s">
        <v>252</v>
      </c>
      <c r="R1319">
        <v>5000</v>
      </c>
      <c r="S1319" t="s">
        <v>166</v>
      </c>
      <c r="V1319" t="s">
        <v>167</v>
      </c>
      <c r="W1319">
        <v>1502040322</v>
      </c>
      <c r="X1319" t="s">
        <v>250</v>
      </c>
      <c r="Y1319" t="str">
        <f>VLOOKUP(W1319,Sheet4!$A$5:$B$72,2,0)</f>
        <v>DASH BOARD</v>
      </c>
      <c r="Z1319">
        <v>87082900</v>
      </c>
      <c r="AA1319">
        <v>120</v>
      </c>
      <c r="AB1319" t="s">
        <v>159</v>
      </c>
      <c r="AC1319">
        <v>291.27999999999997</v>
      </c>
      <c r="AD1319" t="s">
        <v>160</v>
      </c>
      <c r="AE1319" s="24">
        <v>34953.599999999999</v>
      </c>
      <c r="AF1319">
        <v>0</v>
      </c>
      <c r="AG1319" s="24">
        <v>34953.599999999999</v>
      </c>
      <c r="AH1319">
        <v>0</v>
      </c>
      <c r="AI1319">
        <v>0</v>
      </c>
      <c r="AJ1319">
        <v>0</v>
      </c>
      <c r="AK1319">
        <v>0</v>
      </c>
      <c r="AL1319" s="24">
        <v>34953.599999999999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 s="24">
        <v>34953.599999999999</v>
      </c>
      <c r="AV1319">
        <v>0</v>
      </c>
      <c r="AW1319">
        <v>0</v>
      </c>
      <c r="AX1319">
        <v>311000</v>
      </c>
      <c r="AY1319" t="s">
        <v>161</v>
      </c>
      <c r="AZ1319">
        <v>2.37</v>
      </c>
      <c r="BA1319">
        <v>2.37</v>
      </c>
      <c r="BB1319">
        <v>0</v>
      </c>
      <c r="BC1319" t="s">
        <v>251</v>
      </c>
      <c r="BD1319">
        <v>1511</v>
      </c>
      <c r="BE1319" t="s">
        <v>174</v>
      </c>
      <c r="BF1319" t="s">
        <v>163</v>
      </c>
      <c r="BG1319" t="s">
        <v>164</v>
      </c>
    </row>
    <row r="1320" spans="1:59">
      <c r="A1320">
        <v>1115</v>
      </c>
      <c r="B1320">
        <v>1115</v>
      </c>
      <c r="C1320">
        <v>10</v>
      </c>
      <c r="D1320">
        <v>2</v>
      </c>
      <c r="E1320" t="s">
        <v>152</v>
      </c>
      <c r="F1320" t="s">
        <v>153</v>
      </c>
      <c r="G1320" t="s">
        <v>154</v>
      </c>
      <c r="H1320">
        <v>1526007395</v>
      </c>
      <c r="I1320">
        <v>1000007690</v>
      </c>
      <c r="L1320" t="s">
        <v>367</v>
      </c>
      <c r="M1320">
        <v>5100001928</v>
      </c>
      <c r="N1320" t="s">
        <v>155</v>
      </c>
      <c r="O1320" t="s">
        <v>156</v>
      </c>
      <c r="P1320">
        <v>4110057393</v>
      </c>
      <c r="Q1320" t="s">
        <v>192</v>
      </c>
      <c r="R1320">
        <v>5000</v>
      </c>
      <c r="S1320" t="s">
        <v>166</v>
      </c>
      <c r="V1320" t="s">
        <v>167</v>
      </c>
      <c r="W1320">
        <v>1502020122</v>
      </c>
      <c r="X1320" t="s">
        <v>70</v>
      </c>
      <c r="Y1320" t="str">
        <f>VLOOKUP(W1320,Sheet4!$A$5:$B$72,2,0)</f>
        <v>MAX UG NEW EV</v>
      </c>
      <c r="Z1320">
        <v>87082900</v>
      </c>
      <c r="AA1320">
        <v>10</v>
      </c>
      <c r="AB1320" t="s">
        <v>159</v>
      </c>
      <c r="AC1320" s="24">
        <v>9566.51</v>
      </c>
      <c r="AD1320" t="s">
        <v>160</v>
      </c>
      <c r="AE1320" s="24">
        <v>95665.1</v>
      </c>
      <c r="AF1320">
        <v>0</v>
      </c>
      <c r="AG1320" s="24">
        <v>95665.1</v>
      </c>
      <c r="AH1320">
        <v>0</v>
      </c>
      <c r="AI1320">
        <v>0</v>
      </c>
      <c r="AJ1320">
        <v>0</v>
      </c>
      <c r="AK1320">
        <v>0</v>
      </c>
      <c r="AL1320" s="24">
        <v>95665.1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 s="24">
        <v>95665.1</v>
      </c>
      <c r="AV1320">
        <v>0</v>
      </c>
      <c r="AW1320">
        <v>0</v>
      </c>
      <c r="AX1320">
        <v>311000</v>
      </c>
      <c r="AY1320" t="s">
        <v>161</v>
      </c>
      <c r="AZ1320">
        <v>0</v>
      </c>
      <c r="BA1320">
        <v>61</v>
      </c>
      <c r="BB1320">
        <v>-61</v>
      </c>
      <c r="BC1320" t="s">
        <v>193</v>
      </c>
      <c r="BD1320">
        <v>1509</v>
      </c>
      <c r="BE1320" t="s">
        <v>169</v>
      </c>
      <c r="BF1320" t="s">
        <v>163</v>
      </c>
      <c r="BG1320" t="s">
        <v>164</v>
      </c>
    </row>
    <row r="1321" spans="1:59">
      <c r="A1321">
        <v>1115</v>
      </c>
      <c r="B1321">
        <v>1115</v>
      </c>
      <c r="C1321">
        <v>10</v>
      </c>
      <c r="D1321">
        <v>2</v>
      </c>
      <c r="E1321" t="s">
        <v>152</v>
      </c>
      <c r="F1321" t="s">
        <v>153</v>
      </c>
      <c r="G1321" t="s">
        <v>154</v>
      </c>
      <c r="H1321">
        <v>1526007394</v>
      </c>
      <c r="I1321">
        <v>1000007689</v>
      </c>
      <c r="L1321" t="s">
        <v>367</v>
      </c>
      <c r="M1321">
        <v>5100001928</v>
      </c>
      <c r="N1321" t="s">
        <v>155</v>
      </c>
      <c r="O1321" t="s">
        <v>156</v>
      </c>
      <c r="P1321">
        <v>4110057393</v>
      </c>
      <c r="Q1321" t="s">
        <v>192</v>
      </c>
      <c r="R1321">
        <v>5000</v>
      </c>
      <c r="S1321" t="s">
        <v>166</v>
      </c>
      <c r="V1321" t="s">
        <v>167</v>
      </c>
      <c r="W1321">
        <v>1502020122</v>
      </c>
      <c r="X1321" t="s">
        <v>70</v>
      </c>
      <c r="Y1321" t="str">
        <f>VLOOKUP(W1321,Sheet4!$A$5:$B$72,2,0)</f>
        <v>MAX UG NEW EV</v>
      </c>
      <c r="Z1321">
        <v>87082900</v>
      </c>
      <c r="AA1321">
        <v>10</v>
      </c>
      <c r="AB1321" t="s">
        <v>159</v>
      </c>
      <c r="AC1321" s="24">
        <v>9566.51</v>
      </c>
      <c r="AD1321" t="s">
        <v>160</v>
      </c>
      <c r="AE1321" s="24">
        <v>95665.1</v>
      </c>
      <c r="AF1321">
        <v>0</v>
      </c>
      <c r="AG1321" s="24">
        <v>95665.1</v>
      </c>
      <c r="AH1321">
        <v>0</v>
      </c>
      <c r="AI1321">
        <v>0</v>
      </c>
      <c r="AJ1321">
        <v>0</v>
      </c>
      <c r="AK1321">
        <v>0</v>
      </c>
      <c r="AL1321" s="24">
        <v>95665.1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 s="24">
        <v>95665.1</v>
      </c>
      <c r="AV1321">
        <v>0</v>
      </c>
      <c r="AW1321">
        <v>0</v>
      </c>
      <c r="AX1321">
        <v>311000</v>
      </c>
      <c r="AY1321" t="s">
        <v>161</v>
      </c>
      <c r="AZ1321">
        <v>0</v>
      </c>
      <c r="BA1321">
        <v>61</v>
      </c>
      <c r="BB1321">
        <v>-61</v>
      </c>
      <c r="BC1321" t="s">
        <v>193</v>
      </c>
      <c r="BD1321">
        <v>1509</v>
      </c>
      <c r="BE1321" t="s">
        <v>169</v>
      </c>
      <c r="BF1321">
        <v>5094274668</v>
      </c>
      <c r="BG1321" t="s">
        <v>367</v>
      </c>
    </row>
    <row r="1322" spans="1:59">
      <c r="A1322">
        <v>1115</v>
      </c>
      <c r="B1322">
        <v>1115</v>
      </c>
      <c r="C1322">
        <v>10</v>
      </c>
      <c r="D1322">
        <v>2</v>
      </c>
      <c r="E1322" t="s">
        <v>152</v>
      </c>
      <c r="F1322" t="s">
        <v>153</v>
      </c>
      <c r="G1322" t="s">
        <v>154</v>
      </c>
      <c r="H1322">
        <v>1526007393</v>
      </c>
      <c r="I1322">
        <v>1000007688</v>
      </c>
      <c r="L1322" t="s">
        <v>367</v>
      </c>
      <c r="M1322">
        <v>5100001928</v>
      </c>
      <c r="N1322" t="s">
        <v>155</v>
      </c>
      <c r="O1322" t="s">
        <v>156</v>
      </c>
      <c r="P1322">
        <v>4110057393</v>
      </c>
      <c r="Q1322" t="s">
        <v>192</v>
      </c>
      <c r="R1322">
        <v>5000</v>
      </c>
      <c r="S1322" t="s">
        <v>166</v>
      </c>
      <c r="V1322" t="s">
        <v>167</v>
      </c>
      <c r="W1322">
        <v>1502020122</v>
      </c>
      <c r="X1322" t="s">
        <v>70</v>
      </c>
      <c r="Y1322" t="str">
        <f>VLOOKUP(W1322,Sheet4!$A$5:$B$72,2,0)</f>
        <v>MAX UG NEW EV</v>
      </c>
      <c r="Z1322">
        <v>87082900</v>
      </c>
      <c r="AA1322">
        <v>10</v>
      </c>
      <c r="AB1322" t="s">
        <v>159</v>
      </c>
      <c r="AC1322" s="24">
        <v>9566.51</v>
      </c>
      <c r="AD1322" t="s">
        <v>160</v>
      </c>
      <c r="AE1322" s="24">
        <v>95665.1</v>
      </c>
      <c r="AF1322">
        <v>0</v>
      </c>
      <c r="AG1322" s="24">
        <v>95665.1</v>
      </c>
      <c r="AH1322">
        <v>0</v>
      </c>
      <c r="AI1322">
        <v>0</v>
      </c>
      <c r="AJ1322">
        <v>0</v>
      </c>
      <c r="AK1322">
        <v>0</v>
      </c>
      <c r="AL1322" s="24">
        <v>95665.1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 s="24">
        <v>95665.1</v>
      </c>
      <c r="AV1322">
        <v>0</v>
      </c>
      <c r="AW1322">
        <v>0</v>
      </c>
      <c r="AX1322">
        <v>311000</v>
      </c>
      <c r="AY1322" t="s">
        <v>161</v>
      </c>
      <c r="AZ1322">
        <v>0</v>
      </c>
      <c r="BA1322">
        <v>61</v>
      </c>
      <c r="BB1322">
        <v>-61</v>
      </c>
      <c r="BC1322" t="s">
        <v>193</v>
      </c>
      <c r="BD1322">
        <v>1509</v>
      </c>
      <c r="BE1322" t="s">
        <v>169</v>
      </c>
      <c r="BF1322" t="s">
        <v>163</v>
      </c>
      <c r="BG1322" t="s">
        <v>164</v>
      </c>
    </row>
    <row r="1323" spans="1:59">
      <c r="A1323">
        <v>1115</v>
      </c>
      <c r="B1323">
        <v>1115</v>
      </c>
      <c r="C1323">
        <v>10</v>
      </c>
      <c r="D1323">
        <v>2</v>
      </c>
      <c r="E1323" t="s">
        <v>152</v>
      </c>
      <c r="F1323" t="s">
        <v>153</v>
      </c>
      <c r="G1323" t="s">
        <v>154</v>
      </c>
      <c r="H1323">
        <v>1526007392</v>
      </c>
      <c r="I1323">
        <v>1000007687</v>
      </c>
      <c r="L1323" t="s">
        <v>367</v>
      </c>
      <c r="M1323">
        <v>5100001955</v>
      </c>
      <c r="N1323" t="s">
        <v>155</v>
      </c>
      <c r="O1323" t="s">
        <v>156</v>
      </c>
      <c r="P1323">
        <v>5500001432</v>
      </c>
      <c r="Q1323" t="s">
        <v>320</v>
      </c>
      <c r="R1323">
        <v>5356</v>
      </c>
      <c r="S1323" t="s">
        <v>158</v>
      </c>
      <c r="W1323">
        <v>1104040829</v>
      </c>
      <c r="X1323" t="s">
        <v>321</v>
      </c>
      <c r="Y1323" t="s">
        <v>339</v>
      </c>
      <c r="Z1323">
        <v>87141090</v>
      </c>
      <c r="AA1323">
        <v>235</v>
      </c>
      <c r="AB1323" t="s">
        <v>159</v>
      </c>
      <c r="AC1323">
        <v>136.6</v>
      </c>
      <c r="AD1323" t="s">
        <v>160</v>
      </c>
      <c r="AE1323" s="24">
        <v>32101</v>
      </c>
      <c r="AF1323">
        <v>0</v>
      </c>
      <c r="AG1323" s="24">
        <v>32101</v>
      </c>
      <c r="AH1323">
        <v>0</v>
      </c>
      <c r="AI1323">
        <v>0</v>
      </c>
      <c r="AJ1323">
        <v>0</v>
      </c>
      <c r="AK1323">
        <v>0</v>
      </c>
      <c r="AL1323" s="24">
        <v>32101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 s="24">
        <v>32101</v>
      </c>
      <c r="AV1323">
        <v>0</v>
      </c>
      <c r="AW1323">
        <v>0</v>
      </c>
      <c r="AX1323">
        <v>311003</v>
      </c>
      <c r="AY1323" t="s">
        <v>322</v>
      </c>
      <c r="AZ1323">
        <v>2.62</v>
      </c>
      <c r="BA1323">
        <v>2.62</v>
      </c>
      <c r="BB1323">
        <v>0</v>
      </c>
      <c r="BC1323">
        <v>2000000894</v>
      </c>
      <c r="BD1323">
        <v>1123</v>
      </c>
      <c r="BE1323" t="s">
        <v>323</v>
      </c>
      <c r="BF1323" t="s">
        <v>163</v>
      </c>
      <c r="BG1323" t="s">
        <v>164</v>
      </c>
    </row>
    <row r="1324" spans="1:59">
      <c r="A1324">
        <v>1115</v>
      </c>
      <c r="B1324">
        <v>1115</v>
      </c>
      <c r="C1324">
        <v>10</v>
      </c>
      <c r="D1324">
        <v>2</v>
      </c>
      <c r="E1324" t="s">
        <v>152</v>
      </c>
      <c r="F1324" t="s">
        <v>153</v>
      </c>
      <c r="G1324" t="s">
        <v>154</v>
      </c>
      <c r="H1324">
        <v>1526007399</v>
      </c>
      <c r="I1324">
        <v>1000007694</v>
      </c>
      <c r="L1324" t="s">
        <v>367</v>
      </c>
      <c r="M1324">
        <v>5100001939</v>
      </c>
      <c r="N1324" t="s">
        <v>155</v>
      </c>
      <c r="O1324" t="s">
        <v>156</v>
      </c>
      <c r="P1324">
        <v>4110059608</v>
      </c>
      <c r="Q1324" t="s">
        <v>240</v>
      </c>
      <c r="R1324">
        <v>5000</v>
      </c>
      <c r="S1324" t="s">
        <v>166</v>
      </c>
      <c r="V1324" t="s">
        <v>167</v>
      </c>
      <c r="W1324">
        <v>1502020129</v>
      </c>
      <c r="X1324" t="s">
        <v>241</v>
      </c>
      <c r="Y1324" t="str">
        <f>VLOOKUP(W1324,Sheet4!$A$5:$B$72,2,0)</f>
        <v>RE STYLING</v>
      </c>
      <c r="Z1324">
        <v>87082900</v>
      </c>
      <c r="AA1324">
        <v>15</v>
      </c>
      <c r="AB1324" t="s">
        <v>159</v>
      </c>
      <c r="AC1324" s="24">
        <v>6500.18</v>
      </c>
      <c r="AD1324" t="s">
        <v>160</v>
      </c>
      <c r="AE1324" s="24">
        <v>97502.7</v>
      </c>
      <c r="AF1324">
        <v>0</v>
      </c>
      <c r="AG1324" s="24">
        <v>97502.7</v>
      </c>
      <c r="AH1324">
        <v>0</v>
      </c>
      <c r="AI1324">
        <v>0</v>
      </c>
      <c r="AJ1324">
        <v>0</v>
      </c>
      <c r="AK1324">
        <v>0</v>
      </c>
      <c r="AL1324" s="24">
        <v>97502.7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 s="24">
        <v>97502.7</v>
      </c>
      <c r="AV1324">
        <v>0</v>
      </c>
      <c r="AW1324">
        <v>0</v>
      </c>
      <c r="AX1324">
        <v>311000</v>
      </c>
      <c r="AY1324" t="s">
        <v>161</v>
      </c>
      <c r="AZ1324">
        <v>0</v>
      </c>
      <c r="BA1324">
        <v>0</v>
      </c>
      <c r="BB1324">
        <v>0</v>
      </c>
      <c r="BC1324" t="s">
        <v>242</v>
      </c>
      <c r="BD1324">
        <v>1509</v>
      </c>
      <c r="BE1324" t="s">
        <v>169</v>
      </c>
      <c r="BF1324" t="s">
        <v>163</v>
      </c>
      <c r="BG1324" t="s">
        <v>164</v>
      </c>
    </row>
    <row r="1325" spans="1:59">
      <c r="A1325">
        <v>1115</v>
      </c>
      <c r="B1325">
        <v>1115</v>
      </c>
      <c r="C1325">
        <v>10</v>
      </c>
      <c r="D1325">
        <v>2</v>
      </c>
      <c r="E1325" t="s">
        <v>152</v>
      </c>
      <c r="F1325" t="s">
        <v>153</v>
      </c>
      <c r="G1325" t="s">
        <v>154</v>
      </c>
      <c r="H1325">
        <v>1526007400</v>
      </c>
      <c r="I1325">
        <v>1000007695</v>
      </c>
      <c r="L1325" t="s">
        <v>367</v>
      </c>
      <c r="M1325">
        <v>5100001939</v>
      </c>
      <c r="N1325" t="s">
        <v>155</v>
      </c>
      <c r="O1325" t="s">
        <v>156</v>
      </c>
      <c r="P1325">
        <v>4110059608</v>
      </c>
      <c r="Q1325" t="s">
        <v>240</v>
      </c>
      <c r="R1325">
        <v>5000</v>
      </c>
      <c r="S1325" t="s">
        <v>166</v>
      </c>
      <c r="V1325" t="s">
        <v>167</v>
      </c>
      <c r="W1325">
        <v>1502020129</v>
      </c>
      <c r="X1325" t="s">
        <v>241</v>
      </c>
      <c r="Y1325" t="str">
        <f>VLOOKUP(W1325,Sheet4!$A$5:$B$72,2,0)</f>
        <v>RE STYLING</v>
      </c>
      <c r="Z1325">
        <v>87082900</v>
      </c>
      <c r="AA1325">
        <v>15</v>
      </c>
      <c r="AB1325" t="s">
        <v>159</v>
      </c>
      <c r="AC1325" s="24">
        <v>6500.18</v>
      </c>
      <c r="AD1325" t="s">
        <v>160</v>
      </c>
      <c r="AE1325" s="24">
        <v>97502.7</v>
      </c>
      <c r="AF1325">
        <v>0</v>
      </c>
      <c r="AG1325" s="24">
        <v>97502.7</v>
      </c>
      <c r="AH1325">
        <v>0</v>
      </c>
      <c r="AI1325">
        <v>0</v>
      </c>
      <c r="AJ1325">
        <v>0</v>
      </c>
      <c r="AK1325">
        <v>0</v>
      </c>
      <c r="AL1325" s="24">
        <v>97502.7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 s="24">
        <v>97502.7</v>
      </c>
      <c r="AV1325">
        <v>0</v>
      </c>
      <c r="AW1325">
        <v>0</v>
      </c>
      <c r="AX1325">
        <v>311000</v>
      </c>
      <c r="AY1325" t="s">
        <v>161</v>
      </c>
      <c r="AZ1325">
        <v>0</v>
      </c>
      <c r="BA1325">
        <v>0</v>
      </c>
      <c r="BB1325">
        <v>0</v>
      </c>
      <c r="BC1325" t="s">
        <v>242</v>
      </c>
      <c r="BD1325">
        <v>1509</v>
      </c>
      <c r="BE1325" t="s">
        <v>169</v>
      </c>
      <c r="BF1325" t="s">
        <v>163</v>
      </c>
      <c r="BG1325" t="s">
        <v>164</v>
      </c>
    </row>
    <row r="1326" spans="1:59">
      <c r="A1326">
        <v>1115</v>
      </c>
      <c r="B1326">
        <v>1115</v>
      </c>
      <c r="C1326">
        <v>10</v>
      </c>
      <c r="D1326">
        <v>2</v>
      </c>
      <c r="E1326" t="s">
        <v>152</v>
      </c>
      <c r="F1326" t="s">
        <v>153</v>
      </c>
      <c r="G1326" t="s">
        <v>154</v>
      </c>
      <c r="H1326">
        <v>1526007401</v>
      </c>
      <c r="I1326">
        <v>1000007696</v>
      </c>
      <c r="L1326" t="s">
        <v>367</v>
      </c>
      <c r="M1326">
        <v>5100001939</v>
      </c>
      <c r="N1326" t="s">
        <v>155</v>
      </c>
      <c r="O1326" t="s">
        <v>156</v>
      </c>
      <c r="P1326">
        <v>4110059608</v>
      </c>
      <c r="Q1326" t="s">
        <v>240</v>
      </c>
      <c r="R1326">
        <v>5000</v>
      </c>
      <c r="S1326" t="s">
        <v>166</v>
      </c>
      <c r="V1326" t="s">
        <v>167</v>
      </c>
      <c r="W1326">
        <v>1502020129</v>
      </c>
      <c r="X1326" t="s">
        <v>241</v>
      </c>
      <c r="Y1326" t="str">
        <f>VLOOKUP(W1326,Sheet4!$A$5:$B$72,2,0)</f>
        <v>RE STYLING</v>
      </c>
      <c r="Z1326">
        <v>87082900</v>
      </c>
      <c r="AA1326">
        <v>15</v>
      </c>
      <c r="AB1326" t="s">
        <v>159</v>
      </c>
      <c r="AC1326" s="24">
        <v>6500.18</v>
      </c>
      <c r="AD1326" t="s">
        <v>160</v>
      </c>
      <c r="AE1326" s="24">
        <v>97502.7</v>
      </c>
      <c r="AF1326">
        <v>0</v>
      </c>
      <c r="AG1326" s="24">
        <v>97502.7</v>
      </c>
      <c r="AH1326">
        <v>0</v>
      </c>
      <c r="AI1326">
        <v>0</v>
      </c>
      <c r="AJ1326">
        <v>0</v>
      </c>
      <c r="AK1326">
        <v>0</v>
      </c>
      <c r="AL1326" s="24">
        <v>97502.7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 s="24">
        <v>97502.7</v>
      </c>
      <c r="AV1326">
        <v>0</v>
      </c>
      <c r="AW1326">
        <v>0</v>
      </c>
      <c r="AX1326">
        <v>311000</v>
      </c>
      <c r="AY1326" t="s">
        <v>161</v>
      </c>
      <c r="AZ1326">
        <v>0</v>
      </c>
      <c r="BA1326">
        <v>0</v>
      </c>
      <c r="BB1326">
        <v>0</v>
      </c>
      <c r="BC1326" t="s">
        <v>242</v>
      </c>
      <c r="BD1326">
        <v>1509</v>
      </c>
      <c r="BE1326" t="s">
        <v>169</v>
      </c>
      <c r="BF1326" t="s">
        <v>163</v>
      </c>
      <c r="BG1326" t="s">
        <v>164</v>
      </c>
    </row>
    <row r="1327" spans="1:59">
      <c r="A1327">
        <v>1115</v>
      </c>
      <c r="B1327">
        <v>1115</v>
      </c>
      <c r="C1327">
        <v>10</v>
      </c>
      <c r="D1327">
        <v>2</v>
      </c>
      <c r="E1327" t="s">
        <v>152</v>
      </c>
      <c r="F1327" t="s">
        <v>153</v>
      </c>
      <c r="G1327" t="s">
        <v>154</v>
      </c>
      <c r="H1327">
        <v>1526007402</v>
      </c>
      <c r="I1327">
        <v>1000007697</v>
      </c>
      <c r="L1327" t="s">
        <v>367</v>
      </c>
      <c r="M1327">
        <v>5100001939</v>
      </c>
      <c r="N1327" t="s">
        <v>155</v>
      </c>
      <c r="O1327" t="s">
        <v>156</v>
      </c>
      <c r="P1327">
        <v>4110059608</v>
      </c>
      <c r="Q1327" t="s">
        <v>240</v>
      </c>
      <c r="R1327">
        <v>5000</v>
      </c>
      <c r="S1327" t="s">
        <v>166</v>
      </c>
      <c r="V1327" t="s">
        <v>167</v>
      </c>
      <c r="W1327">
        <v>1502020129</v>
      </c>
      <c r="X1327" t="s">
        <v>241</v>
      </c>
      <c r="Y1327" t="str">
        <f>VLOOKUP(W1327,Sheet4!$A$5:$B$72,2,0)</f>
        <v>RE STYLING</v>
      </c>
      <c r="Z1327">
        <v>87082900</v>
      </c>
      <c r="AA1327">
        <v>15</v>
      </c>
      <c r="AB1327" t="s">
        <v>159</v>
      </c>
      <c r="AC1327" s="24">
        <v>6500.18</v>
      </c>
      <c r="AD1327" t="s">
        <v>160</v>
      </c>
      <c r="AE1327" s="24">
        <v>97502.7</v>
      </c>
      <c r="AF1327">
        <v>0</v>
      </c>
      <c r="AG1327" s="24">
        <v>97502.7</v>
      </c>
      <c r="AH1327">
        <v>0</v>
      </c>
      <c r="AI1327">
        <v>0</v>
      </c>
      <c r="AJ1327">
        <v>0</v>
      </c>
      <c r="AK1327">
        <v>0</v>
      </c>
      <c r="AL1327" s="24">
        <v>97502.7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 s="24">
        <v>97502.7</v>
      </c>
      <c r="AV1327">
        <v>0</v>
      </c>
      <c r="AW1327">
        <v>0</v>
      </c>
      <c r="AX1327">
        <v>311000</v>
      </c>
      <c r="AY1327" t="s">
        <v>161</v>
      </c>
      <c r="AZ1327">
        <v>0</v>
      </c>
      <c r="BA1327">
        <v>0</v>
      </c>
      <c r="BB1327">
        <v>0</v>
      </c>
      <c r="BC1327" t="s">
        <v>242</v>
      </c>
      <c r="BD1327">
        <v>1509</v>
      </c>
      <c r="BE1327" t="s">
        <v>169</v>
      </c>
      <c r="BF1327" t="s">
        <v>163</v>
      </c>
      <c r="BG1327" t="s">
        <v>164</v>
      </c>
    </row>
    <row r="1328" spans="1:59">
      <c r="A1328">
        <v>1115</v>
      </c>
      <c r="B1328">
        <v>1115</v>
      </c>
      <c r="C1328">
        <v>10</v>
      </c>
      <c r="D1328">
        <v>2</v>
      </c>
      <c r="E1328" t="s">
        <v>152</v>
      </c>
      <c r="F1328" t="s">
        <v>153</v>
      </c>
      <c r="G1328" t="s">
        <v>154</v>
      </c>
      <c r="H1328">
        <v>1526007403</v>
      </c>
      <c r="I1328">
        <v>1000007698</v>
      </c>
      <c r="L1328" t="s">
        <v>367</v>
      </c>
      <c r="M1328">
        <v>5100001939</v>
      </c>
      <c r="N1328" t="s">
        <v>155</v>
      </c>
      <c r="O1328" t="s">
        <v>156</v>
      </c>
      <c r="P1328">
        <v>4110059608</v>
      </c>
      <c r="Q1328" t="s">
        <v>240</v>
      </c>
      <c r="R1328">
        <v>5000</v>
      </c>
      <c r="S1328" t="s">
        <v>166</v>
      </c>
      <c r="V1328" t="s">
        <v>167</v>
      </c>
      <c r="W1328">
        <v>1502020129</v>
      </c>
      <c r="X1328" t="s">
        <v>241</v>
      </c>
      <c r="Y1328" t="str">
        <f>VLOOKUP(W1328,Sheet4!$A$5:$B$72,2,0)</f>
        <v>RE STYLING</v>
      </c>
      <c r="Z1328">
        <v>87082900</v>
      </c>
      <c r="AA1328">
        <v>15</v>
      </c>
      <c r="AB1328" t="s">
        <v>159</v>
      </c>
      <c r="AC1328" s="24">
        <v>6500.18</v>
      </c>
      <c r="AD1328" t="s">
        <v>160</v>
      </c>
      <c r="AE1328" s="24">
        <v>97502.7</v>
      </c>
      <c r="AF1328">
        <v>0</v>
      </c>
      <c r="AG1328" s="24">
        <v>97502.7</v>
      </c>
      <c r="AH1328">
        <v>0</v>
      </c>
      <c r="AI1328">
        <v>0</v>
      </c>
      <c r="AJ1328">
        <v>0</v>
      </c>
      <c r="AK1328">
        <v>0</v>
      </c>
      <c r="AL1328" s="24">
        <v>97502.7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 s="24">
        <v>97502.7</v>
      </c>
      <c r="AV1328">
        <v>0</v>
      </c>
      <c r="AW1328">
        <v>0</v>
      </c>
      <c r="AX1328">
        <v>311000</v>
      </c>
      <c r="AY1328" t="s">
        <v>161</v>
      </c>
      <c r="AZ1328">
        <v>0</v>
      </c>
      <c r="BA1328">
        <v>0</v>
      </c>
      <c r="BB1328">
        <v>0</v>
      </c>
      <c r="BC1328" t="s">
        <v>242</v>
      </c>
      <c r="BD1328">
        <v>1509</v>
      </c>
      <c r="BE1328" t="s">
        <v>169</v>
      </c>
      <c r="BF1328" t="s">
        <v>163</v>
      </c>
      <c r="BG1328" t="s">
        <v>164</v>
      </c>
    </row>
    <row r="1329" spans="1:59">
      <c r="A1329">
        <v>1115</v>
      </c>
      <c r="B1329">
        <v>1115</v>
      </c>
      <c r="C1329">
        <v>10</v>
      </c>
      <c r="D1329">
        <v>2</v>
      </c>
      <c r="E1329" t="s">
        <v>152</v>
      </c>
      <c r="F1329" t="s">
        <v>153</v>
      </c>
      <c r="G1329" t="s">
        <v>154</v>
      </c>
      <c r="H1329">
        <v>1526007404</v>
      </c>
      <c r="I1329">
        <v>1000007699</v>
      </c>
      <c r="L1329" t="s">
        <v>367</v>
      </c>
      <c r="M1329">
        <v>5100001939</v>
      </c>
      <c r="N1329" t="s">
        <v>155</v>
      </c>
      <c r="O1329" t="s">
        <v>156</v>
      </c>
      <c r="P1329">
        <v>4110059608</v>
      </c>
      <c r="Q1329" t="s">
        <v>240</v>
      </c>
      <c r="R1329">
        <v>5000</v>
      </c>
      <c r="S1329" t="s">
        <v>166</v>
      </c>
      <c r="V1329" t="s">
        <v>167</v>
      </c>
      <c r="W1329">
        <v>1502020129</v>
      </c>
      <c r="X1329" t="s">
        <v>241</v>
      </c>
      <c r="Y1329" t="str">
        <f>VLOOKUP(W1329,Sheet4!$A$5:$B$72,2,0)</f>
        <v>RE STYLING</v>
      </c>
      <c r="Z1329">
        <v>87082900</v>
      </c>
      <c r="AA1329">
        <v>6</v>
      </c>
      <c r="AB1329" t="s">
        <v>159</v>
      </c>
      <c r="AC1329" s="24">
        <v>6500.18</v>
      </c>
      <c r="AD1329" t="s">
        <v>160</v>
      </c>
      <c r="AE1329" s="24">
        <v>39001.08</v>
      </c>
      <c r="AF1329">
        <v>0</v>
      </c>
      <c r="AG1329" s="24">
        <v>39001.08</v>
      </c>
      <c r="AH1329">
        <v>0</v>
      </c>
      <c r="AI1329">
        <v>0</v>
      </c>
      <c r="AJ1329">
        <v>0</v>
      </c>
      <c r="AK1329">
        <v>0</v>
      </c>
      <c r="AL1329" s="24">
        <v>39001.08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 s="24">
        <v>39001.08</v>
      </c>
      <c r="AV1329">
        <v>0</v>
      </c>
      <c r="AW1329">
        <v>0</v>
      </c>
      <c r="AX1329">
        <v>311000</v>
      </c>
      <c r="AY1329" t="s">
        <v>161</v>
      </c>
      <c r="AZ1329">
        <v>0</v>
      </c>
      <c r="BA1329">
        <v>0</v>
      </c>
      <c r="BB1329">
        <v>0</v>
      </c>
      <c r="BC1329" t="s">
        <v>242</v>
      </c>
      <c r="BD1329">
        <v>1509</v>
      </c>
      <c r="BE1329" t="s">
        <v>169</v>
      </c>
      <c r="BF1329" t="s">
        <v>163</v>
      </c>
      <c r="BG1329" t="s">
        <v>164</v>
      </c>
    </row>
    <row r="1330" spans="1:59">
      <c r="A1330">
        <v>1115</v>
      </c>
      <c r="B1330">
        <v>1115</v>
      </c>
      <c r="C1330">
        <v>10</v>
      </c>
      <c r="D1330">
        <v>2</v>
      </c>
      <c r="E1330" t="s">
        <v>152</v>
      </c>
      <c r="F1330" t="s">
        <v>153</v>
      </c>
      <c r="G1330" t="s">
        <v>154</v>
      </c>
      <c r="H1330">
        <v>1526007405</v>
      </c>
      <c r="I1330">
        <v>1000007700</v>
      </c>
      <c r="L1330" t="s">
        <v>367</v>
      </c>
      <c r="M1330">
        <v>5100001666</v>
      </c>
      <c r="N1330" t="s">
        <v>155</v>
      </c>
      <c r="O1330" t="s">
        <v>156</v>
      </c>
      <c r="P1330">
        <v>4110027035</v>
      </c>
      <c r="Q1330" t="s">
        <v>225</v>
      </c>
      <c r="R1330">
        <v>5000</v>
      </c>
      <c r="S1330" t="s">
        <v>166</v>
      </c>
      <c r="V1330" t="s">
        <v>167</v>
      </c>
      <c r="W1330">
        <v>1502020105</v>
      </c>
      <c r="X1330" t="s">
        <v>226</v>
      </c>
      <c r="Y1330" t="str">
        <f>VLOOKUP(W1330,Sheet4!$A$5:$B$72,2,0)</f>
        <v>RE STYLING</v>
      </c>
      <c r="Z1330">
        <v>87082900</v>
      </c>
      <c r="AA1330">
        <v>9</v>
      </c>
      <c r="AB1330" t="s">
        <v>159</v>
      </c>
      <c r="AC1330" s="24">
        <v>6570.77</v>
      </c>
      <c r="AD1330" t="s">
        <v>160</v>
      </c>
      <c r="AE1330" s="24">
        <v>59136.93</v>
      </c>
      <c r="AF1330">
        <v>0</v>
      </c>
      <c r="AG1330" s="24">
        <v>59136.93</v>
      </c>
      <c r="AH1330">
        <v>0</v>
      </c>
      <c r="AI1330">
        <v>0</v>
      </c>
      <c r="AJ1330">
        <v>0</v>
      </c>
      <c r="AK1330">
        <v>0</v>
      </c>
      <c r="AL1330" s="24">
        <v>59136.93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 s="24">
        <v>59136.93</v>
      </c>
      <c r="AV1330">
        <v>0</v>
      </c>
      <c r="AW1330">
        <v>0</v>
      </c>
      <c r="AX1330">
        <v>311000</v>
      </c>
      <c r="AY1330" t="s">
        <v>161</v>
      </c>
      <c r="AZ1330">
        <v>49.75</v>
      </c>
      <c r="BA1330">
        <v>49.75</v>
      </c>
      <c r="BB1330">
        <v>0</v>
      </c>
      <c r="BC1330" t="s">
        <v>227</v>
      </c>
      <c r="BD1330">
        <v>1509</v>
      </c>
      <c r="BE1330" t="s">
        <v>169</v>
      </c>
      <c r="BF1330" t="s">
        <v>163</v>
      </c>
      <c r="BG1330" t="s">
        <v>164</v>
      </c>
    </row>
    <row r="1331" spans="1:59">
      <c r="A1331">
        <v>1115</v>
      </c>
      <c r="B1331">
        <v>1115</v>
      </c>
      <c r="C1331">
        <v>10</v>
      </c>
      <c r="D1331">
        <v>2</v>
      </c>
      <c r="E1331" t="s">
        <v>152</v>
      </c>
      <c r="F1331" t="s">
        <v>153</v>
      </c>
      <c r="G1331" t="s">
        <v>154</v>
      </c>
      <c r="H1331">
        <v>1526007406</v>
      </c>
      <c r="I1331">
        <v>1000007701</v>
      </c>
      <c r="L1331" t="s">
        <v>367</v>
      </c>
      <c r="M1331">
        <v>5100001100</v>
      </c>
      <c r="N1331" t="s">
        <v>155</v>
      </c>
      <c r="O1331" t="s">
        <v>156</v>
      </c>
      <c r="P1331">
        <v>4110004652</v>
      </c>
      <c r="Q1331" t="s">
        <v>177</v>
      </c>
      <c r="R1331">
        <v>5000</v>
      </c>
      <c r="S1331" t="s">
        <v>166</v>
      </c>
      <c r="V1331" t="s">
        <v>167</v>
      </c>
      <c r="W1331">
        <v>1502040125</v>
      </c>
      <c r="X1331" t="s">
        <v>52</v>
      </c>
      <c r="Y1331" t="str">
        <f>VLOOKUP(W1331,Sheet4!$A$5:$B$72,2,0)</f>
        <v>REAR COVER</v>
      </c>
      <c r="Z1331">
        <v>87082900</v>
      </c>
      <c r="AA1331">
        <v>55</v>
      </c>
      <c r="AB1331" t="s">
        <v>159</v>
      </c>
      <c r="AC1331">
        <v>160.44999999999999</v>
      </c>
      <c r="AD1331" t="s">
        <v>160</v>
      </c>
      <c r="AE1331" s="24">
        <v>8824.75</v>
      </c>
      <c r="AF1331">
        <v>0</v>
      </c>
      <c r="AG1331" s="24">
        <v>8824.75</v>
      </c>
      <c r="AH1331">
        <v>0</v>
      </c>
      <c r="AI1331">
        <v>0</v>
      </c>
      <c r="AJ1331">
        <v>0</v>
      </c>
      <c r="AK1331">
        <v>0</v>
      </c>
      <c r="AL1331" s="24">
        <v>8824.75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 s="24">
        <v>8824.75</v>
      </c>
      <c r="AV1331">
        <v>0</v>
      </c>
      <c r="AW1331">
        <v>0</v>
      </c>
      <c r="AX1331">
        <v>311000</v>
      </c>
      <c r="AY1331" t="s">
        <v>161</v>
      </c>
      <c r="AZ1331">
        <v>1.1850000000000001</v>
      </c>
      <c r="BA1331">
        <v>1.1850000000000001</v>
      </c>
      <c r="BB1331">
        <v>0</v>
      </c>
      <c r="BC1331" t="s">
        <v>233</v>
      </c>
      <c r="BD1331">
        <v>1511</v>
      </c>
      <c r="BE1331" t="s">
        <v>174</v>
      </c>
      <c r="BF1331" t="s">
        <v>163</v>
      </c>
      <c r="BG1331" t="s">
        <v>164</v>
      </c>
    </row>
    <row r="1332" spans="1:59">
      <c r="A1332">
        <v>1115</v>
      </c>
      <c r="B1332">
        <v>1115</v>
      </c>
      <c r="C1332">
        <v>10</v>
      </c>
      <c r="D1332">
        <v>2</v>
      </c>
      <c r="E1332" t="s">
        <v>152</v>
      </c>
      <c r="F1332" t="s">
        <v>153</v>
      </c>
      <c r="G1332" t="s">
        <v>154</v>
      </c>
      <c r="H1332">
        <v>1526007391</v>
      </c>
      <c r="I1332">
        <v>1000007686</v>
      </c>
      <c r="L1332" t="s">
        <v>367</v>
      </c>
      <c r="M1332">
        <v>5100001939</v>
      </c>
      <c r="N1332" t="s">
        <v>155</v>
      </c>
      <c r="O1332" t="s">
        <v>156</v>
      </c>
      <c r="P1332">
        <v>4110059608</v>
      </c>
      <c r="Q1332" t="s">
        <v>240</v>
      </c>
      <c r="R1332">
        <v>5000</v>
      </c>
      <c r="S1332" t="s">
        <v>166</v>
      </c>
      <c r="V1332" t="s">
        <v>167</v>
      </c>
      <c r="W1332">
        <v>1502020129</v>
      </c>
      <c r="X1332" t="s">
        <v>241</v>
      </c>
      <c r="Y1332" t="str">
        <f>VLOOKUP(W1332,Sheet4!$A$5:$B$72,2,0)</f>
        <v>RE STYLING</v>
      </c>
      <c r="Z1332">
        <v>87082900</v>
      </c>
      <c r="AA1332">
        <v>3</v>
      </c>
      <c r="AB1332" t="s">
        <v>159</v>
      </c>
      <c r="AC1332" s="24">
        <v>6500.18</v>
      </c>
      <c r="AD1332" t="s">
        <v>160</v>
      </c>
      <c r="AE1332" s="24">
        <v>19500.54</v>
      </c>
      <c r="AF1332">
        <v>0</v>
      </c>
      <c r="AG1332" s="24">
        <v>19500.54</v>
      </c>
      <c r="AH1332">
        <v>0</v>
      </c>
      <c r="AI1332">
        <v>0</v>
      </c>
      <c r="AJ1332">
        <v>0</v>
      </c>
      <c r="AK1332">
        <v>0</v>
      </c>
      <c r="AL1332" s="24">
        <v>19500.54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 s="24">
        <v>19500.54</v>
      </c>
      <c r="AV1332">
        <v>0</v>
      </c>
      <c r="AW1332">
        <v>0</v>
      </c>
      <c r="AX1332">
        <v>311000</v>
      </c>
      <c r="AY1332" t="s">
        <v>161</v>
      </c>
      <c r="AZ1332">
        <v>0</v>
      </c>
      <c r="BA1332">
        <v>0</v>
      </c>
      <c r="BB1332">
        <v>0</v>
      </c>
      <c r="BC1332" t="s">
        <v>242</v>
      </c>
      <c r="BD1332">
        <v>1509</v>
      </c>
      <c r="BE1332" t="s">
        <v>169</v>
      </c>
      <c r="BF1332" t="s">
        <v>163</v>
      </c>
      <c r="BG1332" t="s">
        <v>164</v>
      </c>
    </row>
    <row r="1333" spans="1:59">
      <c r="A1333">
        <v>1115</v>
      </c>
      <c r="B1333">
        <v>1115</v>
      </c>
      <c r="C1333">
        <v>10</v>
      </c>
      <c r="D1333">
        <v>2</v>
      </c>
      <c r="E1333" t="s">
        <v>152</v>
      </c>
      <c r="F1333" t="s">
        <v>153</v>
      </c>
      <c r="G1333" t="s">
        <v>154</v>
      </c>
      <c r="H1333">
        <v>1526007390</v>
      </c>
      <c r="I1333">
        <v>1000007685</v>
      </c>
      <c r="L1333" t="s">
        <v>367</v>
      </c>
      <c r="M1333">
        <v>5100001666</v>
      </c>
      <c r="N1333" t="s">
        <v>155</v>
      </c>
      <c r="O1333" t="s">
        <v>156</v>
      </c>
      <c r="P1333">
        <v>4110027035</v>
      </c>
      <c r="Q1333" t="s">
        <v>225</v>
      </c>
      <c r="R1333">
        <v>5000</v>
      </c>
      <c r="S1333" t="s">
        <v>166</v>
      </c>
      <c r="V1333" t="s">
        <v>167</v>
      </c>
      <c r="W1333">
        <v>1502020105</v>
      </c>
      <c r="X1333" t="s">
        <v>226</v>
      </c>
      <c r="Y1333" t="str">
        <f>VLOOKUP(W1333,Sheet4!$A$5:$B$72,2,0)</f>
        <v>RE STYLING</v>
      </c>
      <c r="Z1333">
        <v>87082900</v>
      </c>
      <c r="AA1333">
        <v>12</v>
      </c>
      <c r="AB1333" t="s">
        <v>159</v>
      </c>
      <c r="AC1333" s="24">
        <v>6570.77</v>
      </c>
      <c r="AD1333" t="s">
        <v>160</v>
      </c>
      <c r="AE1333" s="24">
        <v>78849.240000000005</v>
      </c>
      <c r="AF1333">
        <v>0</v>
      </c>
      <c r="AG1333" s="24">
        <v>78849.240000000005</v>
      </c>
      <c r="AH1333">
        <v>0</v>
      </c>
      <c r="AI1333">
        <v>0</v>
      </c>
      <c r="AJ1333">
        <v>0</v>
      </c>
      <c r="AK1333">
        <v>0</v>
      </c>
      <c r="AL1333" s="24">
        <v>78849.240000000005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 s="24">
        <v>78849.240000000005</v>
      </c>
      <c r="AV1333">
        <v>0</v>
      </c>
      <c r="AW1333">
        <v>0</v>
      </c>
      <c r="AX1333">
        <v>311000</v>
      </c>
      <c r="AY1333" t="s">
        <v>161</v>
      </c>
      <c r="AZ1333">
        <v>49.75</v>
      </c>
      <c r="BA1333">
        <v>49.75</v>
      </c>
      <c r="BB1333">
        <v>0</v>
      </c>
      <c r="BC1333" t="s">
        <v>227</v>
      </c>
      <c r="BD1333">
        <v>1509</v>
      </c>
      <c r="BE1333" t="s">
        <v>169</v>
      </c>
      <c r="BF1333" t="s">
        <v>163</v>
      </c>
      <c r="BG1333" t="s">
        <v>164</v>
      </c>
    </row>
    <row r="1334" spans="1:59">
      <c r="A1334">
        <v>1115</v>
      </c>
      <c r="B1334">
        <v>1115</v>
      </c>
      <c r="C1334">
        <v>10</v>
      </c>
      <c r="D1334">
        <v>2</v>
      </c>
      <c r="E1334" t="s">
        <v>152</v>
      </c>
      <c r="F1334" t="s">
        <v>153</v>
      </c>
      <c r="G1334" t="s">
        <v>154</v>
      </c>
      <c r="H1334">
        <v>1526007389</v>
      </c>
      <c r="I1334">
        <v>1000007684</v>
      </c>
      <c r="L1334" t="s">
        <v>367</v>
      </c>
      <c r="M1334">
        <v>5100001603</v>
      </c>
      <c r="N1334" t="s">
        <v>155</v>
      </c>
      <c r="O1334" t="s">
        <v>156</v>
      </c>
      <c r="P1334">
        <v>4110025468</v>
      </c>
      <c r="Q1334" t="s">
        <v>165</v>
      </c>
      <c r="R1334">
        <v>5000</v>
      </c>
      <c r="S1334" t="s">
        <v>166</v>
      </c>
      <c r="V1334" t="s">
        <v>167</v>
      </c>
      <c r="W1334">
        <v>1502020102</v>
      </c>
      <c r="X1334" t="s">
        <v>58</v>
      </c>
      <c r="Y1334" t="str">
        <f>VLOOKUP(W1334,Sheet4!$A$5:$B$72,2,0)</f>
        <v>MAXIMA HD</v>
      </c>
      <c r="Z1334">
        <v>87082900</v>
      </c>
      <c r="AA1334">
        <v>8</v>
      </c>
      <c r="AB1334" t="s">
        <v>159</v>
      </c>
      <c r="AC1334" s="24">
        <v>8593.51</v>
      </c>
      <c r="AD1334" t="s">
        <v>160</v>
      </c>
      <c r="AE1334" s="24">
        <v>68748.08</v>
      </c>
      <c r="AF1334">
        <v>0</v>
      </c>
      <c r="AG1334" s="24">
        <v>68748.08</v>
      </c>
      <c r="AH1334">
        <v>0</v>
      </c>
      <c r="AI1334">
        <v>0</v>
      </c>
      <c r="AJ1334">
        <v>0</v>
      </c>
      <c r="AK1334">
        <v>0</v>
      </c>
      <c r="AL1334" s="24">
        <v>68748.08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 s="24">
        <v>68748.08</v>
      </c>
      <c r="AV1334">
        <v>0</v>
      </c>
      <c r="AW1334">
        <v>0</v>
      </c>
      <c r="AX1334">
        <v>311000</v>
      </c>
      <c r="AY1334" t="s">
        <v>161</v>
      </c>
      <c r="AZ1334">
        <v>93.34</v>
      </c>
      <c r="BA1334">
        <v>75.430000000000007</v>
      </c>
      <c r="BB1334">
        <v>17.91</v>
      </c>
      <c r="BC1334" t="s">
        <v>168</v>
      </c>
      <c r="BD1334">
        <v>1509</v>
      </c>
      <c r="BE1334" t="s">
        <v>169</v>
      </c>
      <c r="BF1334">
        <v>5094273531</v>
      </c>
      <c r="BG1334" t="s">
        <v>367</v>
      </c>
    </row>
    <row r="1335" spans="1:59">
      <c r="A1335">
        <v>1115</v>
      </c>
      <c r="B1335">
        <v>1115</v>
      </c>
      <c r="C1335">
        <v>10</v>
      </c>
      <c r="D1335">
        <v>2</v>
      </c>
      <c r="E1335" t="s">
        <v>152</v>
      </c>
      <c r="F1335" t="s">
        <v>153</v>
      </c>
      <c r="G1335" t="s">
        <v>154</v>
      </c>
      <c r="H1335">
        <v>1526007388</v>
      </c>
      <c r="I1335">
        <v>1000007683</v>
      </c>
      <c r="L1335" t="s">
        <v>367</v>
      </c>
      <c r="M1335">
        <v>5100001939</v>
      </c>
      <c r="N1335" t="s">
        <v>155</v>
      </c>
      <c r="O1335" t="s">
        <v>156</v>
      </c>
      <c r="P1335">
        <v>4110059608</v>
      </c>
      <c r="Q1335" t="s">
        <v>240</v>
      </c>
      <c r="R1335">
        <v>5000</v>
      </c>
      <c r="S1335" t="s">
        <v>166</v>
      </c>
      <c r="V1335" t="s">
        <v>167</v>
      </c>
      <c r="W1335">
        <v>1502020129</v>
      </c>
      <c r="X1335" t="s">
        <v>241</v>
      </c>
      <c r="Y1335" t="str">
        <f>VLOOKUP(W1335,Sheet4!$A$5:$B$72,2,0)</f>
        <v>RE STYLING</v>
      </c>
      <c r="Z1335">
        <v>87082900</v>
      </c>
      <c r="AA1335">
        <v>15</v>
      </c>
      <c r="AB1335" t="s">
        <v>159</v>
      </c>
      <c r="AC1335" s="24">
        <v>6500.18</v>
      </c>
      <c r="AD1335" t="s">
        <v>160</v>
      </c>
      <c r="AE1335" s="24">
        <v>97502.7</v>
      </c>
      <c r="AF1335">
        <v>0</v>
      </c>
      <c r="AG1335" s="24">
        <v>97502.7</v>
      </c>
      <c r="AH1335">
        <v>0</v>
      </c>
      <c r="AI1335">
        <v>0</v>
      </c>
      <c r="AJ1335">
        <v>0</v>
      </c>
      <c r="AK1335">
        <v>0</v>
      </c>
      <c r="AL1335" s="24">
        <v>97502.7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 s="24">
        <v>97502.7</v>
      </c>
      <c r="AV1335">
        <v>0</v>
      </c>
      <c r="AW1335">
        <v>0</v>
      </c>
      <c r="AX1335">
        <v>311000</v>
      </c>
      <c r="AY1335" t="s">
        <v>161</v>
      </c>
      <c r="AZ1335">
        <v>0</v>
      </c>
      <c r="BA1335">
        <v>0</v>
      </c>
      <c r="BB1335">
        <v>0</v>
      </c>
      <c r="BC1335" t="s">
        <v>242</v>
      </c>
      <c r="BD1335">
        <v>1509</v>
      </c>
      <c r="BE1335" t="s">
        <v>169</v>
      </c>
      <c r="BF1335" t="s">
        <v>163</v>
      </c>
      <c r="BG1335" t="s">
        <v>164</v>
      </c>
    </row>
    <row r="1336" spans="1:59">
      <c r="A1336">
        <v>1115</v>
      </c>
      <c r="B1336">
        <v>1115</v>
      </c>
      <c r="C1336">
        <v>10</v>
      </c>
      <c r="D1336">
        <v>2</v>
      </c>
      <c r="E1336" t="s">
        <v>152</v>
      </c>
      <c r="F1336" t="s">
        <v>153</v>
      </c>
      <c r="G1336" t="s">
        <v>154</v>
      </c>
      <c r="H1336">
        <v>1526007387</v>
      </c>
      <c r="I1336">
        <v>1000007682</v>
      </c>
      <c r="L1336" t="s">
        <v>367</v>
      </c>
      <c r="M1336">
        <v>5100001939</v>
      </c>
      <c r="N1336" t="s">
        <v>155</v>
      </c>
      <c r="O1336" t="s">
        <v>156</v>
      </c>
      <c r="P1336">
        <v>4110059608</v>
      </c>
      <c r="Q1336" t="s">
        <v>240</v>
      </c>
      <c r="R1336">
        <v>5000</v>
      </c>
      <c r="S1336" t="s">
        <v>166</v>
      </c>
      <c r="V1336" t="s">
        <v>167</v>
      </c>
      <c r="W1336">
        <v>1502020129</v>
      </c>
      <c r="X1336" t="s">
        <v>241</v>
      </c>
      <c r="Y1336" t="str">
        <f>VLOOKUP(W1336,Sheet4!$A$5:$B$72,2,0)</f>
        <v>RE STYLING</v>
      </c>
      <c r="Z1336">
        <v>87082900</v>
      </c>
      <c r="AA1336">
        <v>15</v>
      </c>
      <c r="AB1336" t="s">
        <v>159</v>
      </c>
      <c r="AC1336" s="24">
        <v>6500.18</v>
      </c>
      <c r="AD1336" t="s">
        <v>160</v>
      </c>
      <c r="AE1336" s="24">
        <v>97502.7</v>
      </c>
      <c r="AF1336">
        <v>0</v>
      </c>
      <c r="AG1336" s="24">
        <v>97502.7</v>
      </c>
      <c r="AH1336">
        <v>0</v>
      </c>
      <c r="AI1336">
        <v>0</v>
      </c>
      <c r="AJ1336">
        <v>0</v>
      </c>
      <c r="AK1336">
        <v>0</v>
      </c>
      <c r="AL1336" s="24">
        <v>97502.7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 s="24">
        <v>97502.7</v>
      </c>
      <c r="AV1336">
        <v>0</v>
      </c>
      <c r="AW1336">
        <v>0</v>
      </c>
      <c r="AX1336">
        <v>311000</v>
      </c>
      <c r="AY1336" t="s">
        <v>161</v>
      </c>
      <c r="AZ1336">
        <v>0</v>
      </c>
      <c r="BA1336">
        <v>0</v>
      </c>
      <c r="BB1336">
        <v>0</v>
      </c>
      <c r="BC1336" t="s">
        <v>242</v>
      </c>
      <c r="BD1336">
        <v>1509</v>
      </c>
      <c r="BE1336" t="s">
        <v>169</v>
      </c>
      <c r="BF1336" t="s">
        <v>163</v>
      </c>
      <c r="BG1336" t="s">
        <v>164</v>
      </c>
    </row>
    <row r="1337" spans="1:59">
      <c r="A1337">
        <v>1115</v>
      </c>
      <c r="B1337">
        <v>1115</v>
      </c>
      <c r="C1337">
        <v>10</v>
      </c>
      <c r="D1337">
        <v>2</v>
      </c>
      <c r="E1337" t="s">
        <v>152</v>
      </c>
      <c r="F1337" t="s">
        <v>153</v>
      </c>
      <c r="G1337" t="s">
        <v>154</v>
      </c>
      <c r="H1337">
        <v>1526007386</v>
      </c>
      <c r="I1337">
        <v>1000007681</v>
      </c>
      <c r="L1337" t="s">
        <v>367</v>
      </c>
      <c r="M1337">
        <v>5100001928</v>
      </c>
      <c r="N1337" t="s">
        <v>155</v>
      </c>
      <c r="O1337" t="s">
        <v>156</v>
      </c>
      <c r="P1337">
        <v>4110057393</v>
      </c>
      <c r="Q1337" t="s">
        <v>192</v>
      </c>
      <c r="R1337">
        <v>5000</v>
      </c>
      <c r="S1337" t="s">
        <v>166</v>
      </c>
      <c r="V1337" t="s">
        <v>167</v>
      </c>
      <c r="W1337">
        <v>1502020122</v>
      </c>
      <c r="X1337" t="s">
        <v>70</v>
      </c>
      <c r="Y1337" t="str">
        <f>VLOOKUP(W1337,Sheet4!$A$5:$B$72,2,0)</f>
        <v>MAX UG NEW EV</v>
      </c>
      <c r="Z1337">
        <v>87082900</v>
      </c>
      <c r="AA1337">
        <v>10</v>
      </c>
      <c r="AB1337" t="s">
        <v>159</v>
      </c>
      <c r="AC1337" s="24">
        <v>9566.51</v>
      </c>
      <c r="AD1337" t="s">
        <v>160</v>
      </c>
      <c r="AE1337" s="24">
        <v>95665.1</v>
      </c>
      <c r="AF1337">
        <v>0</v>
      </c>
      <c r="AG1337" s="24">
        <v>95665.1</v>
      </c>
      <c r="AH1337">
        <v>0</v>
      </c>
      <c r="AI1337">
        <v>0</v>
      </c>
      <c r="AJ1337">
        <v>0</v>
      </c>
      <c r="AK1337">
        <v>0</v>
      </c>
      <c r="AL1337" s="24">
        <v>95665.1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 s="24">
        <v>95665.1</v>
      </c>
      <c r="AV1337">
        <v>0</v>
      </c>
      <c r="AW1337">
        <v>0</v>
      </c>
      <c r="AX1337">
        <v>311000</v>
      </c>
      <c r="AY1337" t="s">
        <v>161</v>
      </c>
      <c r="AZ1337">
        <v>0</v>
      </c>
      <c r="BA1337">
        <v>61</v>
      </c>
      <c r="BB1337">
        <v>-61</v>
      </c>
      <c r="BC1337" t="s">
        <v>193</v>
      </c>
      <c r="BD1337">
        <v>1509</v>
      </c>
      <c r="BE1337" t="s">
        <v>169</v>
      </c>
      <c r="BF1337">
        <v>5094274764</v>
      </c>
      <c r="BG1337" t="s">
        <v>367</v>
      </c>
    </row>
    <row r="1338" spans="1:59">
      <c r="A1338">
        <v>1115</v>
      </c>
      <c r="B1338">
        <v>1115</v>
      </c>
      <c r="C1338">
        <v>10</v>
      </c>
      <c r="D1338">
        <v>2</v>
      </c>
      <c r="E1338" t="s">
        <v>152</v>
      </c>
      <c r="F1338" t="s">
        <v>153</v>
      </c>
      <c r="G1338" t="s">
        <v>154</v>
      </c>
      <c r="H1338">
        <v>1526007385</v>
      </c>
      <c r="I1338">
        <v>1000007680</v>
      </c>
      <c r="L1338" t="s">
        <v>367</v>
      </c>
      <c r="M1338">
        <v>5100001928</v>
      </c>
      <c r="N1338" t="s">
        <v>155</v>
      </c>
      <c r="O1338" t="s">
        <v>156</v>
      </c>
      <c r="P1338">
        <v>4110057393</v>
      </c>
      <c r="Q1338" t="s">
        <v>192</v>
      </c>
      <c r="R1338">
        <v>5000</v>
      </c>
      <c r="S1338" t="s">
        <v>166</v>
      </c>
      <c r="V1338" t="s">
        <v>167</v>
      </c>
      <c r="W1338">
        <v>1502020122</v>
      </c>
      <c r="X1338" t="s">
        <v>70</v>
      </c>
      <c r="Y1338" t="str">
        <f>VLOOKUP(W1338,Sheet4!$A$5:$B$72,2,0)</f>
        <v>MAX UG NEW EV</v>
      </c>
      <c r="Z1338">
        <v>87082900</v>
      </c>
      <c r="AA1338">
        <v>10</v>
      </c>
      <c r="AB1338" t="s">
        <v>159</v>
      </c>
      <c r="AC1338" s="24">
        <v>9566.51</v>
      </c>
      <c r="AD1338" t="s">
        <v>160</v>
      </c>
      <c r="AE1338" s="24">
        <v>95665.1</v>
      </c>
      <c r="AF1338">
        <v>0</v>
      </c>
      <c r="AG1338" s="24">
        <v>95665.1</v>
      </c>
      <c r="AH1338">
        <v>0</v>
      </c>
      <c r="AI1338">
        <v>0</v>
      </c>
      <c r="AJ1338">
        <v>0</v>
      </c>
      <c r="AK1338">
        <v>0</v>
      </c>
      <c r="AL1338" s="24">
        <v>95665.1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 s="24">
        <v>95665.1</v>
      </c>
      <c r="AV1338">
        <v>0</v>
      </c>
      <c r="AW1338">
        <v>0</v>
      </c>
      <c r="AX1338">
        <v>311000</v>
      </c>
      <c r="AY1338" t="s">
        <v>161</v>
      </c>
      <c r="AZ1338">
        <v>0</v>
      </c>
      <c r="BA1338">
        <v>61</v>
      </c>
      <c r="BB1338">
        <v>-61</v>
      </c>
      <c r="BC1338" t="s">
        <v>193</v>
      </c>
      <c r="BD1338">
        <v>1509</v>
      </c>
      <c r="BE1338" t="s">
        <v>169</v>
      </c>
      <c r="BF1338">
        <v>5094274763</v>
      </c>
      <c r="BG1338" t="s">
        <v>367</v>
      </c>
    </row>
    <row r="1339" spans="1:59">
      <c r="A1339">
        <v>1115</v>
      </c>
      <c r="B1339">
        <v>1115</v>
      </c>
      <c r="C1339">
        <v>10</v>
      </c>
      <c r="D1339">
        <v>2</v>
      </c>
      <c r="E1339" t="s">
        <v>152</v>
      </c>
      <c r="F1339" t="s">
        <v>153</v>
      </c>
      <c r="G1339" t="s">
        <v>154</v>
      </c>
      <c r="H1339">
        <v>1526007384</v>
      </c>
      <c r="I1339">
        <v>1000007679</v>
      </c>
      <c r="L1339" t="s">
        <v>367</v>
      </c>
      <c r="M1339">
        <v>5100001928</v>
      </c>
      <c r="N1339" t="s">
        <v>155</v>
      </c>
      <c r="O1339" t="s">
        <v>156</v>
      </c>
      <c r="P1339">
        <v>4110057393</v>
      </c>
      <c r="Q1339" t="s">
        <v>192</v>
      </c>
      <c r="R1339">
        <v>5000</v>
      </c>
      <c r="S1339" t="s">
        <v>166</v>
      </c>
      <c r="V1339" t="s">
        <v>167</v>
      </c>
      <c r="W1339">
        <v>1502020122</v>
      </c>
      <c r="X1339" t="s">
        <v>70</v>
      </c>
      <c r="Y1339" t="str">
        <f>VLOOKUP(W1339,Sheet4!$A$5:$B$72,2,0)</f>
        <v>MAX UG NEW EV</v>
      </c>
      <c r="Z1339">
        <v>87082900</v>
      </c>
      <c r="AA1339">
        <v>10</v>
      </c>
      <c r="AB1339" t="s">
        <v>159</v>
      </c>
      <c r="AC1339" s="24">
        <v>9566.51</v>
      </c>
      <c r="AD1339" t="s">
        <v>160</v>
      </c>
      <c r="AE1339" s="24">
        <v>95665.1</v>
      </c>
      <c r="AF1339">
        <v>0</v>
      </c>
      <c r="AG1339" s="24">
        <v>95665.1</v>
      </c>
      <c r="AH1339">
        <v>0</v>
      </c>
      <c r="AI1339">
        <v>0</v>
      </c>
      <c r="AJ1339">
        <v>0</v>
      </c>
      <c r="AK1339">
        <v>0</v>
      </c>
      <c r="AL1339" s="24">
        <v>95665.1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 s="24">
        <v>95665.1</v>
      </c>
      <c r="AV1339">
        <v>0</v>
      </c>
      <c r="AW1339">
        <v>0</v>
      </c>
      <c r="AX1339">
        <v>311000</v>
      </c>
      <c r="AY1339" t="s">
        <v>161</v>
      </c>
      <c r="AZ1339">
        <v>0</v>
      </c>
      <c r="BA1339">
        <v>61</v>
      </c>
      <c r="BB1339">
        <v>-61</v>
      </c>
      <c r="BC1339" t="s">
        <v>193</v>
      </c>
      <c r="BD1339">
        <v>1509</v>
      </c>
      <c r="BE1339" t="s">
        <v>169</v>
      </c>
      <c r="BF1339">
        <v>5094274680</v>
      </c>
      <c r="BG1339" t="s">
        <v>367</v>
      </c>
    </row>
    <row r="1340" spans="1:59">
      <c r="A1340">
        <v>1115</v>
      </c>
      <c r="B1340">
        <v>1115</v>
      </c>
      <c r="C1340">
        <v>10</v>
      </c>
      <c r="D1340">
        <v>2</v>
      </c>
      <c r="E1340" t="s">
        <v>152</v>
      </c>
      <c r="F1340" t="s">
        <v>153</v>
      </c>
      <c r="G1340" t="s">
        <v>154</v>
      </c>
      <c r="H1340">
        <v>1526007383</v>
      </c>
      <c r="I1340">
        <v>1000007678</v>
      </c>
      <c r="L1340" t="s">
        <v>367</v>
      </c>
      <c r="M1340">
        <v>5100001928</v>
      </c>
      <c r="N1340" t="s">
        <v>155</v>
      </c>
      <c r="O1340" t="s">
        <v>156</v>
      </c>
      <c r="P1340">
        <v>4110057393</v>
      </c>
      <c r="Q1340" t="s">
        <v>192</v>
      </c>
      <c r="R1340">
        <v>5000</v>
      </c>
      <c r="S1340" t="s">
        <v>166</v>
      </c>
      <c r="V1340" t="s">
        <v>167</v>
      </c>
      <c r="W1340">
        <v>1502020122</v>
      </c>
      <c r="X1340" t="s">
        <v>70</v>
      </c>
      <c r="Y1340" t="str">
        <f>VLOOKUP(W1340,Sheet4!$A$5:$B$72,2,0)</f>
        <v>MAX UG NEW EV</v>
      </c>
      <c r="Z1340">
        <v>87082900</v>
      </c>
      <c r="AA1340">
        <v>10</v>
      </c>
      <c r="AB1340" t="s">
        <v>159</v>
      </c>
      <c r="AC1340" s="24">
        <v>9566.51</v>
      </c>
      <c r="AD1340" t="s">
        <v>160</v>
      </c>
      <c r="AE1340" s="24">
        <v>95665.1</v>
      </c>
      <c r="AF1340">
        <v>0</v>
      </c>
      <c r="AG1340" s="24">
        <v>95665.1</v>
      </c>
      <c r="AH1340">
        <v>0</v>
      </c>
      <c r="AI1340">
        <v>0</v>
      </c>
      <c r="AJ1340">
        <v>0</v>
      </c>
      <c r="AK1340">
        <v>0</v>
      </c>
      <c r="AL1340" s="24">
        <v>95665.1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 s="24">
        <v>95665.1</v>
      </c>
      <c r="AV1340">
        <v>0</v>
      </c>
      <c r="AW1340">
        <v>0</v>
      </c>
      <c r="AX1340">
        <v>311000</v>
      </c>
      <c r="AY1340" t="s">
        <v>161</v>
      </c>
      <c r="AZ1340">
        <v>0</v>
      </c>
      <c r="BA1340">
        <v>61</v>
      </c>
      <c r="BB1340">
        <v>-61</v>
      </c>
      <c r="BC1340" t="s">
        <v>193</v>
      </c>
      <c r="BD1340">
        <v>1509</v>
      </c>
      <c r="BE1340" t="s">
        <v>169</v>
      </c>
      <c r="BF1340">
        <v>5094274603</v>
      </c>
      <c r="BG1340" t="s">
        <v>367</v>
      </c>
    </row>
    <row r="1341" spans="1:59">
      <c r="A1341">
        <v>1115</v>
      </c>
      <c r="B1341">
        <v>1115</v>
      </c>
      <c r="C1341">
        <v>10</v>
      </c>
      <c r="D1341">
        <v>2</v>
      </c>
      <c r="E1341" t="s">
        <v>152</v>
      </c>
      <c r="F1341" t="s">
        <v>153</v>
      </c>
      <c r="G1341" t="s">
        <v>154</v>
      </c>
      <c r="H1341">
        <v>1526007382</v>
      </c>
      <c r="I1341">
        <v>1000007677</v>
      </c>
      <c r="L1341" t="s">
        <v>367</v>
      </c>
      <c r="M1341">
        <v>5100001928</v>
      </c>
      <c r="N1341" t="s">
        <v>155</v>
      </c>
      <c r="O1341" t="s">
        <v>156</v>
      </c>
      <c r="P1341">
        <v>4110057393</v>
      </c>
      <c r="Q1341" t="s">
        <v>192</v>
      </c>
      <c r="R1341">
        <v>5000</v>
      </c>
      <c r="S1341" t="s">
        <v>166</v>
      </c>
      <c r="V1341" t="s">
        <v>167</v>
      </c>
      <c r="W1341">
        <v>1502020122</v>
      </c>
      <c r="X1341" t="s">
        <v>70</v>
      </c>
      <c r="Y1341" t="str">
        <f>VLOOKUP(W1341,Sheet4!$A$5:$B$72,2,0)</f>
        <v>MAX UG NEW EV</v>
      </c>
      <c r="Z1341">
        <v>87082900</v>
      </c>
      <c r="AA1341">
        <v>10</v>
      </c>
      <c r="AB1341" t="s">
        <v>159</v>
      </c>
      <c r="AC1341" s="24">
        <v>9566.51</v>
      </c>
      <c r="AD1341" t="s">
        <v>160</v>
      </c>
      <c r="AE1341" s="24">
        <v>95665.1</v>
      </c>
      <c r="AF1341">
        <v>0</v>
      </c>
      <c r="AG1341" s="24">
        <v>95665.1</v>
      </c>
      <c r="AH1341">
        <v>0</v>
      </c>
      <c r="AI1341">
        <v>0</v>
      </c>
      <c r="AJ1341">
        <v>0</v>
      </c>
      <c r="AK1341">
        <v>0</v>
      </c>
      <c r="AL1341" s="24">
        <v>95665.1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 s="24">
        <v>95665.1</v>
      </c>
      <c r="AV1341">
        <v>0</v>
      </c>
      <c r="AW1341">
        <v>0</v>
      </c>
      <c r="AX1341">
        <v>311000</v>
      </c>
      <c r="AY1341" t="s">
        <v>161</v>
      </c>
      <c r="AZ1341">
        <v>0</v>
      </c>
      <c r="BA1341">
        <v>61</v>
      </c>
      <c r="BB1341">
        <v>-61</v>
      </c>
      <c r="BC1341" t="s">
        <v>193</v>
      </c>
      <c r="BD1341">
        <v>1509</v>
      </c>
      <c r="BE1341" t="s">
        <v>169</v>
      </c>
      <c r="BF1341">
        <v>5094274670</v>
      </c>
      <c r="BG1341" t="s">
        <v>367</v>
      </c>
    </row>
    <row r="1342" spans="1:59">
      <c r="A1342">
        <v>1115</v>
      </c>
      <c r="B1342">
        <v>1115</v>
      </c>
      <c r="C1342">
        <v>10</v>
      </c>
      <c r="D1342">
        <v>2</v>
      </c>
      <c r="E1342" t="s">
        <v>152</v>
      </c>
      <c r="F1342" t="s">
        <v>153</v>
      </c>
      <c r="G1342" t="s">
        <v>154</v>
      </c>
      <c r="H1342">
        <v>1526007381</v>
      </c>
      <c r="I1342">
        <v>1000007676</v>
      </c>
      <c r="L1342" t="s">
        <v>367</v>
      </c>
      <c r="M1342">
        <v>5100001928</v>
      </c>
      <c r="N1342" t="s">
        <v>155</v>
      </c>
      <c r="O1342" t="s">
        <v>156</v>
      </c>
      <c r="P1342">
        <v>4110057393</v>
      </c>
      <c r="Q1342" t="s">
        <v>192</v>
      </c>
      <c r="R1342">
        <v>5000</v>
      </c>
      <c r="S1342" t="s">
        <v>166</v>
      </c>
      <c r="V1342" t="s">
        <v>167</v>
      </c>
      <c r="W1342">
        <v>1502020122</v>
      </c>
      <c r="X1342" t="s">
        <v>70</v>
      </c>
      <c r="Y1342" t="str">
        <f>VLOOKUP(W1342,Sheet4!$A$5:$B$72,2,0)</f>
        <v>MAX UG NEW EV</v>
      </c>
      <c r="Z1342">
        <v>87082900</v>
      </c>
      <c r="AA1342">
        <v>10</v>
      </c>
      <c r="AB1342" t="s">
        <v>159</v>
      </c>
      <c r="AC1342" s="24">
        <v>9566.51</v>
      </c>
      <c r="AD1342" t="s">
        <v>160</v>
      </c>
      <c r="AE1342" s="24">
        <v>95665.1</v>
      </c>
      <c r="AF1342">
        <v>0</v>
      </c>
      <c r="AG1342" s="24">
        <v>95665.1</v>
      </c>
      <c r="AH1342">
        <v>0</v>
      </c>
      <c r="AI1342">
        <v>0</v>
      </c>
      <c r="AJ1342">
        <v>0</v>
      </c>
      <c r="AK1342">
        <v>0</v>
      </c>
      <c r="AL1342" s="24">
        <v>95665.1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 s="24">
        <v>95665.1</v>
      </c>
      <c r="AV1342">
        <v>0</v>
      </c>
      <c r="AW1342">
        <v>0</v>
      </c>
      <c r="AX1342">
        <v>311000</v>
      </c>
      <c r="AY1342" t="s">
        <v>161</v>
      </c>
      <c r="AZ1342">
        <v>0</v>
      </c>
      <c r="BA1342">
        <v>61</v>
      </c>
      <c r="BB1342">
        <v>-61</v>
      </c>
      <c r="BC1342" t="s">
        <v>193</v>
      </c>
      <c r="BD1342">
        <v>1509</v>
      </c>
      <c r="BE1342" t="s">
        <v>169</v>
      </c>
      <c r="BF1342">
        <v>5094273516</v>
      </c>
      <c r="BG1342" t="s">
        <v>367</v>
      </c>
    </row>
    <row r="1343" spans="1:59">
      <c r="A1343">
        <v>1115</v>
      </c>
      <c r="B1343">
        <v>1115</v>
      </c>
      <c r="C1343">
        <v>10</v>
      </c>
      <c r="D1343">
        <v>2</v>
      </c>
      <c r="E1343" t="s">
        <v>152</v>
      </c>
      <c r="F1343" t="s">
        <v>153</v>
      </c>
      <c r="G1343" t="s">
        <v>154</v>
      </c>
      <c r="H1343">
        <v>1526007380</v>
      </c>
      <c r="I1343">
        <v>1000007675</v>
      </c>
      <c r="L1343" t="s">
        <v>367</v>
      </c>
      <c r="M1343">
        <v>5100001939</v>
      </c>
      <c r="N1343" t="s">
        <v>155</v>
      </c>
      <c r="O1343" t="s">
        <v>156</v>
      </c>
      <c r="P1343">
        <v>4110059608</v>
      </c>
      <c r="Q1343" t="s">
        <v>240</v>
      </c>
      <c r="R1343">
        <v>5000</v>
      </c>
      <c r="S1343" t="s">
        <v>166</v>
      </c>
      <c r="V1343" t="s">
        <v>167</v>
      </c>
      <c r="W1343">
        <v>1502020129</v>
      </c>
      <c r="X1343" t="s">
        <v>241</v>
      </c>
      <c r="Y1343" t="str">
        <f>VLOOKUP(W1343,Sheet4!$A$5:$B$72,2,0)</f>
        <v>RE STYLING</v>
      </c>
      <c r="Z1343">
        <v>87082900</v>
      </c>
      <c r="AA1343">
        <v>15</v>
      </c>
      <c r="AB1343" t="s">
        <v>159</v>
      </c>
      <c r="AC1343" s="24">
        <v>6500.18</v>
      </c>
      <c r="AD1343" t="s">
        <v>160</v>
      </c>
      <c r="AE1343" s="24">
        <v>97502.7</v>
      </c>
      <c r="AF1343">
        <v>0</v>
      </c>
      <c r="AG1343" s="24">
        <v>97502.7</v>
      </c>
      <c r="AH1343">
        <v>0</v>
      </c>
      <c r="AI1343">
        <v>0</v>
      </c>
      <c r="AJ1343">
        <v>0</v>
      </c>
      <c r="AK1343">
        <v>0</v>
      </c>
      <c r="AL1343" s="24">
        <v>97502.7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 s="24">
        <v>97502.7</v>
      </c>
      <c r="AV1343">
        <v>0</v>
      </c>
      <c r="AW1343">
        <v>0</v>
      </c>
      <c r="AX1343">
        <v>311000</v>
      </c>
      <c r="AY1343" t="s">
        <v>161</v>
      </c>
      <c r="AZ1343">
        <v>0</v>
      </c>
      <c r="BA1343">
        <v>0</v>
      </c>
      <c r="BB1343">
        <v>0</v>
      </c>
      <c r="BC1343" t="s">
        <v>242</v>
      </c>
      <c r="BD1343">
        <v>1509</v>
      </c>
      <c r="BE1343" t="s">
        <v>169</v>
      </c>
      <c r="BF1343" t="s">
        <v>163</v>
      </c>
      <c r="BG1343" t="s">
        <v>164</v>
      </c>
    </row>
    <row r="1344" spans="1:59">
      <c r="A1344">
        <v>1115</v>
      </c>
      <c r="B1344">
        <v>1115</v>
      </c>
      <c r="C1344">
        <v>10</v>
      </c>
      <c r="D1344">
        <v>2</v>
      </c>
      <c r="E1344" t="s">
        <v>152</v>
      </c>
      <c r="F1344" t="s">
        <v>153</v>
      </c>
      <c r="G1344" t="s">
        <v>154</v>
      </c>
      <c r="H1344">
        <v>1526007379</v>
      </c>
      <c r="I1344">
        <v>1000007674</v>
      </c>
      <c r="L1344" t="s">
        <v>367</v>
      </c>
      <c r="M1344">
        <v>5100001636</v>
      </c>
      <c r="N1344" t="s">
        <v>155</v>
      </c>
      <c r="O1344" t="s">
        <v>156</v>
      </c>
      <c r="P1344">
        <v>4110026445</v>
      </c>
      <c r="Q1344" t="s">
        <v>170</v>
      </c>
      <c r="R1344">
        <v>5000</v>
      </c>
      <c r="S1344" t="s">
        <v>166</v>
      </c>
      <c r="V1344" t="s">
        <v>167</v>
      </c>
      <c r="W1344">
        <v>1502020104</v>
      </c>
      <c r="X1344" t="s">
        <v>26</v>
      </c>
      <c r="Y1344" t="str">
        <f>VLOOKUP(W1344,Sheet4!$A$5:$B$72,2,0)</f>
        <v>RE STYLING</v>
      </c>
      <c r="Z1344">
        <v>87082900</v>
      </c>
      <c r="AA1344">
        <v>15</v>
      </c>
      <c r="AB1344" t="s">
        <v>159</v>
      </c>
      <c r="AC1344" s="24">
        <v>6585.55</v>
      </c>
      <c r="AD1344" t="s">
        <v>160</v>
      </c>
      <c r="AE1344" s="24">
        <v>98783.25</v>
      </c>
      <c r="AF1344">
        <v>0</v>
      </c>
      <c r="AG1344" s="24">
        <v>98783.25</v>
      </c>
      <c r="AH1344">
        <v>0</v>
      </c>
      <c r="AI1344">
        <v>0</v>
      </c>
      <c r="AJ1344">
        <v>0</v>
      </c>
      <c r="AK1344">
        <v>0</v>
      </c>
      <c r="AL1344" s="24">
        <v>98783.25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 s="24">
        <v>98783.25</v>
      </c>
      <c r="AV1344">
        <v>0</v>
      </c>
      <c r="AW1344">
        <v>0</v>
      </c>
      <c r="AX1344">
        <v>311000</v>
      </c>
      <c r="AY1344" t="s">
        <v>161</v>
      </c>
      <c r="AZ1344">
        <v>49.75</v>
      </c>
      <c r="BA1344">
        <v>49.75</v>
      </c>
      <c r="BB1344">
        <v>0</v>
      </c>
      <c r="BC1344" t="s">
        <v>171</v>
      </c>
      <c r="BD1344">
        <v>1509</v>
      </c>
      <c r="BE1344" t="s">
        <v>169</v>
      </c>
      <c r="BF1344" t="s">
        <v>163</v>
      </c>
      <c r="BG1344" t="s">
        <v>164</v>
      </c>
    </row>
    <row r="1345" spans="1:59">
      <c r="A1345">
        <v>1115</v>
      </c>
      <c r="B1345">
        <v>1115</v>
      </c>
      <c r="C1345">
        <v>10</v>
      </c>
      <c r="D1345">
        <v>2</v>
      </c>
      <c r="E1345" t="s">
        <v>152</v>
      </c>
      <c r="F1345" t="s">
        <v>153</v>
      </c>
      <c r="G1345" t="s">
        <v>154</v>
      </c>
      <c r="H1345">
        <v>1526007378</v>
      </c>
      <c r="I1345">
        <v>1000007673</v>
      </c>
      <c r="L1345" t="s">
        <v>367</v>
      </c>
      <c r="M1345">
        <v>5100001636</v>
      </c>
      <c r="N1345" t="s">
        <v>155</v>
      </c>
      <c r="O1345" t="s">
        <v>156</v>
      </c>
      <c r="P1345">
        <v>4110026445</v>
      </c>
      <c r="Q1345" t="s">
        <v>170</v>
      </c>
      <c r="R1345">
        <v>5000</v>
      </c>
      <c r="S1345" t="s">
        <v>166</v>
      </c>
      <c r="V1345" t="s">
        <v>167</v>
      </c>
      <c r="W1345">
        <v>1502020104</v>
      </c>
      <c r="X1345" t="s">
        <v>26</v>
      </c>
      <c r="Y1345" t="str">
        <f>VLOOKUP(W1345,Sheet4!$A$5:$B$72,2,0)</f>
        <v>RE STYLING</v>
      </c>
      <c r="Z1345">
        <v>87082900</v>
      </c>
      <c r="AA1345">
        <v>15</v>
      </c>
      <c r="AB1345" t="s">
        <v>159</v>
      </c>
      <c r="AC1345" s="24">
        <v>6585.55</v>
      </c>
      <c r="AD1345" t="s">
        <v>160</v>
      </c>
      <c r="AE1345" s="24">
        <v>98783.25</v>
      </c>
      <c r="AF1345">
        <v>0</v>
      </c>
      <c r="AG1345" s="24">
        <v>98783.25</v>
      </c>
      <c r="AH1345">
        <v>0</v>
      </c>
      <c r="AI1345">
        <v>0</v>
      </c>
      <c r="AJ1345">
        <v>0</v>
      </c>
      <c r="AK1345">
        <v>0</v>
      </c>
      <c r="AL1345" s="24">
        <v>98783.25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 s="24">
        <v>98783.25</v>
      </c>
      <c r="AV1345">
        <v>0</v>
      </c>
      <c r="AW1345">
        <v>0</v>
      </c>
      <c r="AX1345">
        <v>311000</v>
      </c>
      <c r="AY1345" t="s">
        <v>161</v>
      </c>
      <c r="AZ1345">
        <v>49.75</v>
      </c>
      <c r="BA1345">
        <v>49.75</v>
      </c>
      <c r="BB1345">
        <v>0</v>
      </c>
      <c r="BC1345" t="s">
        <v>171</v>
      </c>
      <c r="BD1345">
        <v>1509</v>
      </c>
      <c r="BE1345" t="s">
        <v>169</v>
      </c>
      <c r="BF1345" t="s">
        <v>163</v>
      </c>
      <c r="BG1345" t="s">
        <v>164</v>
      </c>
    </row>
    <row r="1346" spans="1:59">
      <c r="A1346">
        <v>1115</v>
      </c>
      <c r="B1346">
        <v>1115</v>
      </c>
      <c r="C1346">
        <v>10</v>
      </c>
      <c r="D1346">
        <v>2</v>
      </c>
      <c r="E1346" t="s">
        <v>152</v>
      </c>
      <c r="F1346" t="s">
        <v>153</v>
      </c>
      <c r="G1346" t="s">
        <v>154</v>
      </c>
      <c r="H1346">
        <v>1526007377</v>
      </c>
      <c r="I1346">
        <v>1000007672</v>
      </c>
      <c r="L1346" t="s">
        <v>368</v>
      </c>
      <c r="M1346">
        <v>5100001730</v>
      </c>
      <c r="N1346" t="s">
        <v>155</v>
      </c>
      <c r="O1346" t="s">
        <v>156</v>
      </c>
      <c r="P1346">
        <v>4110029871</v>
      </c>
      <c r="Q1346" t="s">
        <v>301</v>
      </c>
      <c r="R1346">
        <v>5000</v>
      </c>
      <c r="S1346" t="s">
        <v>166</v>
      </c>
      <c r="V1346" t="s">
        <v>167</v>
      </c>
      <c r="W1346">
        <v>1502020112</v>
      </c>
      <c r="X1346" t="s">
        <v>302</v>
      </c>
      <c r="Y1346" t="str">
        <f>VLOOKUP(W1346,Sheet4!$A$5:$B$72,2,0)</f>
        <v>MAX UG NEW</v>
      </c>
      <c r="Z1346">
        <v>87082900</v>
      </c>
      <c r="AA1346">
        <v>10</v>
      </c>
      <c r="AB1346" t="s">
        <v>159</v>
      </c>
      <c r="AC1346" s="24">
        <v>9441.75</v>
      </c>
      <c r="AD1346" t="s">
        <v>160</v>
      </c>
      <c r="AE1346" s="24">
        <v>94417.5</v>
      </c>
      <c r="AF1346">
        <v>0</v>
      </c>
      <c r="AG1346" s="24">
        <v>94417.5</v>
      </c>
      <c r="AH1346">
        <v>0</v>
      </c>
      <c r="AI1346">
        <v>0</v>
      </c>
      <c r="AJ1346">
        <v>0</v>
      </c>
      <c r="AK1346">
        <v>0</v>
      </c>
      <c r="AL1346" s="24">
        <v>94417.5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 s="24">
        <v>94417.5</v>
      </c>
      <c r="AV1346">
        <v>0</v>
      </c>
      <c r="AW1346">
        <v>0</v>
      </c>
      <c r="AX1346">
        <v>311000</v>
      </c>
      <c r="AY1346" t="s">
        <v>161</v>
      </c>
      <c r="AZ1346">
        <v>75</v>
      </c>
      <c r="BA1346">
        <v>75</v>
      </c>
      <c r="BB1346">
        <v>0</v>
      </c>
      <c r="BC1346" t="s">
        <v>303</v>
      </c>
      <c r="BD1346">
        <v>1509</v>
      </c>
      <c r="BE1346" t="s">
        <v>169</v>
      </c>
      <c r="BF1346">
        <v>5094273473</v>
      </c>
      <c r="BG1346" t="s">
        <v>368</v>
      </c>
    </row>
    <row r="1347" spans="1:59">
      <c r="A1347">
        <v>1115</v>
      </c>
      <c r="B1347">
        <v>1115</v>
      </c>
      <c r="C1347">
        <v>10</v>
      </c>
      <c r="D1347">
        <v>2</v>
      </c>
      <c r="E1347" t="s">
        <v>152</v>
      </c>
      <c r="F1347" t="s">
        <v>153</v>
      </c>
      <c r="G1347" t="s">
        <v>154</v>
      </c>
      <c r="H1347">
        <v>1526007376</v>
      </c>
      <c r="I1347">
        <v>1000007671</v>
      </c>
      <c r="L1347" t="s">
        <v>368</v>
      </c>
      <c r="M1347">
        <v>5100001636</v>
      </c>
      <c r="N1347" t="s">
        <v>155</v>
      </c>
      <c r="O1347" t="s">
        <v>156</v>
      </c>
      <c r="P1347">
        <v>4110026445</v>
      </c>
      <c r="Q1347" t="s">
        <v>170</v>
      </c>
      <c r="R1347">
        <v>5000</v>
      </c>
      <c r="S1347" t="s">
        <v>166</v>
      </c>
      <c r="V1347" t="s">
        <v>167</v>
      </c>
      <c r="W1347">
        <v>1502020104</v>
      </c>
      <c r="X1347" t="s">
        <v>26</v>
      </c>
      <c r="Y1347" t="str">
        <f>VLOOKUP(W1347,Sheet4!$A$5:$B$72,2,0)</f>
        <v>RE STYLING</v>
      </c>
      <c r="Z1347">
        <v>87082900</v>
      </c>
      <c r="AA1347">
        <v>15</v>
      </c>
      <c r="AB1347" t="s">
        <v>159</v>
      </c>
      <c r="AC1347" s="24">
        <v>6585.55</v>
      </c>
      <c r="AD1347" t="s">
        <v>160</v>
      </c>
      <c r="AE1347" s="24">
        <v>98783.25</v>
      </c>
      <c r="AF1347">
        <v>0</v>
      </c>
      <c r="AG1347" s="24">
        <v>98783.25</v>
      </c>
      <c r="AH1347">
        <v>0</v>
      </c>
      <c r="AI1347">
        <v>0</v>
      </c>
      <c r="AJ1347">
        <v>0</v>
      </c>
      <c r="AK1347">
        <v>0</v>
      </c>
      <c r="AL1347" s="24">
        <v>98783.25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 s="24">
        <v>98783.25</v>
      </c>
      <c r="AV1347">
        <v>0</v>
      </c>
      <c r="AW1347">
        <v>0</v>
      </c>
      <c r="AX1347">
        <v>311000</v>
      </c>
      <c r="AY1347" t="s">
        <v>161</v>
      </c>
      <c r="AZ1347">
        <v>49.75</v>
      </c>
      <c r="BA1347">
        <v>49.75</v>
      </c>
      <c r="BB1347">
        <v>0</v>
      </c>
      <c r="BC1347" t="s">
        <v>171</v>
      </c>
      <c r="BD1347">
        <v>1509</v>
      </c>
      <c r="BE1347" t="s">
        <v>169</v>
      </c>
      <c r="BF1347" t="s">
        <v>163</v>
      </c>
      <c r="BG1347" t="s">
        <v>164</v>
      </c>
    </row>
    <row r="1348" spans="1:59">
      <c r="A1348">
        <v>1115</v>
      </c>
      <c r="B1348">
        <v>1115</v>
      </c>
      <c r="C1348">
        <v>10</v>
      </c>
      <c r="D1348">
        <v>2</v>
      </c>
      <c r="E1348" t="s">
        <v>152</v>
      </c>
      <c r="F1348" t="s">
        <v>153</v>
      </c>
      <c r="G1348" t="s">
        <v>154</v>
      </c>
      <c r="H1348">
        <v>1526007440</v>
      </c>
      <c r="I1348">
        <v>1000007734</v>
      </c>
      <c r="L1348" t="s">
        <v>367</v>
      </c>
      <c r="M1348">
        <v>5100001636</v>
      </c>
      <c r="N1348" t="s">
        <v>155</v>
      </c>
      <c r="O1348" t="s">
        <v>156</v>
      </c>
      <c r="P1348">
        <v>4110026445</v>
      </c>
      <c r="Q1348" t="s">
        <v>170</v>
      </c>
      <c r="R1348">
        <v>5000</v>
      </c>
      <c r="S1348" t="s">
        <v>166</v>
      </c>
      <c r="V1348" t="s">
        <v>167</v>
      </c>
      <c r="W1348">
        <v>1502020101</v>
      </c>
      <c r="X1348" t="s">
        <v>25</v>
      </c>
      <c r="Y1348" t="str">
        <f>VLOOKUP(W1348,Sheet4!$A$5:$B$72,2,0)</f>
        <v>RE STYLING</v>
      </c>
      <c r="Z1348">
        <v>87082900</v>
      </c>
      <c r="AA1348">
        <v>3</v>
      </c>
      <c r="AB1348" t="s">
        <v>159</v>
      </c>
      <c r="AC1348" s="24">
        <v>6240.88</v>
      </c>
      <c r="AD1348" t="s">
        <v>160</v>
      </c>
      <c r="AE1348" s="24">
        <v>18722.64</v>
      </c>
      <c r="AF1348">
        <v>0</v>
      </c>
      <c r="AG1348" s="24">
        <v>18722.64</v>
      </c>
      <c r="AH1348">
        <v>0</v>
      </c>
      <c r="AI1348">
        <v>0</v>
      </c>
      <c r="AJ1348">
        <v>0</v>
      </c>
      <c r="AK1348">
        <v>0</v>
      </c>
      <c r="AL1348" s="24">
        <v>18722.64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 s="24">
        <v>18722.64</v>
      </c>
      <c r="AV1348">
        <v>0</v>
      </c>
      <c r="AW1348">
        <v>0</v>
      </c>
      <c r="AX1348">
        <v>311000</v>
      </c>
      <c r="AY1348" t="s">
        <v>161</v>
      </c>
      <c r="AZ1348">
        <v>58</v>
      </c>
      <c r="BA1348">
        <v>58</v>
      </c>
      <c r="BB1348">
        <v>0</v>
      </c>
      <c r="BC1348" t="s">
        <v>208</v>
      </c>
      <c r="BD1348">
        <v>1509</v>
      </c>
      <c r="BE1348" t="s">
        <v>169</v>
      </c>
      <c r="BF1348" t="s">
        <v>163</v>
      </c>
      <c r="BG1348" t="s">
        <v>164</v>
      </c>
    </row>
    <row r="1349" spans="1:59">
      <c r="A1349">
        <v>1115</v>
      </c>
      <c r="B1349">
        <v>1115</v>
      </c>
      <c r="C1349">
        <v>10</v>
      </c>
      <c r="D1349">
        <v>2</v>
      </c>
      <c r="E1349" t="s">
        <v>152</v>
      </c>
      <c r="F1349" t="s">
        <v>153</v>
      </c>
      <c r="G1349" t="s">
        <v>154</v>
      </c>
      <c r="H1349">
        <v>1526007439</v>
      </c>
      <c r="I1349">
        <v>1000007733</v>
      </c>
      <c r="L1349" t="s">
        <v>367</v>
      </c>
      <c r="M1349">
        <v>5100001603</v>
      </c>
      <c r="N1349" t="s">
        <v>155</v>
      </c>
      <c r="O1349" t="s">
        <v>156</v>
      </c>
      <c r="P1349">
        <v>4110025468</v>
      </c>
      <c r="Q1349" t="s">
        <v>165</v>
      </c>
      <c r="R1349">
        <v>5000</v>
      </c>
      <c r="S1349" t="s">
        <v>166</v>
      </c>
      <c r="V1349" t="s">
        <v>167</v>
      </c>
      <c r="W1349">
        <v>1502020102</v>
      </c>
      <c r="X1349" t="s">
        <v>58</v>
      </c>
      <c r="Y1349" t="str">
        <f>VLOOKUP(W1349,Sheet4!$A$5:$B$72,2,0)</f>
        <v>MAXIMA HD</v>
      </c>
      <c r="Z1349">
        <v>87082900</v>
      </c>
      <c r="AA1349">
        <v>8</v>
      </c>
      <c r="AB1349" t="s">
        <v>159</v>
      </c>
      <c r="AC1349" s="24">
        <v>8593.51</v>
      </c>
      <c r="AD1349" t="s">
        <v>160</v>
      </c>
      <c r="AE1349" s="24">
        <v>68748.08</v>
      </c>
      <c r="AF1349">
        <v>0</v>
      </c>
      <c r="AG1349" s="24">
        <v>68748.08</v>
      </c>
      <c r="AH1349">
        <v>0</v>
      </c>
      <c r="AI1349">
        <v>0</v>
      </c>
      <c r="AJ1349">
        <v>0</v>
      </c>
      <c r="AK1349">
        <v>0</v>
      </c>
      <c r="AL1349" s="24">
        <v>68748.08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 s="24">
        <v>68748.08</v>
      </c>
      <c r="AV1349">
        <v>0</v>
      </c>
      <c r="AW1349">
        <v>0</v>
      </c>
      <c r="AX1349">
        <v>311000</v>
      </c>
      <c r="AY1349" t="s">
        <v>161</v>
      </c>
      <c r="AZ1349">
        <v>93.34</v>
      </c>
      <c r="BA1349">
        <v>75.430000000000007</v>
      </c>
      <c r="BB1349">
        <v>17.91</v>
      </c>
      <c r="BC1349" t="s">
        <v>168</v>
      </c>
      <c r="BD1349">
        <v>1509</v>
      </c>
      <c r="BE1349" t="s">
        <v>169</v>
      </c>
      <c r="BF1349" t="s">
        <v>163</v>
      </c>
      <c r="BG1349" t="s">
        <v>164</v>
      </c>
    </row>
    <row r="1350" spans="1:59">
      <c r="A1350">
        <v>1115</v>
      </c>
      <c r="B1350">
        <v>1115</v>
      </c>
      <c r="C1350">
        <v>10</v>
      </c>
      <c r="D1350">
        <v>2</v>
      </c>
      <c r="E1350" t="s">
        <v>152</v>
      </c>
      <c r="F1350" t="s">
        <v>153</v>
      </c>
      <c r="G1350" t="s">
        <v>154</v>
      </c>
      <c r="H1350">
        <v>1526007438</v>
      </c>
      <c r="I1350">
        <v>1000007732</v>
      </c>
      <c r="L1350" t="s">
        <v>367</v>
      </c>
      <c r="M1350">
        <v>5100001603</v>
      </c>
      <c r="N1350" t="s">
        <v>155</v>
      </c>
      <c r="O1350" t="s">
        <v>156</v>
      </c>
      <c r="P1350">
        <v>4110025468</v>
      </c>
      <c r="Q1350" t="s">
        <v>165</v>
      </c>
      <c r="R1350">
        <v>5000</v>
      </c>
      <c r="S1350" t="s">
        <v>166</v>
      </c>
      <c r="V1350" t="s">
        <v>167</v>
      </c>
      <c r="W1350">
        <v>1502020102</v>
      </c>
      <c r="X1350" t="s">
        <v>58</v>
      </c>
      <c r="Y1350" t="str">
        <f>VLOOKUP(W1350,Sheet4!$A$5:$B$72,2,0)</f>
        <v>MAXIMA HD</v>
      </c>
      <c r="Z1350">
        <v>87082900</v>
      </c>
      <c r="AA1350">
        <v>8</v>
      </c>
      <c r="AB1350" t="s">
        <v>159</v>
      </c>
      <c r="AC1350" s="24">
        <v>8593.51</v>
      </c>
      <c r="AD1350" t="s">
        <v>160</v>
      </c>
      <c r="AE1350" s="24">
        <v>68748.08</v>
      </c>
      <c r="AF1350">
        <v>0</v>
      </c>
      <c r="AG1350" s="24">
        <v>68748.08</v>
      </c>
      <c r="AH1350">
        <v>0</v>
      </c>
      <c r="AI1350">
        <v>0</v>
      </c>
      <c r="AJ1350">
        <v>0</v>
      </c>
      <c r="AK1350">
        <v>0</v>
      </c>
      <c r="AL1350" s="24">
        <v>68748.08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 s="24">
        <v>68748.08</v>
      </c>
      <c r="AV1350">
        <v>0</v>
      </c>
      <c r="AW1350">
        <v>0</v>
      </c>
      <c r="AX1350">
        <v>311000</v>
      </c>
      <c r="AY1350" t="s">
        <v>161</v>
      </c>
      <c r="AZ1350">
        <v>93.34</v>
      </c>
      <c r="BA1350">
        <v>75.430000000000007</v>
      </c>
      <c r="BB1350">
        <v>17.91</v>
      </c>
      <c r="BC1350" t="s">
        <v>168</v>
      </c>
      <c r="BD1350">
        <v>1509</v>
      </c>
      <c r="BE1350" t="s">
        <v>169</v>
      </c>
      <c r="BF1350" t="s">
        <v>163</v>
      </c>
      <c r="BG1350" t="s">
        <v>164</v>
      </c>
    </row>
    <row r="1351" spans="1:59">
      <c r="A1351">
        <v>1115</v>
      </c>
      <c r="B1351">
        <v>1115</v>
      </c>
      <c r="C1351">
        <v>10</v>
      </c>
      <c r="D1351">
        <v>2</v>
      </c>
      <c r="E1351" t="s">
        <v>152</v>
      </c>
      <c r="F1351" t="s">
        <v>153</v>
      </c>
      <c r="G1351" t="s">
        <v>154</v>
      </c>
      <c r="H1351">
        <v>1526007437</v>
      </c>
      <c r="I1351">
        <v>1000007731</v>
      </c>
      <c r="L1351" t="s">
        <v>367</v>
      </c>
      <c r="M1351">
        <v>5100001795</v>
      </c>
      <c r="N1351" t="s">
        <v>155</v>
      </c>
      <c r="O1351" t="s">
        <v>156</v>
      </c>
      <c r="P1351">
        <v>4110032503</v>
      </c>
      <c r="Q1351" t="s">
        <v>190</v>
      </c>
      <c r="R1351">
        <v>5000</v>
      </c>
      <c r="S1351" t="s">
        <v>166</v>
      </c>
      <c r="V1351" t="s">
        <v>167</v>
      </c>
      <c r="W1351">
        <v>1502010016</v>
      </c>
      <c r="X1351" t="s">
        <v>69</v>
      </c>
      <c r="Y1351" t="str">
        <f>VLOOKUP(W1351,Sheet4!$A$5:$B$72,2,0)</f>
        <v>LOGISTICS</v>
      </c>
      <c r="Z1351">
        <v>87082900</v>
      </c>
      <c r="AA1351" s="24">
        <v>2000</v>
      </c>
      <c r="AB1351" t="s">
        <v>159</v>
      </c>
      <c r="AC1351">
        <v>8.4600000000000009</v>
      </c>
      <c r="AD1351" t="s">
        <v>160</v>
      </c>
      <c r="AE1351" s="24">
        <v>16920</v>
      </c>
      <c r="AF1351">
        <v>0</v>
      </c>
      <c r="AG1351" s="24">
        <v>16920</v>
      </c>
      <c r="AH1351">
        <v>0</v>
      </c>
      <c r="AI1351">
        <v>0</v>
      </c>
      <c r="AJ1351">
        <v>0</v>
      </c>
      <c r="AK1351">
        <v>0</v>
      </c>
      <c r="AL1351" s="24">
        <v>16920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s="24">
        <v>16920</v>
      </c>
      <c r="AV1351">
        <v>0</v>
      </c>
      <c r="AW1351">
        <v>0</v>
      </c>
      <c r="AX1351">
        <v>311000</v>
      </c>
      <c r="AY1351" t="s">
        <v>161</v>
      </c>
      <c r="AZ1351">
        <v>0.08</v>
      </c>
      <c r="BA1351">
        <v>6.3E-2</v>
      </c>
      <c r="BB1351">
        <v>1.7000000000000001E-2</v>
      </c>
      <c r="BC1351" t="s">
        <v>191</v>
      </c>
      <c r="BD1351">
        <v>1508</v>
      </c>
      <c r="BE1351" t="s">
        <v>162</v>
      </c>
      <c r="BF1351" t="s">
        <v>163</v>
      </c>
      <c r="BG1351" t="s">
        <v>164</v>
      </c>
    </row>
    <row r="1352" spans="1:59">
      <c r="A1352">
        <v>1115</v>
      </c>
      <c r="B1352">
        <v>1115</v>
      </c>
      <c r="C1352">
        <v>10</v>
      </c>
      <c r="D1352">
        <v>2</v>
      </c>
      <c r="E1352" t="s">
        <v>152</v>
      </c>
      <c r="F1352" t="s">
        <v>153</v>
      </c>
      <c r="G1352" t="s">
        <v>154</v>
      </c>
      <c r="H1352">
        <v>1526007436</v>
      </c>
      <c r="I1352">
        <v>1000007730</v>
      </c>
      <c r="L1352" t="s">
        <v>367</v>
      </c>
      <c r="M1352">
        <v>5100001603</v>
      </c>
      <c r="N1352" t="s">
        <v>155</v>
      </c>
      <c r="O1352" t="s">
        <v>156</v>
      </c>
      <c r="P1352">
        <v>4110025468</v>
      </c>
      <c r="Q1352" t="s">
        <v>165</v>
      </c>
      <c r="R1352">
        <v>5000</v>
      </c>
      <c r="S1352" t="s">
        <v>166</v>
      </c>
      <c r="V1352" t="s">
        <v>167</v>
      </c>
      <c r="W1352">
        <v>1502020102</v>
      </c>
      <c r="X1352" t="s">
        <v>58</v>
      </c>
      <c r="Y1352" t="str">
        <f>VLOOKUP(W1352,Sheet4!$A$5:$B$72,2,0)</f>
        <v>MAXIMA HD</v>
      </c>
      <c r="Z1352">
        <v>87082900</v>
      </c>
      <c r="AA1352">
        <v>8</v>
      </c>
      <c r="AB1352" t="s">
        <v>159</v>
      </c>
      <c r="AC1352" s="24">
        <v>8593.51</v>
      </c>
      <c r="AD1352" t="s">
        <v>160</v>
      </c>
      <c r="AE1352" s="24">
        <v>68748.08</v>
      </c>
      <c r="AF1352">
        <v>0</v>
      </c>
      <c r="AG1352" s="24">
        <v>68748.08</v>
      </c>
      <c r="AH1352">
        <v>0</v>
      </c>
      <c r="AI1352">
        <v>0</v>
      </c>
      <c r="AJ1352">
        <v>0</v>
      </c>
      <c r="AK1352">
        <v>0</v>
      </c>
      <c r="AL1352" s="24">
        <v>68748.08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 s="24">
        <v>68748.08</v>
      </c>
      <c r="AV1352">
        <v>0</v>
      </c>
      <c r="AW1352">
        <v>0</v>
      </c>
      <c r="AX1352">
        <v>311000</v>
      </c>
      <c r="AY1352" t="s">
        <v>161</v>
      </c>
      <c r="AZ1352">
        <v>93.34</v>
      </c>
      <c r="BA1352">
        <v>75.430000000000007</v>
      </c>
      <c r="BB1352">
        <v>17.91</v>
      </c>
      <c r="BC1352" t="s">
        <v>168</v>
      </c>
      <c r="BD1352">
        <v>1509</v>
      </c>
      <c r="BE1352" t="s">
        <v>169</v>
      </c>
      <c r="BF1352" t="s">
        <v>163</v>
      </c>
      <c r="BG1352" t="s">
        <v>164</v>
      </c>
    </row>
    <row r="1353" spans="1:59">
      <c r="A1353">
        <v>1115</v>
      </c>
      <c r="B1353">
        <v>1115</v>
      </c>
      <c r="C1353">
        <v>10</v>
      </c>
      <c r="D1353">
        <v>2</v>
      </c>
      <c r="E1353" t="s">
        <v>152</v>
      </c>
      <c r="F1353" t="s">
        <v>153</v>
      </c>
      <c r="G1353" t="s">
        <v>154</v>
      </c>
      <c r="H1353">
        <v>1526007434</v>
      </c>
      <c r="I1353">
        <v>1000007728</v>
      </c>
      <c r="L1353" t="s">
        <v>367</v>
      </c>
      <c r="M1353">
        <v>5100001928</v>
      </c>
      <c r="N1353" t="s">
        <v>155</v>
      </c>
      <c r="O1353" t="s">
        <v>156</v>
      </c>
      <c r="P1353">
        <v>4110057393</v>
      </c>
      <c r="Q1353" t="s">
        <v>192</v>
      </c>
      <c r="R1353">
        <v>5000</v>
      </c>
      <c r="S1353" t="s">
        <v>166</v>
      </c>
      <c r="V1353" t="s">
        <v>167</v>
      </c>
      <c r="W1353">
        <v>1502020122</v>
      </c>
      <c r="X1353" t="s">
        <v>70</v>
      </c>
      <c r="Y1353" t="str">
        <f>VLOOKUP(W1353,Sheet4!$A$5:$B$72,2,0)</f>
        <v>MAX UG NEW EV</v>
      </c>
      <c r="Z1353">
        <v>87082900</v>
      </c>
      <c r="AA1353">
        <v>10</v>
      </c>
      <c r="AB1353" t="s">
        <v>159</v>
      </c>
      <c r="AC1353" s="24">
        <v>9566.51</v>
      </c>
      <c r="AD1353" t="s">
        <v>160</v>
      </c>
      <c r="AE1353" s="24">
        <v>95665.1</v>
      </c>
      <c r="AF1353">
        <v>0</v>
      </c>
      <c r="AG1353" s="24">
        <v>95665.1</v>
      </c>
      <c r="AH1353">
        <v>0</v>
      </c>
      <c r="AI1353">
        <v>0</v>
      </c>
      <c r="AJ1353">
        <v>0</v>
      </c>
      <c r="AK1353">
        <v>0</v>
      </c>
      <c r="AL1353" s="24">
        <v>95665.1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 s="24">
        <v>95665.1</v>
      </c>
      <c r="AV1353">
        <v>0</v>
      </c>
      <c r="AW1353">
        <v>0</v>
      </c>
      <c r="AX1353">
        <v>311000</v>
      </c>
      <c r="AY1353" t="s">
        <v>161</v>
      </c>
      <c r="AZ1353">
        <v>0</v>
      </c>
      <c r="BA1353">
        <v>61</v>
      </c>
      <c r="BB1353">
        <v>-61</v>
      </c>
      <c r="BC1353" t="s">
        <v>193</v>
      </c>
      <c r="BD1353">
        <v>1509</v>
      </c>
      <c r="BE1353" t="s">
        <v>169</v>
      </c>
      <c r="BF1353" t="s">
        <v>163</v>
      </c>
      <c r="BG1353" t="s">
        <v>164</v>
      </c>
    </row>
    <row r="1354" spans="1:59">
      <c r="A1354">
        <v>1115</v>
      </c>
      <c r="B1354">
        <v>1115</v>
      </c>
      <c r="C1354">
        <v>10</v>
      </c>
      <c r="D1354">
        <v>2</v>
      </c>
      <c r="E1354" t="s">
        <v>152</v>
      </c>
      <c r="F1354" t="s">
        <v>153</v>
      </c>
      <c r="G1354" t="s">
        <v>154</v>
      </c>
      <c r="H1354">
        <v>1526007433</v>
      </c>
      <c r="I1354">
        <v>1000007727</v>
      </c>
      <c r="L1354" t="s">
        <v>367</v>
      </c>
      <c r="M1354">
        <v>5100001603</v>
      </c>
      <c r="N1354" t="s">
        <v>155</v>
      </c>
      <c r="O1354" t="s">
        <v>156</v>
      </c>
      <c r="P1354">
        <v>4110025468</v>
      </c>
      <c r="Q1354" t="s">
        <v>165</v>
      </c>
      <c r="R1354">
        <v>5000</v>
      </c>
      <c r="S1354" t="s">
        <v>166</v>
      </c>
      <c r="V1354" t="s">
        <v>167</v>
      </c>
      <c r="W1354">
        <v>1502020102</v>
      </c>
      <c r="X1354" t="s">
        <v>58</v>
      </c>
      <c r="Y1354" t="str">
        <f>VLOOKUP(W1354,Sheet4!$A$5:$B$72,2,0)</f>
        <v>MAXIMA HD</v>
      </c>
      <c r="Z1354">
        <v>87082900</v>
      </c>
      <c r="AA1354">
        <v>8</v>
      </c>
      <c r="AB1354" t="s">
        <v>159</v>
      </c>
      <c r="AC1354" s="24">
        <v>8593.51</v>
      </c>
      <c r="AD1354" t="s">
        <v>160</v>
      </c>
      <c r="AE1354" s="24">
        <v>68748.08</v>
      </c>
      <c r="AF1354">
        <v>0</v>
      </c>
      <c r="AG1354" s="24">
        <v>68748.08</v>
      </c>
      <c r="AH1354">
        <v>0</v>
      </c>
      <c r="AI1354">
        <v>0</v>
      </c>
      <c r="AJ1354">
        <v>0</v>
      </c>
      <c r="AK1354">
        <v>0</v>
      </c>
      <c r="AL1354" s="24">
        <v>68748.08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 s="24">
        <v>68748.08</v>
      </c>
      <c r="AV1354">
        <v>0</v>
      </c>
      <c r="AW1354">
        <v>0</v>
      </c>
      <c r="AX1354">
        <v>311000</v>
      </c>
      <c r="AY1354" t="s">
        <v>161</v>
      </c>
      <c r="AZ1354">
        <v>93.34</v>
      </c>
      <c r="BA1354">
        <v>75.430000000000007</v>
      </c>
      <c r="BB1354">
        <v>17.91</v>
      </c>
      <c r="BC1354" t="s">
        <v>168</v>
      </c>
      <c r="BD1354">
        <v>1509</v>
      </c>
      <c r="BE1354" t="s">
        <v>169</v>
      </c>
      <c r="BF1354" t="s">
        <v>163</v>
      </c>
      <c r="BG1354" t="s">
        <v>164</v>
      </c>
    </row>
    <row r="1355" spans="1:59">
      <c r="A1355">
        <v>1115</v>
      </c>
      <c r="B1355">
        <v>1115</v>
      </c>
      <c r="C1355">
        <v>10</v>
      </c>
      <c r="D1355">
        <v>2</v>
      </c>
      <c r="E1355" t="s">
        <v>152</v>
      </c>
      <c r="F1355" t="s">
        <v>153</v>
      </c>
      <c r="G1355" t="s">
        <v>154</v>
      </c>
      <c r="H1355">
        <v>1526007432</v>
      </c>
      <c r="I1355">
        <v>1000007726</v>
      </c>
      <c r="L1355" t="s">
        <v>367</v>
      </c>
      <c r="M1355">
        <v>5100001603</v>
      </c>
      <c r="N1355" t="s">
        <v>155</v>
      </c>
      <c r="O1355" t="s">
        <v>156</v>
      </c>
      <c r="P1355">
        <v>4110025468</v>
      </c>
      <c r="Q1355" t="s">
        <v>165</v>
      </c>
      <c r="R1355">
        <v>5000</v>
      </c>
      <c r="S1355" t="s">
        <v>166</v>
      </c>
      <c r="V1355" t="s">
        <v>167</v>
      </c>
      <c r="W1355">
        <v>1502020102</v>
      </c>
      <c r="X1355" t="s">
        <v>58</v>
      </c>
      <c r="Y1355" t="str">
        <f>VLOOKUP(W1355,Sheet4!$A$5:$B$72,2,0)</f>
        <v>MAXIMA HD</v>
      </c>
      <c r="Z1355">
        <v>87082900</v>
      </c>
      <c r="AA1355">
        <v>8</v>
      </c>
      <c r="AB1355" t="s">
        <v>159</v>
      </c>
      <c r="AC1355" s="24">
        <v>8593.51</v>
      </c>
      <c r="AD1355" t="s">
        <v>160</v>
      </c>
      <c r="AE1355" s="24">
        <v>68748.08</v>
      </c>
      <c r="AF1355">
        <v>0</v>
      </c>
      <c r="AG1355" s="24">
        <v>68748.08</v>
      </c>
      <c r="AH1355">
        <v>0</v>
      </c>
      <c r="AI1355">
        <v>0</v>
      </c>
      <c r="AJ1355">
        <v>0</v>
      </c>
      <c r="AK1355">
        <v>0</v>
      </c>
      <c r="AL1355" s="24">
        <v>68748.08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 s="24">
        <v>68748.08</v>
      </c>
      <c r="AV1355">
        <v>0</v>
      </c>
      <c r="AW1355">
        <v>0</v>
      </c>
      <c r="AX1355">
        <v>311000</v>
      </c>
      <c r="AY1355" t="s">
        <v>161</v>
      </c>
      <c r="AZ1355">
        <v>93.34</v>
      </c>
      <c r="BA1355">
        <v>75.430000000000007</v>
      </c>
      <c r="BB1355">
        <v>17.91</v>
      </c>
      <c r="BC1355" t="s">
        <v>168</v>
      </c>
      <c r="BD1355">
        <v>1509</v>
      </c>
      <c r="BE1355" t="s">
        <v>169</v>
      </c>
      <c r="BF1355" t="s">
        <v>163</v>
      </c>
      <c r="BG1355" t="s">
        <v>164</v>
      </c>
    </row>
    <row r="1356" spans="1:59">
      <c r="A1356">
        <v>1115</v>
      </c>
      <c r="B1356">
        <v>1115</v>
      </c>
      <c r="C1356">
        <v>10</v>
      </c>
      <c r="D1356">
        <v>2</v>
      </c>
      <c r="E1356" t="s">
        <v>152</v>
      </c>
      <c r="F1356" t="s">
        <v>153</v>
      </c>
      <c r="G1356" t="s">
        <v>154</v>
      </c>
      <c r="H1356">
        <v>1526007431</v>
      </c>
      <c r="I1356">
        <v>1000007725</v>
      </c>
      <c r="L1356" t="s">
        <v>367</v>
      </c>
      <c r="M1356">
        <v>5100001928</v>
      </c>
      <c r="N1356" t="s">
        <v>155</v>
      </c>
      <c r="O1356" t="s">
        <v>156</v>
      </c>
      <c r="P1356">
        <v>4110057393</v>
      </c>
      <c r="Q1356" t="s">
        <v>192</v>
      </c>
      <c r="R1356">
        <v>5000</v>
      </c>
      <c r="S1356" t="s">
        <v>166</v>
      </c>
      <c r="V1356" t="s">
        <v>167</v>
      </c>
      <c r="W1356">
        <v>1502020122</v>
      </c>
      <c r="X1356" t="s">
        <v>70</v>
      </c>
      <c r="Y1356" t="str">
        <f>VLOOKUP(W1356,Sheet4!$A$5:$B$72,2,0)</f>
        <v>MAX UG NEW EV</v>
      </c>
      <c r="Z1356">
        <v>87082900</v>
      </c>
      <c r="AA1356">
        <v>10</v>
      </c>
      <c r="AB1356" t="s">
        <v>159</v>
      </c>
      <c r="AC1356" s="24">
        <v>9566.51</v>
      </c>
      <c r="AD1356" t="s">
        <v>160</v>
      </c>
      <c r="AE1356" s="24">
        <v>95665.1</v>
      </c>
      <c r="AF1356">
        <v>0</v>
      </c>
      <c r="AG1356" s="24">
        <v>95665.1</v>
      </c>
      <c r="AH1356">
        <v>0</v>
      </c>
      <c r="AI1356">
        <v>0</v>
      </c>
      <c r="AJ1356">
        <v>0</v>
      </c>
      <c r="AK1356">
        <v>0</v>
      </c>
      <c r="AL1356" s="24">
        <v>95665.1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 s="24">
        <v>95665.1</v>
      </c>
      <c r="AV1356">
        <v>0</v>
      </c>
      <c r="AW1356">
        <v>0</v>
      </c>
      <c r="AX1356">
        <v>311000</v>
      </c>
      <c r="AY1356" t="s">
        <v>161</v>
      </c>
      <c r="AZ1356">
        <v>0</v>
      </c>
      <c r="BA1356">
        <v>61</v>
      </c>
      <c r="BB1356">
        <v>-61</v>
      </c>
      <c r="BC1356" t="s">
        <v>193</v>
      </c>
      <c r="BD1356">
        <v>1509</v>
      </c>
      <c r="BE1356" t="s">
        <v>169</v>
      </c>
      <c r="BF1356" t="s">
        <v>163</v>
      </c>
      <c r="BG1356" t="s">
        <v>164</v>
      </c>
    </row>
    <row r="1357" spans="1:59">
      <c r="A1357">
        <v>1115</v>
      </c>
      <c r="B1357">
        <v>1115</v>
      </c>
      <c r="C1357">
        <v>10</v>
      </c>
      <c r="D1357">
        <v>2</v>
      </c>
      <c r="E1357" t="s">
        <v>152</v>
      </c>
      <c r="F1357" t="s">
        <v>153</v>
      </c>
      <c r="G1357" t="s">
        <v>154</v>
      </c>
      <c r="H1357">
        <v>1526007430</v>
      </c>
      <c r="I1357">
        <v>1000007724</v>
      </c>
      <c r="L1357" t="s">
        <v>367</v>
      </c>
      <c r="M1357">
        <v>5100001636</v>
      </c>
      <c r="N1357" t="s">
        <v>155</v>
      </c>
      <c r="O1357" t="s">
        <v>156</v>
      </c>
      <c r="P1357">
        <v>4110026445</v>
      </c>
      <c r="Q1357" t="s">
        <v>170</v>
      </c>
      <c r="R1357">
        <v>5000</v>
      </c>
      <c r="S1357" t="s">
        <v>166</v>
      </c>
      <c r="V1357" t="s">
        <v>167</v>
      </c>
      <c r="W1357">
        <v>1502020104</v>
      </c>
      <c r="X1357" t="s">
        <v>26</v>
      </c>
      <c r="Y1357" t="str">
        <f>VLOOKUP(W1357,Sheet4!$A$5:$B$72,2,0)</f>
        <v>RE STYLING</v>
      </c>
      <c r="Z1357">
        <v>87082900</v>
      </c>
      <c r="AA1357">
        <v>15</v>
      </c>
      <c r="AB1357" t="s">
        <v>159</v>
      </c>
      <c r="AC1357" s="24">
        <v>6585.55</v>
      </c>
      <c r="AD1357" t="s">
        <v>160</v>
      </c>
      <c r="AE1357" s="24">
        <v>98783.25</v>
      </c>
      <c r="AF1357">
        <v>0</v>
      </c>
      <c r="AG1357" s="24">
        <v>98783.25</v>
      </c>
      <c r="AH1357">
        <v>0</v>
      </c>
      <c r="AI1357">
        <v>0</v>
      </c>
      <c r="AJ1357">
        <v>0</v>
      </c>
      <c r="AK1357">
        <v>0</v>
      </c>
      <c r="AL1357" s="24">
        <v>98783.25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 s="24">
        <v>98783.25</v>
      </c>
      <c r="AV1357">
        <v>0</v>
      </c>
      <c r="AW1357">
        <v>0</v>
      </c>
      <c r="AX1357">
        <v>311000</v>
      </c>
      <c r="AY1357" t="s">
        <v>161</v>
      </c>
      <c r="AZ1357">
        <v>49.75</v>
      </c>
      <c r="BA1357">
        <v>49.75</v>
      </c>
      <c r="BB1357">
        <v>0</v>
      </c>
      <c r="BC1357" t="s">
        <v>171</v>
      </c>
      <c r="BD1357">
        <v>1509</v>
      </c>
      <c r="BE1357" t="s">
        <v>169</v>
      </c>
      <c r="BF1357" t="s">
        <v>163</v>
      </c>
      <c r="BG1357" t="s">
        <v>164</v>
      </c>
    </row>
    <row r="1358" spans="1:59">
      <c r="A1358">
        <v>1115</v>
      </c>
      <c r="B1358">
        <v>1115</v>
      </c>
      <c r="C1358">
        <v>10</v>
      </c>
      <c r="D1358">
        <v>2</v>
      </c>
      <c r="E1358" t="s">
        <v>152</v>
      </c>
      <c r="F1358" t="s">
        <v>153</v>
      </c>
      <c r="G1358" t="s">
        <v>154</v>
      </c>
      <c r="H1358">
        <v>1526007429</v>
      </c>
      <c r="I1358">
        <v>1000007723</v>
      </c>
      <c r="L1358" t="s">
        <v>367</v>
      </c>
      <c r="M1358">
        <v>5100001636</v>
      </c>
      <c r="N1358" t="s">
        <v>155</v>
      </c>
      <c r="O1358" t="s">
        <v>156</v>
      </c>
      <c r="P1358">
        <v>4110026445</v>
      </c>
      <c r="Q1358" t="s">
        <v>170</v>
      </c>
      <c r="R1358">
        <v>5000</v>
      </c>
      <c r="S1358" t="s">
        <v>166</v>
      </c>
      <c r="V1358" t="s">
        <v>167</v>
      </c>
      <c r="W1358">
        <v>1502020104</v>
      </c>
      <c r="X1358" t="s">
        <v>26</v>
      </c>
      <c r="Y1358" t="str">
        <f>VLOOKUP(W1358,Sheet4!$A$5:$B$72,2,0)</f>
        <v>RE STYLING</v>
      </c>
      <c r="Z1358">
        <v>87082900</v>
      </c>
      <c r="AA1358">
        <v>15</v>
      </c>
      <c r="AB1358" t="s">
        <v>159</v>
      </c>
      <c r="AC1358" s="24">
        <v>6585.55</v>
      </c>
      <c r="AD1358" t="s">
        <v>160</v>
      </c>
      <c r="AE1358" s="24">
        <v>98783.25</v>
      </c>
      <c r="AF1358">
        <v>0</v>
      </c>
      <c r="AG1358" s="24">
        <v>98783.25</v>
      </c>
      <c r="AH1358">
        <v>0</v>
      </c>
      <c r="AI1358">
        <v>0</v>
      </c>
      <c r="AJ1358">
        <v>0</v>
      </c>
      <c r="AK1358">
        <v>0</v>
      </c>
      <c r="AL1358" s="24">
        <v>98783.25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 s="24">
        <v>98783.25</v>
      </c>
      <c r="AV1358">
        <v>0</v>
      </c>
      <c r="AW1358">
        <v>0</v>
      </c>
      <c r="AX1358">
        <v>311000</v>
      </c>
      <c r="AY1358" t="s">
        <v>161</v>
      </c>
      <c r="AZ1358">
        <v>49.75</v>
      </c>
      <c r="BA1358">
        <v>49.75</v>
      </c>
      <c r="BB1358">
        <v>0</v>
      </c>
      <c r="BC1358" t="s">
        <v>171</v>
      </c>
      <c r="BD1358">
        <v>1509</v>
      </c>
      <c r="BE1358" t="s">
        <v>169</v>
      </c>
      <c r="BF1358" t="s">
        <v>163</v>
      </c>
      <c r="BG1358" t="s">
        <v>164</v>
      </c>
    </row>
    <row r="1359" spans="1:59">
      <c r="A1359">
        <v>1115</v>
      </c>
      <c r="B1359">
        <v>1115</v>
      </c>
      <c r="C1359">
        <v>10</v>
      </c>
      <c r="D1359">
        <v>2</v>
      </c>
      <c r="E1359" t="s">
        <v>152</v>
      </c>
      <c r="F1359" t="s">
        <v>153</v>
      </c>
      <c r="G1359" t="s">
        <v>154</v>
      </c>
      <c r="H1359">
        <v>1526007428</v>
      </c>
      <c r="I1359">
        <v>1000007722</v>
      </c>
      <c r="L1359" t="s">
        <v>367</v>
      </c>
      <c r="M1359">
        <v>5100001636</v>
      </c>
      <c r="N1359" t="s">
        <v>155</v>
      </c>
      <c r="O1359" t="s">
        <v>156</v>
      </c>
      <c r="P1359">
        <v>4110026445</v>
      </c>
      <c r="Q1359" t="s">
        <v>170</v>
      </c>
      <c r="R1359">
        <v>5000</v>
      </c>
      <c r="S1359" t="s">
        <v>166</v>
      </c>
      <c r="V1359" t="s">
        <v>167</v>
      </c>
      <c r="W1359">
        <v>1502020104</v>
      </c>
      <c r="X1359" t="s">
        <v>26</v>
      </c>
      <c r="Y1359" t="str">
        <f>VLOOKUP(W1359,Sheet4!$A$5:$B$72,2,0)</f>
        <v>RE STYLING</v>
      </c>
      <c r="Z1359">
        <v>87082900</v>
      </c>
      <c r="AA1359">
        <v>15</v>
      </c>
      <c r="AB1359" t="s">
        <v>159</v>
      </c>
      <c r="AC1359" s="24">
        <v>6585.55</v>
      </c>
      <c r="AD1359" t="s">
        <v>160</v>
      </c>
      <c r="AE1359" s="24">
        <v>98783.25</v>
      </c>
      <c r="AF1359">
        <v>0</v>
      </c>
      <c r="AG1359" s="24">
        <v>98783.25</v>
      </c>
      <c r="AH1359">
        <v>0</v>
      </c>
      <c r="AI1359">
        <v>0</v>
      </c>
      <c r="AJ1359">
        <v>0</v>
      </c>
      <c r="AK1359">
        <v>0</v>
      </c>
      <c r="AL1359" s="24">
        <v>98783.25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 s="24">
        <v>98783.25</v>
      </c>
      <c r="AV1359">
        <v>0</v>
      </c>
      <c r="AW1359">
        <v>0</v>
      </c>
      <c r="AX1359">
        <v>311000</v>
      </c>
      <c r="AY1359" t="s">
        <v>161</v>
      </c>
      <c r="AZ1359">
        <v>49.75</v>
      </c>
      <c r="BA1359">
        <v>49.75</v>
      </c>
      <c r="BB1359">
        <v>0</v>
      </c>
      <c r="BC1359" t="s">
        <v>171</v>
      </c>
      <c r="BD1359">
        <v>1509</v>
      </c>
      <c r="BE1359" t="s">
        <v>169</v>
      </c>
      <c r="BF1359" t="s">
        <v>163</v>
      </c>
      <c r="BG1359" t="s">
        <v>164</v>
      </c>
    </row>
    <row r="1360" spans="1:59">
      <c r="A1360">
        <v>1115</v>
      </c>
      <c r="B1360">
        <v>1115</v>
      </c>
      <c r="C1360">
        <v>10</v>
      </c>
      <c r="D1360">
        <v>2</v>
      </c>
      <c r="E1360" t="s">
        <v>152</v>
      </c>
      <c r="F1360" t="s">
        <v>153</v>
      </c>
      <c r="G1360" t="s">
        <v>154</v>
      </c>
      <c r="H1360">
        <v>1526007425</v>
      </c>
      <c r="I1360">
        <v>1000007720</v>
      </c>
      <c r="L1360" t="s">
        <v>367</v>
      </c>
      <c r="M1360">
        <v>5100001924</v>
      </c>
      <c r="N1360" t="s">
        <v>155</v>
      </c>
      <c r="O1360" t="s">
        <v>156</v>
      </c>
      <c r="P1360">
        <v>4110055642</v>
      </c>
      <c r="Q1360" t="s">
        <v>199</v>
      </c>
      <c r="R1360">
        <v>5000</v>
      </c>
      <c r="S1360" t="s">
        <v>166</v>
      </c>
      <c r="V1360" t="s">
        <v>167</v>
      </c>
      <c r="W1360">
        <v>1502040314</v>
      </c>
      <c r="X1360" t="s">
        <v>248</v>
      </c>
      <c r="Y1360" t="str">
        <f>VLOOKUP(W1360,Sheet4!$A$5:$B$72,2,0)</f>
        <v>Re Side Door</v>
      </c>
      <c r="Z1360">
        <v>87082900</v>
      </c>
      <c r="AA1360">
        <v>120</v>
      </c>
      <c r="AB1360" t="s">
        <v>159</v>
      </c>
      <c r="AC1360">
        <v>504.46</v>
      </c>
      <c r="AD1360" t="s">
        <v>160</v>
      </c>
      <c r="AE1360" s="24">
        <v>60535.199999999997</v>
      </c>
      <c r="AF1360">
        <v>0</v>
      </c>
      <c r="AG1360" s="24">
        <v>60535.199999999997</v>
      </c>
      <c r="AH1360">
        <v>0</v>
      </c>
      <c r="AI1360">
        <v>0</v>
      </c>
      <c r="AJ1360">
        <v>0</v>
      </c>
      <c r="AK1360">
        <v>0</v>
      </c>
      <c r="AL1360" s="24">
        <v>60535.199999999997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 s="24">
        <v>60535.199999999997</v>
      </c>
      <c r="AV1360">
        <v>0</v>
      </c>
      <c r="AW1360">
        <v>0</v>
      </c>
      <c r="AX1360">
        <v>311000</v>
      </c>
      <c r="AY1360" t="s">
        <v>161</v>
      </c>
      <c r="AZ1360">
        <v>2.27</v>
      </c>
      <c r="BA1360">
        <v>2.27</v>
      </c>
      <c r="BB1360">
        <v>0</v>
      </c>
      <c r="BC1360" t="s">
        <v>249</v>
      </c>
      <c r="BD1360">
        <v>1511</v>
      </c>
      <c r="BE1360" t="s">
        <v>174</v>
      </c>
      <c r="BF1360" t="s">
        <v>163</v>
      </c>
      <c r="BG1360" t="s">
        <v>164</v>
      </c>
    </row>
    <row r="1361" spans="1:59">
      <c r="A1361">
        <v>1115</v>
      </c>
      <c r="B1361">
        <v>1115</v>
      </c>
      <c r="C1361">
        <v>10</v>
      </c>
      <c r="D1361">
        <v>2</v>
      </c>
      <c r="E1361" t="s">
        <v>152</v>
      </c>
      <c r="F1361" t="s">
        <v>153</v>
      </c>
      <c r="G1361" t="s">
        <v>154</v>
      </c>
      <c r="H1361">
        <v>1526007424</v>
      </c>
      <c r="I1361">
        <v>1000007719</v>
      </c>
      <c r="L1361" t="s">
        <v>367</v>
      </c>
      <c r="M1361">
        <v>5100001588</v>
      </c>
      <c r="N1361" t="s">
        <v>155</v>
      </c>
      <c r="O1361" t="s">
        <v>156</v>
      </c>
      <c r="P1361">
        <v>4110025058</v>
      </c>
      <c r="Q1361" t="s">
        <v>180</v>
      </c>
      <c r="R1361">
        <v>5000</v>
      </c>
      <c r="S1361" t="s">
        <v>166</v>
      </c>
      <c r="V1361" t="s">
        <v>167</v>
      </c>
      <c r="W1361">
        <v>1502040235</v>
      </c>
      <c r="X1361" t="s">
        <v>47</v>
      </c>
      <c r="Y1361" t="str">
        <f>VLOOKUP(W1361,Sheet4!$A$5:$B$72,2,0)</f>
        <v>STARTING HANDLE</v>
      </c>
      <c r="Z1361">
        <v>87082900</v>
      </c>
      <c r="AA1361">
        <v>270</v>
      </c>
      <c r="AB1361" t="s">
        <v>159</v>
      </c>
      <c r="AC1361">
        <v>217.33</v>
      </c>
      <c r="AD1361" t="s">
        <v>160</v>
      </c>
      <c r="AE1361" s="24">
        <v>58679.1</v>
      </c>
      <c r="AF1361">
        <v>0</v>
      </c>
      <c r="AG1361" s="24">
        <v>58679.1</v>
      </c>
      <c r="AH1361">
        <v>0</v>
      </c>
      <c r="AI1361">
        <v>0</v>
      </c>
      <c r="AJ1361">
        <v>0</v>
      </c>
      <c r="AK1361">
        <v>0</v>
      </c>
      <c r="AL1361" s="24">
        <v>58679.1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 s="24">
        <v>58679.1</v>
      </c>
      <c r="AV1361">
        <v>0</v>
      </c>
      <c r="AW1361">
        <v>0</v>
      </c>
      <c r="AX1361">
        <v>311000</v>
      </c>
      <c r="AY1361" t="s">
        <v>161</v>
      </c>
      <c r="AZ1361">
        <v>1.19</v>
      </c>
      <c r="BA1361">
        <v>1.19</v>
      </c>
      <c r="BB1361">
        <v>0</v>
      </c>
      <c r="BC1361" t="s">
        <v>181</v>
      </c>
      <c r="BD1361">
        <v>1511</v>
      </c>
      <c r="BE1361" t="s">
        <v>174</v>
      </c>
      <c r="BF1361" t="s">
        <v>163</v>
      </c>
      <c r="BG1361" t="s">
        <v>164</v>
      </c>
    </row>
    <row r="1362" spans="1:59">
      <c r="A1362">
        <v>1115</v>
      </c>
      <c r="B1362">
        <v>1115</v>
      </c>
      <c r="C1362">
        <v>10</v>
      </c>
      <c r="D1362">
        <v>2</v>
      </c>
      <c r="E1362" t="s">
        <v>152</v>
      </c>
      <c r="F1362" t="s">
        <v>153</v>
      </c>
      <c r="G1362" t="s">
        <v>154</v>
      </c>
      <c r="H1362">
        <v>1526007423</v>
      </c>
      <c r="I1362">
        <v>1000007718</v>
      </c>
      <c r="L1362" t="s">
        <v>367</v>
      </c>
      <c r="M1362">
        <v>5100001588</v>
      </c>
      <c r="N1362" t="s">
        <v>155</v>
      </c>
      <c r="O1362" t="s">
        <v>156</v>
      </c>
      <c r="P1362">
        <v>4110025058</v>
      </c>
      <c r="Q1362" t="s">
        <v>180</v>
      </c>
      <c r="R1362">
        <v>5000</v>
      </c>
      <c r="S1362" t="s">
        <v>166</v>
      </c>
      <c r="V1362" t="s">
        <v>167</v>
      </c>
      <c r="W1362">
        <v>1502040235</v>
      </c>
      <c r="X1362" t="s">
        <v>47</v>
      </c>
      <c r="Y1362" t="str">
        <f>VLOOKUP(W1362,Sheet4!$A$5:$B$72,2,0)</f>
        <v>STARTING HANDLE</v>
      </c>
      <c r="Z1362">
        <v>87082900</v>
      </c>
      <c r="AA1362">
        <v>270</v>
      </c>
      <c r="AB1362" t="s">
        <v>159</v>
      </c>
      <c r="AC1362">
        <v>217.33</v>
      </c>
      <c r="AD1362" t="s">
        <v>160</v>
      </c>
      <c r="AE1362" s="24">
        <v>58679.1</v>
      </c>
      <c r="AF1362">
        <v>0</v>
      </c>
      <c r="AG1362" s="24">
        <v>58679.1</v>
      </c>
      <c r="AH1362">
        <v>0</v>
      </c>
      <c r="AI1362">
        <v>0</v>
      </c>
      <c r="AJ1362">
        <v>0</v>
      </c>
      <c r="AK1362">
        <v>0</v>
      </c>
      <c r="AL1362" s="24">
        <v>58679.1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 s="24">
        <v>58679.1</v>
      </c>
      <c r="AV1362">
        <v>0</v>
      </c>
      <c r="AW1362">
        <v>0</v>
      </c>
      <c r="AX1362">
        <v>311000</v>
      </c>
      <c r="AY1362" t="s">
        <v>161</v>
      </c>
      <c r="AZ1362">
        <v>1.19</v>
      </c>
      <c r="BA1362">
        <v>1.19</v>
      </c>
      <c r="BB1362">
        <v>0</v>
      </c>
      <c r="BC1362" t="s">
        <v>181</v>
      </c>
      <c r="BD1362">
        <v>1511</v>
      </c>
      <c r="BE1362" t="s">
        <v>174</v>
      </c>
      <c r="BF1362" t="s">
        <v>163</v>
      </c>
      <c r="BG1362" t="s">
        <v>164</v>
      </c>
    </row>
    <row r="1363" spans="1:59">
      <c r="A1363">
        <v>1115</v>
      </c>
      <c r="B1363">
        <v>1115</v>
      </c>
      <c r="C1363">
        <v>10</v>
      </c>
      <c r="D1363">
        <v>2</v>
      </c>
      <c r="E1363" t="s">
        <v>152</v>
      </c>
      <c r="F1363" t="s">
        <v>153</v>
      </c>
      <c r="G1363" t="s">
        <v>154</v>
      </c>
      <c r="H1363">
        <v>1526007422</v>
      </c>
      <c r="I1363">
        <v>1000007717</v>
      </c>
      <c r="L1363" t="s">
        <v>367</v>
      </c>
      <c r="M1363">
        <v>5100001924</v>
      </c>
      <c r="N1363" t="s">
        <v>155</v>
      </c>
      <c r="O1363" t="s">
        <v>156</v>
      </c>
      <c r="P1363">
        <v>4110055642</v>
      </c>
      <c r="Q1363" t="s">
        <v>199</v>
      </c>
      <c r="R1363">
        <v>5000</v>
      </c>
      <c r="S1363" t="s">
        <v>166</v>
      </c>
      <c r="V1363" t="s">
        <v>167</v>
      </c>
      <c r="W1363">
        <v>1502040313</v>
      </c>
      <c r="X1363" t="s">
        <v>246</v>
      </c>
      <c r="Y1363" t="str">
        <f>VLOOKUP(W1363,Sheet4!$A$5:$B$72,2,0)</f>
        <v>Re Side Door</v>
      </c>
      <c r="Z1363">
        <v>87082900</v>
      </c>
      <c r="AA1363">
        <v>120</v>
      </c>
      <c r="AB1363" t="s">
        <v>159</v>
      </c>
      <c r="AC1363">
        <v>504.46</v>
      </c>
      <c r="AD1363" t="s">
        <v>160</v>
      </c>
      <c r="AE1363" s="24">
        <v>60535.199999999997</v>
      </c>
      <c r="AF1363">
        <v>0</v>
      </c>
      <c r="AG1363" s="24">
        <v>60535.199999999997</v>
      </c>
      <c r="AH1363">
        <v>0</v>
      </c>
      <c r="AI1363">
        <v>0</v>
      </c>
      <c r="AJ1363">
        <v>0</v>
      </c>
      <c r="AK1363">
        <v>0</v>
      </c>
      <c r="AL1363" s="24">
        <v>60535.199999999997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 s="24">
        <v>60535.199999999997</v>
      </c>
      <c r="AV1363">
        <v>0</v>
      </c>
      <c r="AW1363">
        <v>0</v>
      </c>
      <c r="AX1363">
        <v>311000</v>
      </c>
      <c r="AY1363" t="s">
        <v>161</v>
      </c>
      <c r="AZ1363">
        <v>2.27</v>
      </c>
      <c r="BA1363">
        <v>2.27</v>
      </c>
      <c r="BB1363">
        <v>0</v>
      </c>
      <c r="BC1363" t="s">
        <v>247</v>
      </c>
      <c r="BD1363">
        <v>1511</v>
      </c>
      <c r="BE1363" t="s">
        <v>174</v>
      </c>
      <c r="BF1363" t="s">
        <v>163</v>
      </c>
      <c r="BG1363" t="s">
        <v>164</v>
      </c>
    </row>
    <row r="1364" spans="1:59">
      <c r="A1364">
        <v>1115</v>
      </c>
      <c r="B1364">
        <v>1115</v>
      </c>
      <c r="C1364">
        <v>10</v>
      </c>
      <c r="D1364">
        <v>2</v>
      </c>
      <c r="E1364" t="s">
        <v>152</v>
      </c>
      <c r="F1364" t="s">
        <v>153</v>
      </c>
      <c r="G1364" t="s">
        <v>154</v>
      </c>
      <c r="H1364">
        <v>1526007421</v>
      </c>
      <c r="I1364">
        <v>1000007716</v>
      </c>
      <c r="L1364" t="s">
        <v>367</v>
      </c>
      <c r="M1364">
        <v>5100001928</v>
      </c>
      <c r="N1364" t="s">
        <v>155</v>
      </c>
      <c r="O1364" t="s">
        <v>156</v>
      </c>
      <c r="P1364">
        <v>4110057393</v>
      </c>
      <c r="Q1364" t="s">
        <v>192</v>
      </c>
      <c r="R1364">
        <v>5000</v>
      </c>
      <c r="S1364" t="s">
        <v>166</v>
      </c>
      <c r="V1364" t="s">
        <v>167</v>
      </c>
      <c r="W1364">
        <v>1502020122</v>
      </c>
      <c r="X1364" t="s">
        <v>70</v>
      </c>
      <c r="Y1364" t="str">
        <f>VLOOKUP(W1364,Sheet4!$A$5:$B$72,2,0)</f>
        <v>MAX UG NEW EV</v>
      </c>
      <c r="Z1364">
        <v>87082900</v>
      </c>
      <c r="AA1364">
        <v>10</v>
      </c>
      <c r="AB1364" t="s">
        <v>159</v>
      </c>
      <c r="AC1364" s="24">
        <v>9566.51</v>
      </c>
      <c r="AD1364" t="s">
        <v>160</v>
      </c>
      <c r="AE1364" s="24">
        <v>95665.1</v>
      </c>
      <c r="AF1364">
        <v>0</v>
      </c>
      <c r="AG1364" s="24">
        <v>95665.1</v>
      </c>
      <c r="AH1364">
        <v>0</v>
      </c>
      <c r="AI1364">
        <v>0</v>
      </c>
      <c r="AJ1364">
        <v>0</v>
      </c>
      <c r="AK1364">
        <v>0</v>
      </c>
      <c r="AL1364" s="24">
        <v>95665.1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 s="24">
        <v>95665.1</v>
      </c>
      <c r="AV1364">
        <v>0</v>
      </c>
      <c r="AW1364">
        <v>0</v>
      </c>
      <c r="AX1364">
        <v>311000</v>
      </c>
      <c r="AY1364" t="s">
        <v>161</v>
      </c>
      <c r="AZ1364">
        <v>0</v>
      </c>
      <c r="BA1364">
        <v>61</v>
      </c>
      <c r="BB1364">
        <v>-61</v>
      </c>
      <c r="BC1364" t="s">
        <v>193</v>
      </c>
      <c r="BD1364">
        <v>1509</v>
      </c>
      <c r="BE1364" t="s">
        <v>169</v>
      </c>
      <c r="BF1364" t="s">
        <v>163</v>
      </c>
      <c r="BG1364" t="s">
        <v>164</v>
      </c>
    </row>
    <row r="1365" spans="1:59">
      <c r="A1365">
        <v>1115</v>
      </c>
      <c r="B1365">
        <v>1115</v>
      </c>
      <c r="C1365">
        <v>10</v>
      </c>
      <c r="D1365">
        <v>2</v>
      </c>
      <c r="E1365" t="s">
        <v>152</v>
      </c>
      <c r="F1365" t="s">
        <v>153</v>
      </c>
      <c r="G1365" t="s">
        <v>154</v>
      </c>
      <c r="H1365">
        <v>1526007420</v>
      </c>
      <c r="I1365">
        <v>1000007715</v>
      </c>
      <c r="L1365" t="s">
        <v>367</v>
      </c>
      <c r="M1365">
        <v>5100001928</v>
      </c>
      <c r="N1365" t="s">
        <v>155</v>
      </c>
      <c r="O1365" t="s">
        <v>156</v>
      </c>
      <c r="P1365">
        <v>4110057393</v>
      </c>
      <c r="Q1365" t="s">
        <v>192</v>
      </c>
      <c r="R1365">
        <v>5000</v>
      </c>
      <c r="S1365" t="s">
        <v>166</v>
      </c>
      <c r="V1365" t="s">
        <v>167</v>
      </c>
      <c r="W1365">
        <v>1502020122</v>
      </c>
      <c r="X1365" t="s">
        <v>70</v>
      </c>
      <c r="Y1365" t="str">
        <f>VLOOKUP(W1365,Sheet4!$A$5:$B$72,2,0)</f>
        <v>MAX UG NEW EV</v>
      </c>
      <c r="Z1365">
        <v>87082900</v>
      </c>
      <c r="AA1365">
        <v>10</v>
      </c>
      <c r="AB1365" t="s">
        <v>159</v>
      </c>
      <c r="AC1365" s="24">
        <v>9566.51</v>
      </c>
      <c r="AD1365" t="s">
        <v>160</v>
      </c>
      <c r="AE1365" s="24">
        <v>95665.1</v>
      </c>
      <c r="AF1365">
        <v>0</v>
      </c>
      <c r="AG1365" s="24">
        <v>95665.1</v>
      </c>
      <c r="AH1365">
        <v>0</v>
      </c>
      <c r="AI1365">
        <v>0</v>
      </c>
      <c r="AJ1365">
        <v>0</v>
      </c>
      <c r="AK1365">
        <v>0</v>
      </c>
      <c r="AL1365" s="24">
        <v>95665.1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 s="24">
        <v>95665.1</v>
      </c>
      <c r="AV1365">
        <v>0</v>
      </c>
      <c r="AW1365">
        <v>0</v>
      </c>
      <c r="AX1365">
        <v>311000</v>
      </c>
      <c r="AY1365" t="s">
        <v>161</v>
      </c>
      <c r="AZ1365">
        <v>0</v>
      </c>
      <c r="BA1365">
        <v>61</v>
      </c>
      <c r="BB1365">
        <v>-61</v>
      </c>
      <c r="BC1365" t="s">
        <v>193</v>
      </c>
      <c r="BD1365">
        <v>1509</v>
      </c>
      <c r="BE1365" t="s">
        <v>169</v>
      </c>
      <c r="BF1365" t="s">
        <v>163</v>
      </c>
      <c r="BG1365" t="s">
        <v>164</v>
      </c>
    </row>
    <row r="1366" spans="1:59">
      <c r="A1366">
        <v>1115</v>
      </c>
      <c r="B1366">
        <v>1115</v>
      </c>
      <c r="C1366">
        <v>10</v>
      </c>
      <c r="D1366">
        <v>2</v>
      </c>
      <c r="E1366" t="s">
        <v>152</v>
      </c>
      <c r="F1366" t="s">
        <v>153</v>
      </c>
      <c r="G1366" t="s">
        <v>154</v>
      </c>
      <c r="H1366">
        <v>1526007419</v>
      </c>
      <c r="I1366">
        <v>1000007714</v>
      </c>
      <c r="L1366" t="s">
        <v>367</v>
      </c>
      <c r="M1366">
        <v>5100001636</v>
      </c>
      <c r="N1366" t="s">
        <v>155</v>
      </c>
      <c r="O1366" t="s">
        <v>156</v>
      </c>
      <c r="P1366">
        <v>4110026445</v>
      </c>
      <c r="Q1366" t="s">
        <v>170</v>
      </c>
      <c r="R1366">
        <v>5000</v>
      </c>
      <c r="S1366" t="s">
        <v>166</v>
      </c>
      <c r="V1366" t="s">
        <v>167</v>
      </c>
      <c r="W1366">
        <v>1502020104</v>
      </c>
      <c r="X1366" t="s">
        <v>26</v>
      </c>
      <c r="Y1366" t="str">
        <f>VLOOKUP(W1366,Sheet4!$A$5:$B$72,2,0)</f>
        <v>RE STYLING</v>
      </c>
      <c r="Z1366">
        <v>87082900</v>
      </c>
      <c r="AA1366">
        <v>15</v>
      </c>
      <c r="AB1366" t="s">
        <v>159</v>
      </c>
      <c r="AC1366" s="24">
        <v>6585.55</v>
      </c>
      <c r="AD1366" t="s">
        <v>160</v>
      </c>
      <c r="AE1366" s="24">
        <v>98783.25</v>
      </c>
      <c r="AF1366">
        <v>0</v>
      </c>
      <c r="AG1366" s="24">
        <v>98783.25</v>
      </c>
      <c r="AH1366">
        <v>0</v>
      </c>
      <c r="AI1366">
        <v>0</v>
      </c>
      <c r="AJ1366">
        <v>0</v>
      </c>
      <c r="AK1366">
        <v>0</v>
      </c>
      <c r="AL1366" s="24">
        <v>98783.25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 s="24">
        <v>98783.25</v>
      </c>
      <c r="AV1366">
        <v>0</v>
      </c>
      <c r="AW1366">
        <v>0</v>
      </c>
      <c r="AX1366">
        <v>311000</v>
      </c>
      <c r="AY1366" t="s">
        <v>161</v>
      </c>
      <c r="AZ1366">
        <v>49.75</v>
      </c>
      <c r="BA1366">
        <v>49.75</v>
      </c>
      <c r="BB1366">
        <v>0</v>
      </c>
      <c r="BC1366" t="s">
        <v>171</v>
      </c>
      <c r="BD1366">
        <v>1509</v>
      </c>
      <c r="BE1366" t="s">
        <v>169</v>
      </c>
      <c r="BF1366" t="s">
        <v>163</v>
      </c>
      <c r="BG1366" t="s">
        <v>164</v>
      </c>
    </row>
    <row r="1367" spans="1:59">
      <c r="A1367">
        <v>1115</v>
      </c>
      <c r="B1367">
        <v>1115</v>
      </c>
      <c r="C1367">
        <v>10</v>
      </c>
      <c r="D1367">
        <v>2</v>
      </c>
      <c r="E1367" t="s">
        <v>152</v>
      </c>
      <c r="F1367" t="s">
        <v>153</v>
      </c>
      <c r="G1367" t="s">
        <v>154</v>
      </c>
      <c r="H1367">
        <v>1526007418</v>
      </c>
      <c r="I1367">
        <v>1000007713</v>
      </c>
      <c r="L1367" t="s">
        <v>367</v>
      </c>
      <c r="M1367">
        <v>5100001636</v>
      </c>
      <c r="N1367" t="s">
        <v>155</v>
      </c>
      <c r="O1367" t="s">
        <v>156</v>
      </c>
      <c r="P1367">
        <v>4110026445</v>
      </c>
      <c r="Q1367" t="s">
        <v>170</v>
      </c>
      <c r="R1367">
        <v>5000</v>
      </c>
      <c r="S1367" t="s">
        <v>166</v>
      </c>
      <c r="V1367" t="s">
        <v>167</v>
      </c>
      <c r="W1367">
        <v>1502020104</v>
      </c>
      <c r="X1367" t="s">
        <v>26</v>
      </c>
      <c r="Y1367" t="str">
        <f>VLOOKUP(W1367,Sheet4!$A$5:$B$72,2,0)</f>
        <v>RE STYLING</v>
      </c>
      <c r="Z1367">
        <v>87082900</v>
      </c>
      <c r="AA1367">
        <v>15</v>
      </c>
      <c r="AB1367" t="s">
        <v>159</v>
      </c>
      <c r="AC1367" s="24">
        <v>6585.55</v>
      </c>
      <c r="AD1367" t="s">
        <v>160</v>
      </c>
      <c r="AE1367" s="24">
        <v>98783.25</v>
      </c>
      <c r="AF1367">
        <v>0</v>
      </c>
      <c r="AG1367" s="24">
        <v>98783.25</v>
      </c>
      <c r="AH1367">
        <v>0</v>
      </c>
      <c r="AI1367">
        <v>0</v>
      </c>
      <c r="AJ1367">
        <v>0</v>
      </c>
      <c r="AK1367">
        <v>0</v>
      </c>
      <c r="AL1367" s="24">
        <v>98783.25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 s="24">
        <v>98783.25</v>
      </c>
      <c r="AV1367">
        <v>0</v>
      </c>
      <c r="AW1367">
        <v>0</v>
      </c>
      <c r="AX1367">
        <v>311000</v>
      </c>
      <c r="AY1367" t="s">
        <v>161</v>
      </c>
      <c r="AZ1367">
        <v>49.75</v>
      </c>
      <c r="BA1367">
        <v>49.75</v>
      </c>
      <c r="BB1367">
        <v>0</v>
      </c>
      <c r="BC1367" t="s">
        <v>171</v>
      </c>
      <c r="BD1367">
        <v>1509</v>
      </c>
      <c r="BE1367" t="s">
        <v>169</v>
      </c>
      <c r="BF1367" t="s">
        <v>163</v>
      </c>
      <c r="BG1367" t="s">
        <v>164</v>
      </c>
    </row>
    <row r="1368" spans="1:59">
      <c r="A1368">
        <v>1115</v>
      </c>
      <c r="B1368">
        <v>1115</v>
      </c>
      <c r="C1368">
        <v>10</v>
      </c>
      <c r="D1368">
        <v>2</v>
      </c>
      <c r="E1368" t="s">
        <v>152</v>
      </c>
      <c r="F1368" t="s">
        <v>153</v>
      </c>
      <c r="G1368" t="s">
        <v>154</v>
      </c>
      <c r="H1368">
        <v>1526007417</v>
      </c>
      <c r="I1368">
        <v>1000007712</v>
      </c>
      <c r="L1368" t="s">
        <v>367</v>
      </c>
      <c r="M1368">
        <v>5100001636</v>
      </c>
      <c r="N1368" t="s">
        <v>155</v>
      </c>
      <c r="O1368" t="s">
        <v>156</v>
      </c>
      <c r="P1368">
        <v>4110026445</v>
      </c>
      <c r="Q1368" t="s">
        <v>170</v>
      </c>
      <c r="R1368">
        <v>5000</v>
      </c>
      <c r="S1368" t="s">
        <v>166</v>
      </c>
      <c r="V1368" t="s">
        <v>167</v>
      </c>
      <c r="W1368">
        <v>1502020104</v>
      </c>
      <c r="X1368" t="s">
        <v>26</v>
      </c>
      <c r="Y1368" t="str">
        <f>VLOOKUP(W1368,Sheet4!$A$5:$B$72,2,0)</f>
        <v>RE STYLING</v>
      </c>
      <c r="Z1368">
        <v>87082900</v>
      </c>
      <c r="AA1368">
        <v>15</v>
      </c>
      <c r="AB1368" t="s">
        <v>159</v>
      </c>
      <c r="AC1368" s="24">
        <v>6585.55</v>
      </c>
      <c r="AD1368" t="s">
        <v>160</v>
      </c>
      <c r="AE1368" s="24">
        <v>98783.25</v>
      </c>
      <c r="AF1368">
        <v>0</v>
      </c>
      <c r="AG1368" s="24">
        <v>98783.25</v>
      </c>
      <c r="AH1368">
        <v>0</v>
      </c>
      <c r="AI1368">
        <v>0</v>
      </c>
      <c r="AJ1368">
        <v>0</v>
      </c>
      <c r="AK1368">
        <v>0</v>
      </c>
      <c r="AL1368" s="24">
        <v>98783.25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 s="24">
        <v>98783.25</v>
      </c>
      <c r="AV1368">
        <v>0</v>
      </c>
      <c r="AW1368">
        <v>0</v>
      </c>
      <c r="AX1368">
        <v>311000</v>
      </c>
      <c r="AY1368" t="s">
        <v>161</v>
      </c>
      <c r="AZ1368">
        <v>49.75</v>
      </c>
      <c r="BA1368">
        <v>49.75</v>
      </c>
      <c r="BB1368">
        <v>0</v>
      </c>
      <c r="BC1368" t="s">
        <v>171</v>
      </c>
      <c r="BD1368">
        <v>1509</v>
      </c>
      <c r="BE1368" t="s">
        <v>169</v>
      </c>
      <c r="BF1368" t="s">
        <v>163</v>
      </c>
      <c r="BG1368" t="s">
        <v>164</v>
      </c>
    </row>
    <row r="1369" spans="1:59">
      <c r="A1369">
        <v>1115</v>
      </c>
      <c r="B1369">
        <v>1115</v>
      </c>
      <c r="C1369">
        <v>10</v>
      </c>
      <c r="D1369">
        <v>2</v>
      </c>
      <c r="E1369" t="s">
        <v>152</v>
      </c>
      <c r="F1369" t="s">
        <v>153</v>
      </c>
      <c r="G1369" t="s">
        <v>154</v>
      </c>
      <c r="H1369">
        <v>1526007416</v>
      </c>
      <c r="I1369">
        <v>1000007711</v>
      </c>
      <c r="L1369" t="s">
        <v>367</v>
      </c>
      <c r="M1369">
        <v>5100001666</v>
      </c>
      <c r="N1369" t="s">
        <v>155</v>
      </c>
      <c r="O1369" t="s">
        <v>156</v>
      </c>
      <c r="P1369">
        <v>4110027035</v>
      </c>
      <c r="Q1369" t="s">
        <v>225</v>
      </c>
      <c r="R1369">
        <v>5000</v>
      </c>
      <c r="S1369" t="s">
        <v>166</v>
      </c>
      <c r="V1369" t="s">
        <v>167</v>
      </c>
      <c r="W1369">
        <v>1502020105</v>
      </c>
      <c r="X1369" t="s">
        <v>226</v>
      </c>
      <c r="Y1369" t="str">
        <f>VLOOKUP(W1369,Sheet4!$A$5:$B$72,2,0)</f>
        <v>RE STYLING</v>
      </c>
      <c r="Z1369">
        <v>87082900</v>
      </c>
      <c r="AA1369">
        <v>15</v>
      </c>
      <c r="AB1369" t="s">
        <v>159</v>
      </c>
      <c r="AC1369" s="24">
        <v>6570.77</v>
      </c>
      <c r="AD1369" t="s">
        <v>160</v>
      </c>
      <c r="AE1369" s="24">
        <v>98561.55</v>
      </c>
      <c r="AF1369">
        <v>0</v>
      </c>
      <c r="AG1369" s="24">
        <v>98561.55</v>
      </c>
      <c r="AH1369">
        <v>0</v>
      </c>
      <c r="AI1369">
        <v>0</v>
      </c>
      <c r="AJ1369">
        <v>0</v>
      </c>
      <c r="AK1369">
        <v>0</v>
      </c>
      <c r="AL1369" s="24">
        <v>98561.55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 s="24">
        <v>98561.55</v>
      </c>
      <c r="AV1369">
        <v>0</v>
      </c>
      <c r="AW1369">
        <v>0</v>
      </c>
      <c r="AX1369">
        <v>311000</v>
      </c>
      <c r="AY1369" t="s">
        <v>161</v>
      </c>
      <c r="AZ1369">
        <v>49.75</v>
      </c>
      <c r="BA1369">
        <v>49.75</v>
      </c>
      <c r="BB1369">
        <v>0</v>
      </c>
      <c r="BC1369" t="s">
        <v>227</v>
      </c>
      <c r="BD1369">
        <v>1509</v>
      </c>
      <c r="BE1369" t="s">
        <v>169</v>
      </c>
      <c r="BF1369" t="s">
        <v>163</v>
      </c>
      <c r="BG1369" t="s">
        <v>164</v>
      </c>
    </row>
    <row r="1370" spans="1:59">
      <c r="A1370">
        <v>1115</v>
      </c>
      <c r="B1370">
        <v>1115</v>
      </c>
      <c r="C1370">
        <v>10</v>
      </c>
      <c r="D1370">
        <v>2</v>
      </c>
      <c r="E1370" t="s">
        <v>152</v>
      </c>
      <c r="F1370" t="s">
        <v>153</v>
      </c>
      <c r="G1370" t="s">
        <v>154</v>
      </c>
      <c r="H1370">
        <v>1526007415</v>
      </c>
      <c r="I1370">
        <v>1000007710</v>
      </c>
      <c r="L1370" t="s">
        <v>367</v>
      </c>
      <c r="M1370">
        <v>5100001603</v>
      </c>
      <c r="N1370" t="s">
        <v>155</v>
      </c>
      <c r="O1370" t="s">
        <v>156</v>
      </c>
      <c r="P1370">
        <v>4110025468</v>
      </c>
      <c r="Q1370" t="s">
        <v>165</v>
      </c>
      <c r="R1370">
        <v>5000</v>
      </c>
      <c r="S1370" t="s">
        <v>166</v>
      </c>
      <c r="V1370" t="s">
        <v>167</v>
      </c>
      <c r="W1370">
        <v>1502020102</v>
      </c>
      <c r="X1370" t="s">
        <v>58</v>
      </c>
      <c r="Y1370" t="str">
        <f>VLOOKUP(W1370,Sheet4!$A$5:$B$72,2,0)</f>
        <v>MAXIMA HD</v>
      </c>
      <c r="Z1370">
        <v>87082900</v>
      </c>
      <c r="AA1370">
        <v>8</v>
      </c>
      <c r="AB1370" t="s">
        <v>159</v>
      </c>
      <c r="AC1370" s="24">
        <v>8593.51</v>
      </c>
      <c r="AD1370" t="s">
        <v>160</v>
      </c>
      <c r="AE1370" s="24">
        <v>68748.08</v>
      </c>
      <c r="AF1370">
        <v>0</v>
      </c>
      <c r="AG1370" s="24">
        <v>68748.08</v>
      </c>
      <c r="AH1370">
        <v>0</v>
      </c>
      <c r="AI1370">
        <v>0</v>
      </c>
      <c r="AJ1370">
        <v>0</v>
      </c>
      <c r="AK1370">
        <v>0</v>
      </c>
      <c r="AL1370" s="24">
        <v>68748.08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 s="24">
        <v>68748.08</v>
      </c>
      <c r="AV1370">
        <v>0</v>
      </c>
      <c r="AW1370">
        <v>0</v>
      </c>
      <c r="AX1370">
        <v>311000</v>
      </c>
      <c r="AY1370" t="s">
        <v>161</v>
      </c>
      <c r="AZ1370">
        <v>93.34</v>
      </c>
      <c r="BA1370">
        <v>75.430000000000007</v>
      </c>
      <c r="BB1370">
        <v>17.91</v>
      </c>
      <c r="BC1370" t="s">
        <v>168</v>
      </c>
      <c r="BD1370">
        <v>1509</v>
      </c>
      <c r="BE1370" t="s">
        <v>169</v>
      </c>
      <c r="BF1370" t="s">
        <v>163</v>
      </c>
      <c r="BG1370" t="s">
        <v>164</v>
      </c>
    </row>
    <row r="1371" spans="1:59">
      <c r="A1371">
        <v>1115</v>
      </c>
      <c r="B1371">
        <v>1115</v>
      </c>
      <c r="C1371">
        <v>10</v>
      </c>
      <c r="D1371">
        <v>2</v>
      </c>
      <c r="E1371" t="s">
        <v>152</v>
      </c>
      <c r="F1371" t="s">
        <v>153</v>
      </c>
      <c r="G1371" t="s">
        <v>154</v>
      </c>
      <c r="H1371">
        <v>1526007414</v>
      </c>
      <c r="I1371">
        <v>1000007709</v>
      </c>
      <c r="L1371" t="s">
        <v>367</v>
      </c>
      <c r="M1371">
        <v>5100001603</v>
      </c>
      <c r="N1371" t="s">
        <v>155</v>
      </c>
      <c r="O1371" t="s">
        <v>156</v>
      </c>
      <c r="P1371">
        <v>4110025468</v>
      </c>
      <c r="Q1371" t="s">
        <v>165</v>
      </c>
      <c r="R1371">
        <v>5000</v>
      </c>
      <c r="S1371" t="s">
        <v>166</v>
      </c>
      <c r="V1371" t="s">
        <v>167</v>
      </c>
      <c r="W1371">
        <v>1502020102</v>
      </c>
      <c r="X1371" t="s">
        <v>58</v>
      </c>
      <c r="Y1371" t="str">
        <f>VLOOKUP(W1371,Sheet4!$A$5:$B$72,2,0)</f>
        <v>MAXIMA HD</v>
      </c>
      <c r="Z1371">
        <v>87082900</v>
      </c>
      <c r="AA1371">
        <v>8</v>
      </c>
      <c r="AB1371" t="s">
        <v>159</v>
      </c>
      <c r="AC1371" s="24">
        <v>8593.51</v>
      </c>
      <c r="AD1371" t="s">
        <v>160</v>
      </c>
      <c r="AE1371" s="24">
        <v>68748.08</v>
      </c>
      <c r="AF1371">
        <v>0</v>
      </c>
      <c r="AG1371" s="24">
        <v>68748.08</v>
      </c>
      <c r="AH1371">
        <v>0</v>
      </c>
      <c r="AI1371">
        <v>0</v>
      </c>
      <c r="AJ1371">
        <v>0</v>
      </c>
      <c r="AK1371">
        <v>0</v>
      </c>
      <c r="AL1371" s="24">
        <v>68748.08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 s="24">
        <v>68748.08</v>
      </c>
      <c r="AV1371">
        <v>0</v>
      </c>
      <c r="AW1371">
        <v>0</v>
      </c>
      <c r="AX1371">
        <v>311000</v>
      </c>
      <c r="AY1371" t="s">
        <v>161</v>
      </c>
      <c r="AZ1371">
        <v>93.34</v>
      </c>
      <c r="BA1371">
        <v>75.430000000000007</v>
      </c>
      <c r="BB1371">
        <v>17.91</v>
      </c>
      <c r="BC1371" t="s">
        <v>168</v>
      </c>
      <c r="BD1371">
        <v>1509</v>
      </c>
      <c r="BE1371" t="s">
        <v>169</v>
      </c>
      <c r="BF1371" t="s">
        <v>163</v>
      </c>
      <c r="BG1371" t="s">
        <v>164</v>
      </c>
    </row>
    <row r="1372" spans="1:59">
      <c r="A1372">
        <v>1115</v>
      </c>
      <c r="B1372">
        <v>1115</v>
      </c>
      <c r="C1372">
        <v>10</v>
      </c>
      <c r="D1372">
        <v>2</v>
      </c>
      <c r="E1372" t="s">
        <v>152</v>
      </c>
      <c r="F1372" t="s">
        <v>153</v>
      </c>
      <c r="G1372" t="s">
        <v>154</v>
      </c>
      <c r="H1372">
        <v>1526007413</v>
      </c>
      <c r="I1372">
        <v>1000007708</v>
      </c>
      <c r="L1372" t="s">
        <v>367</v>
      </c>
      <c r="M1372">
        <v>5100001924</v>
      </c>
      <c r="N1372" t="s">
        <v>155</v>
      </c>
      <c r="O1372" t="s">
        <v>156</v>
      </c>
      <c r="P1372">
        <v>4110055642</v>
      </c>
      <c r="Q1372" t="s">
        <v>199</v>
      </c>
      <c r="R1372">
        <v>5000</v>
      </c>
      <c r="S1372" t="s">
        <v>166</v>
      </c>
      <c r="V1372" t="s">
        <v>167</v>
      </c>
      <c r="W1372">
        <v>1502040314</v>
      </c>
      <c r="X1372" t="s">
        <v>248</v>
      </c>
      <c r="Y1372" t="str">
        <f>VLOOKUP(W1372,Sheet4!$A$5:$B$72,2,0)</f>
        <v>Re Side Door</v>
      </c>
      <c r="Z1372">
        <v>87082900</v>
      </c>
      <c r="AA1372">
        <v>120</v>
      </c>
      <c r="AB1372" t="s">
        <v>159</v>
      </c>
      <c r="AC1372">
        <v>504.46</v>
      </c>
      <c r="AD1372" t="s">
        <v>160</v>
      </c>
      <c r="AE1372" s="24">
        <v>60535.199999999997</v>
      </c>
      <c r="AF1372">
        <v>0</v>
      </c>
      <c r="AG1372" s="24">
        <v>60535.199999999997</v>
      </c>
      <c r="AH1372">
        <v>0</v>
      </c>
      <c r="AI1372">
        <v>0</v>
      </c>
      <c r="AJ1372">
        <v>0</v>
      </c>
      <c r="AK1372">
        <v>0</v>
      </c>
      <c r="AL1372" s="24">
        <v>60535.199999999997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 s="24">
        <v>60535.199999999997</v>
      </c>
      <c r="AV1372">
        <v>0</v>
      </c>
      <c r="AW1372">
        <v>0</v>
      </c>
      <c r="AX1372">
        <v>311000</v>
      </c>
      <c r="AY1372" t="s">
        <v>161</v>
      </c>
      <c r="AZ1372">
        <v>2.27</v>
      </c>
      <c r="BA1372">
        <v>2.27</v>
      </c>
      <c r="BB1372">
        <v>0</v>
      </c>
      <c r="BC1372" t="s">
        <v>249</v>
      </c>
      <c r="BD1372">
        <v>1511</v>
      </c>
      <c r="BE1372" t="s">
        <v>174</v>
      </c>
      <c r="BF1372" t="s">
        <v>163</v>
      </c>
      <c r="BG1372" t="s">
        <v>164</v>
      </c>
    </row>
    <row r="1373" spans="1:59">
      <c r="A1373">
        <v>1115</v>
      </c>
      <c r="B1373">
        <v>1115</v>
      </c>
      <c r="C1373">
        <v>10</v>
      </c>
      <c r="D1373">
        <v>2</v>
      </c>
      <c r="E1373" t="s">
        <v>152</v>
      </c>
      <c r="F1373" t="s">
        <v>153</v>
      </c>
      <c r="G1373" t="s">
        <v>154</v>
      </c>
      <c r="H1373">
        <v>1526007412</v>
      </c>
      <c r="I1373">
        <v>1000007707</v>
      </c>
      <c r="L1373" t="s">
        <v>367</v>
      </c>
      <c r="M1373">
        <v>5100001101</v>
      </c>
      <c r="N1373" t="s">
        <v>155</v>
      </c>
      <c r="O1373" t="s">
        <v>156</v>
      </c>
      <c r="P1373">
        <v>4110004653</v>
      </c>
      <c r="Q1373" t="s">
        <v>177</v>
      </c>
      <c r="R1373">
        <v>5000</v>
      </c>
      <c r="S1373" t="s">
        <v>166</v>
      </c>
      <c r="V1373" t="s">
        <v>167</v>
      </c>
      <c r="W1373">
        <v>1502040194</v>
      </c>
      <c r="X1373" t="s">
        <v>44</v>
      </c>
      <c r="Y1373" t="str">
        <f>VLOOKUP(W1373,Sheet4!$A$5:$B$72,2,0)</f>
        <v>CRADEL</v>
      </c>
      <c r="Z1373">
        <v>87082900</v>
      </c>
      <c r="AA1373">
        <v>48</v>
      </c>
      <c r="AB1373" t="s">
        <v>159</v>
      </c>
      <c r="AC1373">
        <v>956.92</v>
      </c>
      <c r="AD1373" t="s">
        <v>160</v>
      </c>
      <c r="AE1373" s="24">
        <v>45932.160000000003</v>
      </c>
      <c r="AF1373">
        <v>0</v>
      </c>
      <c r="AG1373" s="24">
        <v>45932.160000000003</v>
      </c>
      <c r="AH1373">
        <v>0</v>
      </c>
      <c r="AI1373">
        <v>0</v>
      </c>
      <c r="AJ1373">
        <v>0</v>
      </c>
      <c r="AK1373">
        <v>0</v>
      </c>
      <c r="AL1373" s="24">
        <v>45932.160000000003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 s="24">
        <v>45932.160000000003</v>
      </c>
      <c r="AV1373">
        <v>0</v>
      </c>
      <c r="AW1373">
        <v>0</v>
      </c>
      <c r="AX1373">
        <v>311000</v>
      </c>
      <c r="AY1373" t="s">
        <v>161</v>
      </c>
      <c r="AZ1373">
        <v>6.3769999999999998</v>
      </c>
      <c r="BA1373">
        <v>6.3769999999999998</v>
      </c>
      <c r="BB1373">
        <v>0</v>
      </c>
      <c r="BC1373" t="s">
        <v>184</v>
      </c>
      <c r="BD1373">
        <v>1511</v>
      </c>
      <c r="BE1373" t="s">
        <v>174</v>
      </c>
      <c r="BF1373" t="s">
        <v>163</v>
      </c>
      <c r="BG1373" t="s">
        <v>164</v>
      </c>
    </row>
    <row r="1374" spans="1:59">
      <c r="A1374">
        <v>1115</v>
      </c>
      <c r="B1374">
        <v>1115</v>
      </c>
      <c r="C1374">
        <v>10</v>
      </c>
      <c r="D1374">
        <v>2</v>
      </c>
      <c r="E1374" t="s">
        <v>152</v>
      </c>
      <c r="F1374" t="s">
        <v>153</v>
      </c>
      <c r="G1374" t="s">
        <v>154</v>
      </c>
      <c r="H1374">
        <v>1526007411</v>
      </c>
      <c r="I1374">
        <v>1000007706</v>
      </c>
      <c r="L1374" t="s">
        <v>367</v>
      </c>
      <c r="M1374">
        <v>5100001924</v>
      </c>
      <c r="N1374" t="s">
        <v>155</v>
      </c>
      <c r="O1374" t="s">
        <v>156</v>
      </c>
      <c r="P1374">
        <v>4110055642</v>
      </c>
      <c r="Q1374" t="s">
        <v>199</v>
      </c>
      <c r="R1374">
        <v>5000</v>
      </c>
      <c r="S1374" t="s">
        <v>166</v>
      </c>
      <c r="V1374" t="s">
        <v>167</v>
      </c>
      <c r="W1374">
        <v>1502040313</v>
      </c>
      <c r="X1374" t="s">
        <v>246</v>
      </c>
      <c r="Y1374" t="str">
        <f>VLOOKUP(W1374,Sheet4!$A$5:$B$72,2,0)</f>
        <v>Re Side Door</v>
      </c>
      <c r="Z1374">
        <v>87082900</v>
      </c>
      <c r="AA1374">
        <v>120</v>
      </c>
      <c r="AB1374" t="s">
        <v>159</v>
      </c>
      <c r="AC1374">
        <v>504.46</v>
      </c>
      <c r="AD1374" t="s">
        <v>160</v>
      </c>
      <c r="AE1374" s="24">
        <v>60535.199999999997</v>
      </c>
      <c r="AF1374">
        <v>0</v>
      </c>
      <c r="AG1374" s="24">
        <v>60535.199999999997</v>
      </c>
      <c r="AH1374">
        <v>0</v>
      </c>
      <c r="AI1374">
        <v>0</v>
      </c>
      <c r="AJ1374">
        <v>0</v>
      </c>
      <c r="AK1374">
        <v>0</v>
      </c>
      <c r="AL1374" s="24">
        <v>60535.199999999997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 s="24">
        <v>60535.199999999997</v>
      </c>
      <c r="AV1374">
        <v>0</v>
      </c>
      <c r="AW1374">
        <v>0</v>
      </c>
      <c r="AX1374">
        <v>311000</v>
      </c>
      <c r="AY1374" t="s">
        <v>161</v>
      </c>
      <c r="AZ1374">
        <v>2.27</v>
      </c>
      <c r="BA1374">
        <v>2.27</v>
      </c>
      <c r="BB1374">
        <v>0</v>
      </c>
      <c r="BC1374" t="s">
        <v>247</v>
      </c>
      <c r="BD1374">
        <v>1511</v>
      </c>
      <c r="BE1374" t="s">
        <v>174</v>
      </c>
      <c r="BF1374" t="s">
        <v>163</v>
      </c>
      <c r="BG1374" t="s">
        <v>164</v>
      </c>
    </row>
    <row r="1375" spans="1:59">
      <c r="A1375">
        <v>1115</v>
      </c>
      <c r="B1375">
        <v>1115</v>
      </c>
      <c r="C1375">
        <v>10</v>
      </c>
      <c r="D1375">
        <v>2</v>
      </c>
      <c r="E1375" t="s">
        <v>152</v>
      </c>
      <c r="F1375" t="s">
        <v>153</v>
      </c>
      <c r="G1375" t="s">
        <v>154</v>
      </c>
      <c r="H1375">
        <v>1526007410</v>
      </c>
      <c r="I1375">
        <v>1000007705</v>
      </c>
      <c r="L1375" t="s">
        <v>367</v>
      </c>
      <c r="M1375">
        <v>5100001101</v>
      </c>
      <c r="N1375" t="s">
        <v>155</v>
      </c>
      <c r="O1375" t="s">
        <v>156</v>
      </c>
      <c r="P1375">
        <v>4110004653</v>
      </c>
      <c r="Q1375" t="s">
        <v>177</v>
      </c>
      <c r="R1375">
        <v>5000</v>
      </c>
      <c r="S1375" t="s">
        <v>166</v>
      </c>
      <c r="V1375" t="s">
        <v>167</v>
      </c>
      <c r="W1375">
        <v>1502040194</v>
      </c>
      <c r="X1375" t="s">
        <v>44</v>
      </c>
      <c r="Y1375" t="str">
        <f>VLOOKUP(W1375,Sheet4!$A$5:$B$72,2,0)</f>
        <v>CRADEL</v>
      </c>
      <c r="Z1375">
        <v>87082900</v>
      </c>
      <c r="AA1375">
        <v>48</v>
      </c>
      <c r="AB1375" t="s">
        <v>159</v>
      </c>
      <c r="AC1375">
        <v>956.92</v>
      </c>
      <c r="AD1375" t="s">
        <v>160</v>
      </c>
      <c r="AE1375" s="24">
        <v>45932.160000000003</v>
      </c>
      <c r="AF1375">
        <v>0</v>
      </c>
      <c r="AG1375" s="24">
        <v>45932.160000000003</v>
      </c>
      <c r="AH1375">
        <v>0</v>
      </c>
      <c r="AI1375">
        <v>0</v>
      </c>
      <c r="AJ1375">
        <v>0</v>
      </c>
      <c r="AK1375">
        <v>0</v>
      </c>
      <c r="AL1375" s="24">
        <v>45932.160000000003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 s="24">
        <v>45932.160000000003</v>
      </c>
      <c r="AV1375">
        <v>0</v>
      </c>
      <c r="AW1375">
        <v>0</v>
      </c>
      <c r="AX1375">
        <v>311000</v>
      </c>
      <c r="AY1375" t="s">
        <v>161</v>
      </c>
      <c r="AZ1375">
        <v>6.3769999999999998</v>
      </c>
      <c r="BA1375">
        <v>6.3769999999999998</v>
      </c>
      <c r="BB1375">
        <v>0</v>
      </c>
      <c r="BC1375" t="s">
        <v>184</v>
      </c>
      <c r="BD1375">
        <v>1511</v>
      </c>
      <c r="BE1375" t="s">
        <v>174</v>
      </c>
      <c r="BF1375" t="s">
        <v>163</v>
      </c>
      <c r="BG1375" t="s">
        <v>164</v>
      </c>
    </row>
    <row r="1376" spans="1:59">
      <c r="A1376">
        <v>1115</v>
      </c>
      <c r="B1376">
        <v>1115</v>
      </c>
      <c r="C1376">
        <v>10</v>
      </c>
      <c r="D1376">
        <v>2</v>
      </c>
      <c r="E1376" t="s">
        <v>152</v>
      </c>
      <c r="F1376" t="s">
        <v>153</v>
      </c>
      <c r="G1376" t="s">
        <v>154</v>
      </c>
      <c r="H1376">
        <v>1526007409</v>
      </c>
      <c r="I1376">
        <v>1000007704</v>
      </c>
      <c r="L1376" t="s">
        <v>367</v>
      </c>
      <c r="M1376">
        <v>5100001099</v>
      </c>
      <c r="N1376" t="s">
        <v>155</v>
      </c>
      <c r="O1376" t="s">
        <v>156</v>
      </c>
      <c r="P1376">
        <v>4110004650</v>
      </c>
      <c r="Q1376" t="s">
        <v>177</v>
      </c>
      <c r="R1376">
        <v>5000</v>
      </c>
      <c r="S1376" t="s">
        <v>166</v>
      </c>
      <c r="V1376" t="s">
        <v>167</v>
      </c>
      <c r="W1376">
        <v>1502040133</v>
      </c>
      <c r="X1376" t="s">
        <v>228</v>
      </c>
      <c r="Y1376" t="str">
        <f>VLOOKUP(W1376,Sheet4!$A$5:$B$72,2,0)</f>
        <v>REAR COVER</v>
      </c>
      <c r="Z1376">
        <v>87082900</v>
      </c>
      <c r="AA1376">
        <v>55</v>
      </c>
      <c r="AB1376" t="s">
        <v>159</v>
      </c>
      <c r="AC1376">
        <v>164.49</v>
      </c>
      <c r="AD1376" t="s">
        <v>160</v>
      </c>
      <c r="AE1376" s="24">
        <v>9046.9500000000007</v>
      </c>
      <c r="AF1376">
        <v>0</v>
      </c>
      <c r="AG1376" s="24">
        <v>9046.9500000000007</v>
      </c>
      <c r="AH1376">
        <v>0</v>
      </c>
      <c r="AI1376">
        <v>0</v>
      </c>
      <c r="AJ1376">
        <v>0</v>
      </c>
      <c r="AK1376">
        <v>0</v>
      </c>
      <c r="AL1376" s="24">
        <v>9046.9500000000007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 s="24">
        <v>9046.9500000000007</v>
      </c>
      <c r="AV1376">
        <v>0</v>
      </c>
      <c r="AW1376">
        <v>0</v>
      </c>
      <c r="AX1376">
        <v>311000</v>
      </c>
      <c r="AY1376" t="s">
        <v>161</v>
      </c>
      <c r="AZ1376">
        <v>1.248</v>
      </c>
      <c r="BA1376">
        <v>1.248</v>
      </c>
      <c r="BB1376">
        <v>0</v>
      </c>
      <c r="BC1376" t="s">
        <v>229</v>
      </c>
      <c r="BD1376">
        <v>1511</v>
      </c>
      <c r="BE1376" t="s">
        <v>174</v>
      </c>
      <c r="BF1376">
        <v>5094275896</v>
      </c>
      <c r="BG1376" t="s">
        <v>367</v>
      </c>
    </row>
    <row r="1377" spans="1:59">
      <c r="A1377">
        <v>1115</v>
      </c>
      <c r="B1377">
        <v>1115</v>
      </c>
      <c r="C1377">
        <v>10</v>
      </c>
      <c r="D1377">
        <v>2</v>
      </c>
      <c r="E1377" t="s">
        <v>152</v>
      </c>
      <c r="F1377" t="s">
        <v>153</v>
      </c>
      <c r="G1377" t="s">
        <v>154</v>
      </c>
      <c r="H1377">
        <v>1526007408</v>
      </c>
      <c r="I1377">
        <v>1000007703</v>
      </c>
      <c r="L1377" t="s">
        <v>367</v>
      </c>
      <c r="M1377">
        <v>5100001099</v>
      </c>
      <c r="N1377" t="s">
        <v>155</v>
      </c>
      <c r="O1377" t="s">
        <v>156</v>
      </c>
      <c r="P1377">
        <v>4110004650</v>
      </c>
      <c r="Q1377" t="s">
        <v>177</v>
      </c>
      <c r="R1377">
        <v>5000</v>
      </c>
      <c r="S1377" t="s">
        <v>166</v>
      </c>
      <c r="V1377" t="s">
        <v>167</v>
      </c>
      <c r="W1377">
        <v>1502040132</v>
      </c>
      <c r="X1377" t="s">
        <v>230</v>
      </c>
      <c r="Y1377" t="str">
        <f>VLOOKUP(W1377,Sheet4!$A$5:$B$72,2,0)</f>
        <v>REAR COVER</v>
      </c>
      <c r="Z1377">
        <v>87082900</v>
      </c>
      <c r="AA1377">
        <v>55</v>
      </c>
      <c r="AB1377" t="s">
        <v>159</v>
      </c>
      <c r="AC1377">
        <v>159.41</v>
      </c>
      <c r="AD1377" t="s">
        <v>160</v>
      </c>
      <c r="AE1377" s="24">
        <v>8767.5499999999993</v>
      </c>
      <c r="AF1377">
        <v>0</v>
      </c>
      <c r="AG1377" s="24">
        <v>8767.5499999999993</v>
      </c>
      <c r="AH1377">
        <v>0</v>
      </c>
      <c r="AI1377">
        <v>0</v>
      </c>
      <c r="AJ1377">
        <v>0</v>
      </c>
      <c r="AK1377">
        <v>0</v>
      </c>
      <c r="AL1377" s="24">
        <v>8767.5499999999993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 s="24">
        <v>8767.5499999999993</v>
      </c>
      <c r="AV1377">
        <v>0</v>
      </c>
      <c r="AW1377">
        <v>0</v>
      </c>
      <c r="AX1377">
        <v>311000</v>
      </c>
      <c r="AY1377" t="s">
        <v>161</v>
      </c>
      <c r="AZ1377">
        <v>1.1659999999999999</v>
      </c>
      <c r="BA1377">
        <v>1.1659999999999999</v>
      </c>
      <c r="BB1377">
        <v>0</v>
      </c>
      <c r="BC1377" t="s">
        <v>231</v>
      </c>
      <c r="BD1377">
        <v>1511</v>
      </c>
      <c r="BE1377" t="s">
        <v>174</v>
      </c>
      <c r="BF1377">
        <v>5094275907</v>
      </c>
      <c r="BG1377" t="s">
        <v>367</v>
      </c>
    </row>
    <row r="1378" spans="1:59">
      <c r="A1378">
        <v>1115</v>
      </c>
      <c r="B1378">
        <v>1115</v>
      </c>
      <c r="C1378">
        <v>10</v>
      </c>
      <c r="D1378">
        <v>2</v>
      </c>
      <c r="E1378" t="s">
        <v>152</v>
      </c>
      <c r="F1378" t="s">
        <v>153</v>
      </c>
      <c r="G1378" t="s">
        <v>154</v>
      </c>
      <c r="H1378">
        <v>1526007407</v>
      </c>
      <c r="I1378">
        <v>1000007702</v>
      </c>
      <c r="L1378" t="s">
        <v>367</v>
      </c>
      <c r="M1378">
        <v>5100001100</v>
      </c>
      <c r="N1378" t="s">
        <v>155</v>
      </c>
      <c r="O1378" t="s">
        <v>156</v>
      </c>
      <c r="P1378">
        <v>4110004652</v>
      </c>
      <c r="Q1378" t="s">
        <v>177</v>
      </c>
      <c r="R1378">
        <v>5000</v>
      </c>
      <c r="S1378" t="s">
        <v>166</v>
      </c>
      <c r="V1378" t="s">
        <v>167</v>
      </c>
      <c r="W1378">
        <v>1502040126</v>
      </c>
      <c r="X1378" t="s">
        <v>53</v>
      </c>
      <c r="Y1378" t="str">
        <f>VLOOKUP(W1378,Sheet4!$A$5:$B$72,2,0)</f>
        <v>REAR COVER</v>
      </c>
      <c r="Z1378">
        <v>87082900</v>
      </c>
      <c r="AA1378">
        <v>55</v>
      </c>
      <c r="AB1378" t="s">
        <v>159</v>
      </c>
      <c r="AC1378">
        <v>155.58000000000001</v>
      </c>
      <c r="AD1378" t="s">
        <v>160</v>
      </c>
      <c r="AE1378" s="24">
        <v>8556.9</v>
      </c>
      <c r="AF1378">
        <v>0</v>
      </c>
      <c r="AG1378" s="24">
        <v>8556.9</v>
      </c>
      <c r="AH1378">
        <v>0</v>
      </c>
      <c r="AI1378">
        <v>0</v>
      </c>
      <c r="AJ1378">
        <v>0</v>
      </c>
      <c r="AK1378">
        <v>0</v>
      </c>
      <c r="AL1378" s="24">
        <v>8556.9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 s="24">
        <v>8556.9</v>
      </c>
      <c r="AV1378">
        <v>0</v>
      </c>
      <c r="AW1378">
        <v>0</v>
      </c>
      <c r="AX1378">
        <v>311000</v>
      </c>
      <c r="AY1378" t="s">
        <v>161</v>
      </c>
      <c r="AZ1378">
        <v>1.1850000000000001</v>
      </c>
      <c r="BA1378">
        <v>1.1850000000000001</v>
      </c>
      <c r="BB1378">
        <v>0</v>
      </c>
      <c r="BC1378" t="s">
        <v>232</v>
      </c>
      <c r="BD1378">
        <v>1511</v>
      </c>
      <c r="BE1378" t="s">
        <v>174</v>
      </c>
      <c r="BF1378" t="s">
        <v>163</v>
      </c>
      <c r="BG1378" t="s">
        <v>164</v>
      </c>
    </row>
    <row r="1379" spans="1:59">
      <c r="A1379">
        <v>1115</v>
      </c>
      <c r="B1379">
        <v>1115</v>
      </c>
      <c r="C1379">
        <v>10</v>
      </c>
      <c r="D1379">
        <v>2</v>
      </c>
      <c r="E1379" t="s">
        <v>152</v>
      </c>
      <c r="F1379" t="s">
        <v>153</v>
      </c>
      <c r="G1379" t="s">
        <v>154</v>
      </c>
      <c r="H1379">
        <v>1526007375</v>
      </c>
      <c r="I1379">
        <v>1000007670</v>
      </c>
      <c r="L1379" t="s">
        <v>368</v>
      </c>
      <c r="M1379">
        <v>5100001636</v>
      </c>
      <c r="N1379" t="s">
        <v>155</v>
      </c>
      <c r="O1379" t="s">
        <v>156</v>
      </c>
      <c r="P1379">
        <v>4110026445</v>
      </c>
      <c r="Q1379" t="s">
        <v>170</v>
      </c>
      <c r="R1379">
        <v>5000</v>
      </c>
      <c r="S1379" t="s">
        <v>166</v>
      </c>
      <c r="V1379" t="s">
        <v>167</v>
      </c>
      <c r="W1379">
        <v>1502020104</v>
      </c>
      <c r="X1379" t="s">
        <v>26</v>
      </c>
      <c r="Y1379" t="str">
        <f>VLOOKUP(W1379,Sheet4!$A$5:$B$72,2,0)</f>
        <v>RE STYLING</v>
      </c>
      <c r="Z1379">
        <v>87082900</v>
      </c>
      <c r="AA1379">
        <v>15</v>
      </c>
      <c r="AB1379" t="s">
        <v>159</v>
      </c>
      <c r="AC1379" s="24">
        <v>6585.55</v>
      </c>
      <c r="AD1379" t="s">
        <v>160</v>
      </c>
      <c r="AE1379" s="24">
        <v>98783.25</v>
      </c>
      <c r="AF1379">
        <v>0</v>
      </c>
      <c r="AG1379" s="24">
        <v>98783.25</v>
      </c>
      <c r="AH1379">
        <v>0</v>
      </c>
      <c r="AI1379">
        <v>0</v>
      </c>
      <c r="AJ1379">
        <v>0</v>
      </c>
      <c r="AK1379">
        <v>0</v>
      </c>
      <c r="AL1379" s="24">
        <v>98783.25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 s="24">
        <v>98783.25</v>
      </c>
      <c r="AV1379">
        <v>0</v>
      </c>
      <c r="AW1379">
        <v>0</v>
      </c>
      <c r="AX1379">
        <v>311000</v>
      </c>
      <c r="AY1379" t="s">
        <v>161</v>
      </c>
      <c r="AZ1379">
        <v>49.75</v>
      </c>
      <c r="BA1379">
        <v>49.75</v>
      </c>
      <c r="BB1379">
        <v>0</v>
      </c>
      <c r="BC1379" t="s">
        <v>171</v>
      </c>
      <c r="BD1379">
        <v>1509</v>
      </c>
      <c r="BE1379" t="s">
        <v>169</v>
      </c>
      <c r="BF1379" t="s">
        <v>163</v>
      </c>
      <c r="BG1379" t="s">
        <v>164</v>
      </c>
    </row>
    <row r="1380" spans="1:59">
      <c r="A1380">
        <v>1115</v>
      </c>
      <c r="B1380">
        <v>1115</v>
      </c>
      <c r="C1380">
        <v>10</v>
      </c>
      <c r="D1380">
        <v>2</v>
      </c>
      <c r="E1380" t="s">
        <v>152</v>
      </c>
      <c r="F1380" t="s">
        <v>153</v>
      </c>
      <c r="G1380" t="s">
        <v>154</v>
      </c>
      <c r="H1380">
        <v>1526007341</v>
      </c>
      <c r="I1380">
        <v>1000007636</v>
      </c>
      <c r="L1380" t="s">
        <v>368</v>
      </c>
      <c r="M1380">
        <v>5100001603</v>
      </c>
      <c r="N1380" t="s">
        <v>155</v>
      </c>
      <c r="O1380" t="s">
        <v>156</v>
      </c>
      <c r="P1380">
        <v>4110025468</v>
      </c>
      <c r="Q1380" t="s">
        <v>165</v>
      </c>
      <c r="R1380">
        <v>5000</v>
      </c>
      <c r="S1380" t="s">
        <v>166</v>
      </c>
      <c r="V1380" t="s">
        <v>167</v>
      </c>
      <c r="W1380">
        <v>1502020102</v>
      </c>
      <c r="X1380" t="s">
        <v>58</v>
      </c>
      <c r="Y1380" t="str">
        <f>VLOOKUP(W1380,Sheet4!$A$5:$B$72,2,0)</f>
        <v>MAXIMA HD</v>
      </c>
      <c r="Z1380">
        <v>87082900</v>
      </c>
      <c r="AA1380">
        <v>8</v>
      </c>
      <c r="AB1380" t="s">
        <v>159</v>
      </c>
      <c r="AC1380" s="24">
        <v>8593.51</v>
      </c>
      <c r="AD1380" t="s">
        <v>160</v>
      </c>
      <c r="AE1380" s="24">
        <v>68748.08</v>
      </c>
      <c r="AF1380">
        <v>0</v>
      </c>
      <c r="AG1380" s="24">
        <v>68748.08</v>
      </c>
      <c r="AH1380">
        <v>0</v>
      </c>
      <c r="AI1380">
        <v>0</v>
      </c>
      <c r="AJ1380">
        <v>0</v>
      </c>
      <c r="AK1380">
        <v>0</v>
      </c>
      <c r="AL1380" s="24">
        <v>68748.08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 s="24">
        <v>68748.08</v>
      </c>
      <c r="AV1380">
        <v>0</v>
      </c>
      <c r="AW1380">
        <v>0</v>
      </c>
      <c r="AX1380">
        <v>311000</v>
      </c>
      <c r="AY1380" t="s">
        <v>161</v>
      </c>
      <c r="AZ1380">
        <v>93.34</v>
      </c>
      <c r="BA1380">
        <v>75.430000000000007</v>
      </c>
      <c r="BB1380">
        <v>17.91</v>
      </c>
      <c r="BC1380" t="s">
        <v>168</v>
      </c>
      <c r="BD1380">
        <v>1509</v>
      </c>
      <c r="BE1380" t="s">
        <v>169</v>
      </c>
      <c r="BF1380" t="s">
        <v>163</v>
      </c>
      <c r="BG1380" t="s">
        <v>164</v>
      </c>
    </row>
    <row r="1381" spans="1:59">
      <c r="A1381">
        <v>1115</v>
      </c>
      <c r="B1381">
        <v>1115</v>
      </c>
      <c r="C1381">
        <v>10</v>
      </c>
      <c r="D1381">
        <v>2</v>
      </c>
      <c r="E1381" t="s">
        <v>152</v>
      </c>
      <c r="F1381" t="s">
        <v>153</v>
      </c>
      <c r="G1381" t="s">
        <v>154</v>
      </c>
      <c r="H1381">
        <v>1526007340</v>
      </c>
      <c r="I1381">
        <v>1000007634</v>
      </c>
      <c r="L1381" t="s">
        <v>368</v>
      </c>
      <c r="M1381">
        <v>5100001603</v>
      </c>
      <c r="N1381" t="s">
        <v>155</v>
      </c>
      <c r="O1381" t="s">
        <v>156</v>
      </c>
      <c r="P1381">
        <v>4110025468</v>
      </c>
      <c r="Q1381" t="s">
        <v>165</v>
      </c>
      <c r="R1381">
        <v>5000</v>
      </c>
      <c r="S1381" t="s">
        <v>166</v>
      </c>
      <c r="V1381" t="s">
        <v>167</v>
      </c>
      <c r="W1381">
        <v>1502020102</v>
      </c>
      <c r="X1381" t="s">
        <v>58</v>
      </c>
      <c r="Y1381" t="str">
        <f>VLOOKUP(W1381,Sheet4!$A$5:$B$72,2,0)</f>
        <v>MAXIMA HD</v>
      </c>
      <c r="Z1381">
        <v>87082900</v>
      </c>
      <c r="AA1381">
        <v>8</v>
      </c>
      <c r="AB1381" t="s">
        <v>159</v>
      </c>
      <c r="AC1381" s="24">
        <v>8593.51</v>
      </c>
      <c r="AD1381" t="s">
        <v>160</v>
      </c>
      <c r="AE1381" s="24">
        <v>68748.08</v>
      </c>
      <c r="AF1381">
        <v>0</v>
      </c>
      <c r="AG1381" s="24">
        <v>68748.08</v>
      </c>
      <c r="AH1381">
        <v>0</v>
      </c>
      <c r="AI1381">
        <v>0</v>
      </c>
      <c r="AJ1381">
        <v>0</v>
      </c>
      <c r="AK1381">
        <v>0</v>
      </c>
      <c r="AL1381" s="24">
        <v>68748.08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 s="24">
        <v>68748.08</v>
      </c>
      <c r="AV1381">
        <v>0</v>
      </c>
      <c r="AW1381">
        <v>0</v>
      </c>
      <c r="AX1381">
        <v>311000</v>
      </c>
      <c r="AY1381" t="s">
        <v>161</v>
      </c>
      <c r="AZ1381">
        <v>93.34</v>
      </c>
      <c r="BA1381">
        <v>75.430000000000007</v>
      </c>
      <c r="BB1381">
        <v>17.91</v>
      </c>
      <c r="BC1381" t="s">
        <v>168</v>
      </c>
      <c r="BD1381">
        <v>1509</v>
      </c>
      <c r="BE1381" t="s">
        <v>169</v>
      </c>
      <c r="BF1381">
        <v>5094269725</v>
      </c>
      <c r="BG1381" t="s">
        <v>368</v>
      </c>
    </row>
    <row r="1382" spans="1:59">
      <c r="A1382">
        <v>1115</v>
      </c>
      <c r="B1382">
        <v>1115</v>
      </c>
      <c r="C1382">
        <v>10</v>
      </c>
      <c r="D1382">
        <v>2</v>
      </c>
      <c r="E1382" t="s">
        <v>152</v>
      </c>
      <c r="F1382" t="s">
        <v>153</v>
      </c>
      <c r="G1382" t="s">
        <v>154</v>
      </c>
      <c r="H1382">
        <v>1526007339</v>
      </c>
      <c r="I1382">
        <v>1000007633</v>
      </c>
      <c r="L1382" t="s">
        <v>368</v>
      </c>
      <c r="M1382">
        <v>5100001636</v>
      </c>
      <c r="N1382" t="s">
        <v>155</v>
      </c>
      <c r="O1382" t="s">
        <v>156</v>
      </c>
      <c r="P1382">
        <v>4110026445</v>
      </c>
      <c r="Q1382" t="s">
        <v>170</v>
      </c>
      <c r="R1382">
        <v>5000</v>
      </c>
      <c r="S1382" t="s">
        <v>166</v>
      </c>
      <c r="V1382" t="s">
        <v>167</v>
      </c>
      <c r="W1382">
        <v>1502020101</v>
      </c>
      <c r="X1382" t="s">
        <v>25</v>
      </c>
      <c r="Y1382" t="str">
        <f>VLOOKUP(W1382,Sheet4!$A$5:$B$72,2,0)</f>
        <v>RE STYLING</v>
      </c>
      <c r="Z1382">
        <v>87082900</v>
      </c>
      <c r="AA1382">
        <v>12</v>
      </c>
      <c r="AB1382" t="s">
        <v>159</v>
      </c>
      <c r="AC1382" s="24">
        <v>6240.88</v>
      </c>
      <c r="AD1382" t="s">
        <v>160</v>
      </c>
      <c r="AE1382" s="24">
        <v>74890.559999999998</v>
      </c>
      <c r="AF1382">
        <v>0</v>
      </c>
      <c r="AG1382" s="24">
        <v>74890.559999999998</v>
      </c>
      <c r="AH1382">
        <v>0</v>
      </c>
      <c r="AI1382">
        <v>0</v>
      </c>
      <c r="AJ1382">
        <v>0</v>
      </c>
      <c r="AK1382">
        <v>0</v>
      </c>
      <c r="AL1382" s="24">
        <v>74890.559999999998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 s="24">
        <v>74890.559999999998</v>
      </c>
      <c r="AV1382">
        <v>0</v>
      </c>
      <c r="AW1382">
        <v>0</v>
      </c>
      <c r="AX1382">
        <v>311000</v>
      </c>
      <c r="AY1382" t="s">
        <v>161</v>
      </c>
      <c r="AZ1382">
        <v>58</v>
      </c>
      <c r="BA1382">
        <v>58</v>
      </c>
      <c r="BB1382">
        <v>0</v>
      </c>
      <c r="BC1382" t="s">
        <v>208</v>
      </c>
      <c r="BD1382">
        <v>1509</v>
      </c>
      <c r="BE1382" t="s">
        <v>169</v>
      </c>
      <c r="BF1382" t="s">
        <v>163</v>
      </c>
      <c r="BG1382" t="s">
        <v>164</v>
      </c>
    </row>
    <row r="1383" spans="1:59">
      <c r="A1383">
        <v>1115</v>
      </c>
      <c r="B1383">
        <v>1115</v>
      </c>
      <c r="C1383">
        <v>10</v>
      </c>
      <c r="D1383">
        <v>2</v>
      </c>
      <c r="E1383" t="s">
        <v>152</v>
      </c>
      <c r="F1383" t="s">
        <v>153</v>
      </c>
      <c r="G1383" t="s">
        <v>154</v>
      </c>
      <c r="H1383">
        <v>1526007338</v>
      </c>
      <c r="I1383">
        <v>1000007632</v>
      </c>
      <c r="L1383" t="s">
        <v>368</v>
      </c>
      <c r="M1383">
        <v>5100001955</v>
      </c>
      <c r="N1383" t="s">
        <v>155</v>
      </c>
      <c r="O1383" t="s">
        <v>156</v>
      </c>
      <c r="P1383">
        <v>5500001432</v>
      </c>
      <c r="Q1383" t="s">
        <v>320</v>
      </c>
      <c r="R1383">
        <v>5356</v>
      </c>
      <c r="S1383" t="s">
        <v>158</v>
      </c>
      <c r="W1383">
        <v>1104040829</v>
      </c>
      <c r="X1383" t="s">
        <v>321</v>
      </c>
      <c r="Y1383" t="s">
        <v>339</v>
      </c>
      <c r="Z1383">
        <v>87141090</v>
      </c>
      <c r="AA1383">
        <v>410</v>
      </c>
      <c r="AB1383" t="s">
        <v>159</v>
      </c>
      <c r="AC1383">
        <v>136.6</v>
      </c>
      <c r="AD1383" t="s">
        <v>160</v>
      </c>
      <c r="AE1383" s="24">
        <v>56006</v>
      </c>
      <c r="AF1383">
        <v>0</v>
      </c>
      <c r="AG1383" s="24">
        <v>56006</v>
      </c>
      <c r="AH1383">
        <v>0</v>
      </c>
      <c r="AI1383">
        <v>0</v>
      </c>
      <c r="AJ1383">
        <v>0</v>
      </c>
      <c r="AK1383">
        <v>0</v>
      </c>
      <c r="AL1383" s="24">
        <v>56006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 s="24">
        <v>56006</v>
      </c>
      <c r="AV1383">
        <v>0</v>
      </c>
      <c r="AW1383">
        <v>0</v>
      </c>
      <c r="AX1383">
        <v>311003</v>
      </c>
      <c r="AY1383" t="s">
        <v>322</v>
      </c>
      <c r="AZ1383">
        <v>2.62</v>
      </c>
      <c r="BA1383">
        <v>2.62</v>
      </c>
      <c r="BB1383">
        <v>0</v>
      </c>
      <c r="BC1383">
        <v>2000000894</v>
      </c>
      <c r="BD1383">
        <v>1123</v>
      </c>
      <c r="BE1383" t="s">
        <v>323</v>
      </c>
      <c r="BF1383" t="s">
        <v>163</v>
      </c>
      <c r="BG1383" t="s">
        <v>164</v>
      </c>
    </row>
    <row r="1384" spans="1:59">
      <c r="A1384">
        <v>1115</v>
      </c>
      <c r="B1384">
        <v>1115</v>
      </c>
      <c r="C1384">
        <v>10</v>
      </c>
      <c r="D1384">
        <v>2</v>
      </c>
      <c r="E1384" t="s">
        <v>152</v>
      </c>
      <c r="F1384" t="s">
        <v>153</v>
      </c>
      <c r="G1384" t="s">
        <v>154</v>
      </c>
      <c r="H1384">
        <v>1526007337</v>
      </c>
      <c r="I1384">
        <v>1000007631</v>
      </c>
      <c r="L1384" t="s">
        <v>368</v>
      </c>
      <c r="M1384">
        <v>5100001603</v>
      </c>
      <c r="N1384" t="s">
        <v>155</v>
      </c>
      <c r="O1384" t="s">
        <v>156</v>
      </c>
      <c r="P1384">
        <v>4110025468</v>
      </c>
      <c r="Q1384" t="s">
        <v>165</v>
      </c>
      <c r="R1384">
        <v>5000</v>
      </c>
      <c r="S1384" t="s">
        <v>166</v>
      </c>
      <c r="V1384" t="s">
        <v>167</v>
      </c>
      <c r="W1384">
        <v>1502020102</v>
      </c>
      <c r="X1384" t="s">
        <v>58</v>
      </c>
      <c r="Y1384" t="str">
        <f>VLOOKUP(W1384,Sheet4!$A$5:$B$72,2,0)</f>
        <v>MAXIMA HD</v>
      </c>
      <c r="Z1384">
        <v>87082900</v>
      </c>
      <c r="AA1384">
        <v>2</v>
      </c>
      <c r="AB1384" t="s">
        <v>159</v>
      </c>
      <c r="AC1384" s="24">
        <v>8593.51</v>
      </c>
      <c r="AD1384" t="s">
        <v>160</v>
      </c>
      <c r="AE1384" s="24">
        <v>17187.02</v>
      </c>
      <c r="AF1384">
        <v>0</v>
      </c>
      <c r="AG1384" s="24">
        <v>17187.02</v>
      </c>
      <c r="AH1384">
        <v>0</v>
      </c>
      <c r="AI1384">
        <v>0</v>
      </c>
      <c r="AJ1384">
        <v>0</v>
      </c>
      <c r="AK1384">
        <v>0</v>
      </c>
      <c r="AL1384" s="24">
        <v>17187.02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 s="24">
        <v>17187.02</v>
      </c>
      <c r="AV1384">
        <v>0</v>
      </c>
      <c r="AW1384">
        <v>0</v>
      </c>
      <c r="AX1384">
        <v>311000</v>
      </c>
      <c r="AY1384" t="s">
        <v>161</v>
      </c>
      <c r="AZ1384">
        <v>93.34</v>
      </c>
      <c r="BA1384">
        <v>75.430000000000007</v>
      </c>
      <c r="BB1384">
        <v>17.91</v>
      </c>
      <c r="BC1384" t="s">
        <v>168</v>
      </c>
      <c r="BD1384">
        <v>1509</v>
      </c>
      <c r="BE1384" t="s">
        <v>169</v>
      </c>
      <c r="BF1384">
        <v>5094269722</v>
      </c>
      <c r="BG1384" t="s">
        <v>368</v>
      </c>
    </row>
    <row r="1385" spans="1:59">
      <c r="A1385">
        <v>1115</v>
      </c>
      <c r="B1385">
        <v>1115</v>
      </c>
      <c r="C1385">
        <v>10</v>
      </c>
      <c r="D1385">
        <v>2</v>
      </c>
      <c r="E1385" t="s">
        <v>152</v>
      </c>
      <c r="F1385" t="s">
        <v>153</v>
      </c>
      <c r="G1385" t="s">
        <v>154</v>
      </c>
      <c r="H1385">
        <v>1526007331</v>
      </c>
      <c r="I1385">
        <v>1000007630</v>
      </c>
      <c r="L1385" t="s">
        <v>368</v>
      </c>
      <c r="M1385">
        <v>5100001407</v>
      </c>
      <c r="N1385" t="s">
        <v>155</v>
      </c>
      <c r="O1385" t="s">
        <v>156</v>
      </c>
      <c r="P1385">
        <v>4110019623</v>
      </c>
      <c r="Q1385" t="s">
        <v>188</v>
      </c>
      <c r="R1385">
        <v>5000</v>
      </c>
      <c r="S1385" t="s">
        <v>166</v>
      </c>
      <c r="V1385" t="s">
        <v>167</v>
      </c>
      <c r="W1385">
        <v>1502040216</v>
      </c>
      <c r="X1385" t="s">
        <v>64</v>
      </c>
      <c r="Y1385" t="str">
        <f>VLOOKUP(W1385,Sheet4!$A$5:$B$72,2,0)</f>
        <v>FRONT MUDGAURD</v>
      </c>
      <c r="Z1385">
        <v>87082900</v>
      </c>
      <c r="AA1385" s="24">
        <v>1280</v>
      </c>
      <c r="AB1385" t="s">
        <v>159</v>
      </c>
      <c r="AC1385">
        <v>174.11</v>
      </c>
      <c r="AD1385" t="s">
        <v>160</v>
      </c>
      <c r="AE1385" s="24">
        <v>222860.79999999999</v>
      </c>
      <c r="AF1385">
        <v>0</v>
      </c>
      <c r="AG1385" s="24">
        <v>222860.79999999999</v>
      </c>
      <c r="AH1385">
        <v>0</v>
      </c>
      <c r="AI1385">
        <v>0</v>
      </c>
      <c r="AJ1385">
        <v>0</v>
      </c>
      <c r="AK1385">
        <v>0</v>
      </c>
      <c r="AL1385" s="24">
        <v>222860.79999999999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 s="24">
        <v>222860.79999999999</v>
      </c>
      <c r="AV1385">
        <v>0</v>
      </c>
      <c r="AW1385">
        <v>0</v>
      </c>
      <c r="AX1385">
        <v>311000</v>
      </c>
      <c r="AY1385" t="s">
        <v>161</v>
      </c>
      <c r="AZ1385">
        <v>2.573</v>
      </c>
      <c r="BA1385">
        <v>1.4910000000000001</v>
      </c>
      <c r="BB1385">
        <v>1.0820000000000001</v>
      </c>
      <c r="BC1385" t="s">
        <v>189</v>
      </c>
      <c r="BD1385">
        <v>1511</v>
      </c>
      <c r="BE1385" t="s">
        <v>174</v>
      </c>
      <c r="BF1385">
        <v>5094271171</v>
      </c>
      <c r="BG1385" t="s">
        <v>368</v>
      </c>
    </row>
    <row r="1386" spans="1:59">
      <c r="A1386">
        <v>1115</v>
      </c>
      <c r="B1386">
        <v>1115</v>
      </c>
      <c r="C1386">
        <v>10</v>
      </c>
      <c r="D1386">
        <v>2</v>
      </c>
      <c r="E1386" t="s">
        <v>152</v>
      </c>
      <c r="F1386" t="s">
        <v>153</v>
      </c>
      <c r="G1386" t="s">
        <v>154</v>
      </c>
      <c r="H1386">
        <v>1526007330</v>
      </c>
      <c r="I1386">
        <v>1000007629</v>
      </c>
      <c r="L1386" t="s">
        <v>368</v>
      </c>
      <c r="M1386">
        <v>5100001949</v>
      </c>
      <c r="N1386" t="s">
        <v>155</v>
      </c>
      <c r="O1386" t="s">
        <v>156</v>
      </c>
      <c r="P1386">
        <v>4110063766</v>
      </c>
      <c r="Q1386" t="s">
        <v>252</v>
      </c>
      <c r="R1386">
        <v>5000</v>
      </c>
      <c r="S1386" t="s">
        <v>166</v>
      </c>
      <c r="V1386" t="s">
        <v>167</v>
      </c>
      <c r="W1386">
        <v>1502040322</v>
      </c>
      <c r="X1386" t="s">
        <v>250</v>
      </c>
      <c r="Y1386" t="str">
        <f>VLOOKUP(W1386,Sheet4!$A$5:$B$72,2,0)</f>
        <v>DASH BOARD</v>
      </c>
      <c r="Z1386">
        <v>87082900</v>
      </c>
      <c r="AA1386">
        <v>90</v>
      </c>
      <c r="AB1386" t="s">
        <v>159</v>
      </c>
      <c r="AC1386">
        <v>291.27999999999997</v>
      </c>
      <c r="AD1386" t="s">
        <v>160</v>
      </c>
      <c r="AE1386" s="24">
        <v>26215.200000000001</v>
      </c>
      <c r="AF1386">
        <v>0</v>
      </c>
      <c r="AG1386" s="24">
        <v>26215.200000000001</v>
      </c>
      <c r="AH1386">
        <v>0</v>
      </c>
      <c r="AI1386">
        <v>0</v>
      </c>
      <c r="AJ1386">
        <v>0</v>
      </c>
      <c r="AK1386">
        <v>0</v>
      </c>
      <c r="AL1386" s="24">
        <v>26215.200000000001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 s="24">
        <v>26215.200000000001</v>
      </c>
      <c r="AV1386">
        <v>0</v>
      </c>
      <c r="AW1386">
        <v>0</v>
      </c>
      <c r="AX1386">
        <v>311000</v>
      </c>
      <c r="AY1386" t="s">
        <v>161</v>
      </c>
      <c r="AZ1386">
        <v>2.37</v>
      </c>
      <c r="BA1386">
        <v>2.37</v>
      </c>
      <c r="BB1386">
        <v>0</v>
      </c>
      <c r="BC1386" t="s">
        <v>251</v>
      </c>
      <c r="BD1386">
        <v>1511</v>
      </c>
      <c r="BE1386" t="s">
        <v>174</v>
      </c>
      <c r="BF1386">
        <v>5094271174</v>
      </c>
      <c r="BG1386" t="s">
        <v>368</v>
      </c>
    </row>
    <row r="1387" spans="1:59">
      <c r="A1387">
        <v>1115</v>
      </c>
      <c r="B1387">
        <v>1115</v>
      </c>
      <c r="C1387">
        <v>10</v>
      </c>
      <c r="D1387">
        <v>2</v>
      </c>
      <c r="E1387" t="s">
        <v>152</v>
      </c>
      <c r="F1387" t="s">
        <v>153</v>
      </c>
      <c r="G1387" t="s">
        <v>154</v>
      </c>
      <c r="H1387">
        <v>1526007329</v>
      </c>
      <c r="I1387">
        <v>1000007628</v>
      </c>
      <c r="L1387" t="s">
        <v>368</v>
      </c>
      <c r="M1387">
        <v>5100001899</v>
      </c>
      <c r="N1387" t="s">
        <v>155</v>
      </c>
      <c r="O1387" t="s">
        <v>156</v>
      </c>
      <c r="P1387">
        <v>4110041854</v>
      </c>
      <c r="Q1387" t="s">
        <v>172</v>
      </c>
      <c r="R1387">
        <v>5000</v>
      </c>
      <c r="S1387" t="s">
        <v>166</v>
      </c>
      <c r="V1387" t="s">
        <v>167</v>
      </c>
      <c r="W1387">
        <v>1502040267</v>
      </c>
      <c r="X1387" t="s">
        <v>63</v>
      </c>
      <c r="Y1387" t="str">
        <f>VLOOKUP(W1387,Sheet4!$A$5:$B$72,2,0)</f>
        <v>DASH BOARD</v>
      </c>
      <c r="Z1387">
        <v>87082900</v>
      </c>
      <c r="AA1387">
        <v>416</v>
      </c>
      <c r="AB1387" t="s">
        <v>159</v>
      </c>
      <c r="AC1387">
        <v>290.89999999999998</v>
      </c>
      <c r="AD1387" t="s">
        <v>160</v>
      </c>
      <c r="AE1387" s="24">
        <v>121014.39999999999</v>
      </c>
      <c r="AF1387">
        <v>0</v>
      </c>
      <c r="AG1387" s="24">
        <v>121014.39999999999</v>
      </c>
      <c r="AH1387">
        <v>0</v>
      </c>
      <c r="AI1387">
        <v>0</v>
      </c>
      <c r="AJ1387">
        <v>0</v>
      </c>
      <c r="AK1387">
        <v>0</v>
      </c>
      <c r="AL1387" s="24">
        <v>121014.39999999999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 s="24">
        <v>121014.39999999999</v>
      </c>
      <c r="AV1387">
        <v>0</v>
      </c>
      <c r="AW1387">
        <v>0</v>
      </c>
      <c r="AX1387">
        <v>311000</v>
      </c>
      <c r="AY1387" t="s">
        <v>161</v>
      </c>
      <c r="AZ1387">
        <v>4.5</v>
      </c>
      <c r="BA1387">
        <v>4.5</v>
      </c>
      <c r="BB1387">
        <v>0</v>
      </c>
      <c r="BC1387" t="s">
        <v>173</v>
      </c>
      <c r="BD1387">
        <v>1511</v>
      </c>
      <c r="BE1387" t="s">
        <v>174</v>
      </c>
      <c r="BF1387">
        <v>5094271172</v>
      </c>
      <c r="BG1387" t="s">
        <v>368</v>
      </c>
    </row>
    <row r="1388" spans="1:59">
      <c r="A1388">
        <v>1115</v>
      </c>
      <c r="B1388">
        <v>1115</v>
      </c>
      <c r="C1388">
        <v>10</v>
      </c>
      <c r="D1388">
        <v>2</v>
      </c>
      <c r="E1388" t="s">
        <v>152</v>
      </c>
      <c r="F1388" t="s">
        <v>153</v>
      </c>
      <c r="G1388" t="s">
        <v>154</v>
      </c>
      <c r="H1388">
        <v>1526007327</v>
      </c>
      <c r="I1388">
        <v>1000007627</v>
      </c>
      <c r="L1388" t="s">
        <v>368</v>
      </c>
      <c r="M1388">
        <v>5100001636</v>
      </c>
      <c r="N1388" t="s">
        <v>155</v>
      </c>
      <c r="O1388" t="s">
        <v>156</v>
      </c>
      <c r="P1388">
        <v>4110026445</v>
      </c>
      <c r="Q1388" t="s">
        <v>170</v>
      </c>
      <c r="R1388">
        <v>5000</v>
      </c>
      <c r="S1388" t="s">
        <v>166</v>
      </c>
      <c r="V1388" t="s">
        <v>167</v>
      </c>
      <c r="W1388">
        <v>1502020101</v>
      </c>
      <c r="X1388" t="s">
        <v>25</v>
      </c>
      <c r="Y1388" t="str">
        <f>VLOOKUP(W1388,Sheet4!$A$5:$B$72,2,0)</f>
        <v>RE STYLING</v>
      </c>
      <c r="Z1388">
        <v>87082900</v>
      </c>
      <c r="AA1388">
        <v>15</v>
      </c>
      <c r="AB1388" t="s">
        <v>159</v>
      </c>
      <c r="AC1388" s="24">
        <v>6240.88</v>
      </c>
      <c r="AD1388" t="s">
        <v>160</v>
      </c>
      <c r="AE1388" s="24">
        <v>93613.2</v>
      </c>
      <c r="AF1388">
        <v>0</v>
      </c>
      <c r="AG1388" s="24">
        <v>93613.2</v>
      </c>
      <c r="AH1388">
        <v>0</v>
      </c>
      <c r="AI1388">
        <v>0</v>
      </c>
      <c r="AJ1388">
        <v>0</v>
      </c>
      <c r="AK1388">
        <v>0</v>
      </c>
      <c r="AL1388" s="24">
        <v>93613.2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 s="24">
        <v>93613.2</v>
      </c>
      <c r="AV1388">
        <v>0</v>
      </c>
      <c r="AW1388">
        <v>0</v>
      </c>
      <c r="AX1388">
        <v>311000</v>
      </c>
      <c r="AY1388" t="s">
        <v>161</v>
      </c>
      <c r="AZ1388">
        <v>58</v>
      </c>
      <c r="BA1388">
        <v>58</v>
      </c>
      <c r="BB1388">
        <v>0</v>
      </c>
      <c r="BC1388" t="s">
        <v>208</v>
      </c>
      <c r="BD1388">
        <v>1509</v>
      </c>
      <c r="BE1388" t="s">
        <v>169</v>
      </c>
      <c r="BF1388" t="s">
        <v>163</v>
      </c>
      <c r="BG1388" t="s">
        <v>164</v>
      </c>
    </row>
    <row r="1389" spans="1:59">
      <c r="A1389">
        <v>1115</v>
      </c>
      <c r="B1389">
        <v>1115</v>
      </c>
      <c r="C1389">
        <v>10</v>
      </c>
      <c r="D1389">
        <v>2</v>
      </c>
      <c r="E1389" t="s">
        <v>152</v>
      </c>
      <c r="F1389" t="s">
        <v>153</v>
      </c>
      <c r="G1389" t="s">
        <v>154</v>
      </c>
      <c r="H1389">
        <v>1526007326</v>
      </c>
      <c r="I1389">
        <v>1000007626</v>
      </c>
      <c r="L1389" t="s">
        <v>368</v>
      </c>
      <c r="M1389">
        <v>5100001636</v>
      </c>
      <c r="N1389" t="s">
        <v>155</v>
      </c>
      <c r="O1389" t="s">
        <v>156</v>
      </c>
      <c r="P1389">
        <v>4110026445</v>
      </c>
      <c r="Q1389" t="s">
        <v>170</v>
      </c>
      <c r="R1389">
        <v>5000</v>
      </c>
      <c r="S1389" t="s">
        <v>166</v>
      </c>
      <c r="V1389" t="s">
        <v>167</v>
      </c>
      <c r="W1389">
        <v>1502020101</v>
      </c>
      <c r="X1389" t="s">
        <v>25</v>
      </c>
      <c r="Y1389" t="str">
        <f>VLOOKUP(W1389,Sheet4!$A$5:$B$72,2,0)</f>
        <v>RE STYLING</v>
      </c>
      <c r="Z1389">
        <v>87082900</v>
      </c>
      <c r="AA1389">
        <v>15</v>
      </c>
      <c r="AB1389" t="s">
        <v>159</v>
      </c>
      <c r="AC1389" s="24">
        <v>6240.88</v>
      </c>
      <c r="AD1389" t="s">
        <v>160</v>
      </c>
      <c r="AE1389" s="24">
        <v>93613.2</v>
      </c>
      <c r="AF1389">
        <v>0</v>
      </c>
      <c r="AG1389" s="24">
        <v>93613.2</v>
      </c>
      <c r="AH1389">
        <v>0</v>
      </c>
      <c r="AI1389">
        <v>0</v>
      </c>
      <c r="AJ1389">
        <v>0</v>
      </c>
      <c r="AK1389">
        <v>0</v>
      </c>
      <c r="AL1389" s="24">
        <v>93613.2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 s="24">
        <v>93613.2</v>
      </c>
      <c r="AV1389">
        <v>0</v>
      </c>
      <c r="AW1389">
        <v>0</v>
      </c>
      <c r="AX1389">
        <v>311000</v>
      </c>
      <c r="AY1389" t="s">
        <v>161</v>
      </c>
      <c r="AZ1389">
        <v>58</v>
      </c>
      <c r="BA1389">
        <v>58</v>
      </c>
      <c r="BB1389">
        <v>0</v>
      </c>
      <c r="BC1389" t="s">
        <v>208</v>
      </c>
      <c r="BD1389">
        <v>1509</v>
      </c>
      <c r="BE1389" t="s">
        <v>169</v>
      </c>
      <c r="BF1389">
        <v>5094271013</v>
      </c>
      <c r="BG1389" t="s">
        <v>368</v>
      </c>
    </row>
    <row r="1390" spans="1:59">
      <c r="A1390">
        <v>1115</v>
      </c>
      <c r="B1390">
        <v>1115</v>
      </c>
      <c r="C1390">
        <v>10</v>
      </c>
      <c r="D1390">
        <v>2</v>
      </c>
      <c r="E1390" t="s">
        <v>152</v>
      </c>
      <c r="F1390" t="s">
        <v>153</v>
      </c>
      <c r="G1390" t="s">
        <v>154</v>
      </c>
      <c r="H1390">
        <v>1526007325</v>
      </c>
      <c r="I1390">
        <v>1000007625</v>
      </c>
      <c r="L1390" t="s">
        <v>368</v>
      </c>
      <c r="M1390">
        <v>5100001636</v>
      </c>
      <c r="N1390" t="s">
        <v>155</v>
      </c>
      <c r="O1390" t="s">
        <v>156</v>
      </c>
      <c r="P1390">
        <v>4110026445</v>
      </c>
      <c r="Q1390" t="s">
        <v>170</v>
      </c>
      <c r="R1390">
        <v>5000</v>
      </c>
      <c r="S1390" t="s">
        <v>166</v>
      </c>
      <c r="V1390" t="s">
        <v>167</v>
      </c>
      <c r="W1390">
        <v>1502020101</v>
      </c>
      <c r="X1390" t="s">
        <v>25</v>
      </c>
      <c r="Y1390" t="str">
        <f>VLOOKUP(W1390,Sheet4!$A$5:$B$72,2,0)</f>
        <v>RE STYLING</v>
      </c>
      <c r="Z1390">
        <v>87082900</v>
      </c>
      <c r="AA1390">
        <v>15</v>
      </c>
      <c r="AB1390" t="s">
        <v>159</v>
      </c>
      <c r="AC1390" s="24">
        <v>6240.88</v>
      </c>
      <c r="AD1390" t="s">
        <v>160</v>
      </c>
      <c r="AE1390" s="24">
        <v>93613.2</v>
      </c>
      <c r="AF1390">
        <v>0</v>
      </c>
      <c r="AG1390" s="24">
        <v>93613.2</v>
      </c>
      <c r="AH1390">
        <v>0</v>
      </c>
      <c r="AI1390">
        <v>0</v>
      </c>
      <c r="AJ1390">
        <v>0</v>
      </c>
      <c r="AK1390">
        <v>0</v>
      </c>
      <c r="AL1390" s="24">
        <v>93613.2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 s="24">
        <v>93613.2</v>
      </c>
      <c r="AV1390">
        <v>0</v>
      </c>
      <c r="AW1390">
        <v>0</v>
      </c>
      <c r="AX1390">
        <v>311000</v>
      </c>
      <c r="AY1390" t="s">
        <v>161</v>
      </c>
      <c r="AZ1390">
        <v>58</v>
      </c>
      <c r="BA1390">
        <v>58</v>
      </c>
      <c r="BB1390">
        <v>0</v>
      </c>
      <c r="BC1390" t="s">
        <v>208</v>
      </c>
      <c r="BD1390">
        <v>1509</v>
      </c>
      <c r="BE1390" t="s">
        <v>169</v>
      </c>
      <c r="BF1390">
        <v>5094271014</v>
      </c>
      <c r="BG1390" t="s">
        <v>368</v>
      </c>
    </row>
    <row r="1391" spans="1:59">
      <c r="A1391">
        <v>1115</v>
      </c>
      <c r="B1391">
        <v>1115</v>
      </c>
      <c r="C1391">
        <v>10</v>
      </c>
      <c r="D1391">
        <v>2</v>
      </c>
      <c r="E1391" t="s">
        <v>152</v>
      </c>
      <c r="F1391" t="s">
        <v>153</v>
      </c>
      <c r="G1391" t="s">
        <v>154</v>
      </c>
      <c r="H1391">
        <v>1526007323</v>
      </c>
      <c r="I1391">
        <v>1000007624</v>
      </c>
      <c r="L1391" t="s">
        <v>368</v>
      </c>
      <c r="M1391">
        <v>5100001666</v>
      </c>
      <c r="N1391" t="s">
        <v>155</v>
      </c>
      <c r="O1391" t="s">
        <v>156</v>
      </c>
      <c r="P1391">
        <v>4110027035</v>
      </c>
      <c r="Q1391" t="s">
        <v>225</v>
      </c>
      <c r="R1391">
        <v>5000</v>
      </c>
      <c r="S1391" t="s">
        <v>166</v>
      </c>
      <c r="V1391" t="s">
        <v>167</v>
      </c>
      <c r="W1391">
        <v>1502020105</v>
      </c>
      <c r="X1391" t="s">
        <v>226</v>
      </c>
      <c r="Y1391" t="str">
        <f>VLOOKUP(W1391,Sheet4!$A$5:$B$72,2,0)</f>
        <v>RE STYLING</v>
      </c>
      <c r="Z1391">
        <v>87082900</v>
      </c>
      <c r="AA1391">
        <v>6</v>
      </c>
      <c r="AB1391" t="s">
        <v>159</v>
      </c>
      <c r="AC1391" s="24">
        <v>6570.77</v>
      </c>
      <c r="AD1391" t="s">
        <v>160</v>
      </c>
      <c r="AE1391" s="24">
        <v>39424.620000000003</v>
      </c>
      <c r="AF1391">
        <v>0</v>
      </c>
      <c r="AG1391" s="24">
        <v>39424.620000000003</v>
      </c>
      <c r="AH1391">
        <v>0</v>
      </c>
      <c r="AI1391">
        <v>0</v>
      </c>
      <c r="AJ1391">
        <v>0</v>
      </c>
      <c r="AK1391">
        <v>0</v>
      </c>
      <c r="AL1391" s="24">
        <v>39424.620000000003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 s="24">
        <v>39424.620000000003</v>
      </c>
      <c r="AV1391">
        <v>0</v>
      </c>
      <c r="AW1391">
        <v>0</v>
      </c>
      <c r="AX1391">
        <v>311000</v>
      </c>
      <c r="AY1391" t="s">
        <v>161</v>
      </c>
      <c r="AZ1391">
        <v>49.75</v>
      </c>
      <c r="BA1391">
        <v>49.75</v>
      </c>
      <c r="BB1391">
        <v>0</v>
      </c>
      <c r="BC1391" t="s">
        <v>227</v>
      </c>
      <c r="BD1391">
        <v>1509</v>
      </c>
      <c r="BE1391" t="s">
        <v>169</v>
      </c>
      <c r="BF1391">
        <v>5094270816</v>
      </c>
      <c r="BG1391" t="s">
        <v>368</v>
      </c>
    </row>
    <row r="1392" spans="1:59">
      <c r="A1392">
        <v>1115</v>
      </c>
      <c r="B1392">
        <v>1115</v>
      </c>
      <c r="C1392">
        <v>10</v>
      </c>
      <c r="D1392">
        <v>2</v>
      </c>
      <c r="E1392" t="s">
        <v>152</v>
      </c>
      <c r="F1392" t="s">
        <v>153</v>
      </c>
      <c r="G1392" t="s">
        <v>154</v>
      </c>
      <c r="H1392">
        <v>1526007322</v>
      </c>
      <c r="I1392">
        <v>1000007623</v>
      </c>
      <c r="L1392" t="s">
        <v>368</v>
      </c>
      <c r="M1392">
        <v>5100001939</v>
      </c>
      <c r="N1392" t="s">
        <v>155</v>
      </c>
      <c r="O1392" t="s">
        <v>156</v>
      </c>
      <c r="P1392">
        <v>4110059608</v>
      </c>
      <c r="Q1392" t="s">
        <v>240</v>
      </c>
      <c r="R1392">
        <v>5000</v>
      </c>
      <c r="S1392" t="s">
        <v>166</v>
      </c>
      <c r="V1392" t="s">
        <v>167</v>
      </c>
      <c r="W1392">
        <v>1502020129</v>
      </c>
      <c r="X1392" t="s">
        <v>241</v>
      </c>
      <c r="Y1392" t="str">
        <f>VLOOKUP(W1392,Sheet4!$A$5:$B$72,2,0)</f>
        <v>RE STYLING</v>
      </c>
      <c r="Z1392">
        <v>87082900</v>
      </c>
      <c r="AA1392">
        <v>9</v>
      </c>
      <c r="AB1392" t="s">
        <v>159</v>
      </c>
      <c r="AC1392" s="24">
        <v>6500.18</v>
      </c>
      <c r="AD1392" t="s">
        <v>160</v>
      </c>
      <c r="AE1392" s="24">
        <v>58501.62</v>
      </c>
      <c r="AF1392">
        <v>0</v>
      </c>
      <c r="AG1392" s="24">
        <v>58501.62</v>
      </c>
      <c r="AH1392">
        <v>0</v>
      </c>
      <c r="AI1392">
        <v>0</v>
      </c>
      <c r="AJ1392">
        <v>0</v>
      </c>
      <c r="AK1392">
        <v>0</v>
      </c>
      <c r="AL1392" s="24">
        <v>58501.62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 s="24">
        <v>58501.62</v>
      </c>
      <c r="AV1392">
        <v>0</v>
      </c>
      <c r="AW1392">
        <v>0</v>
      </c>
      <c r="AX1392">
        <v>311000</v>
      </c>
      <c r="AY1392" t="s">
        <v>161</v>
      </c>
      <c r="AZ1392">
        <v>0</v>
      </c>
      <c r="BA1392">
        <v>0</v>
      </c>
      <c r="BB1392">
        <v>0</v>
      </c>
      <c r="BC1392" t="s">
        <v>242</v>
      </c>
      <c r="BD1392">
        <v>1509</v>
      </c>
      <c r="BE1392" t="s">
        <v>169</v>
      </c>
      <c r="BF1392">
        <v>5094270817</v>
      </c>
      <c r="BG1392" t="s">
        <v>368</v>
      </c>
    </row>
    <row r="1393" spans="1:59">
      <c r="A1393">
        <v>1115</v>
      </c>
      <c r="B1393">
        <v>1115</v>
      </c>
      <c r="C1393">
        <v>10</v>
      </c>
      <c r="D1393">
        <v>2</v>
      </c>
      <c r="E1393" t="s">
        <v>152</v>
      </c>
      <c r="F1393" t="s">
        <v>153</v>
      </c>
      <c r="G1393" t="s">
        <v>154</v>
      </c>
      <c r="H1393">
        <v>1526007321</v>
      </c>
      <c r="I1393">
        <v>1000007622</v>
      </c>
      <c r="L1393" t="s">
        <v>368</v>
      </c>
      <c r="M1393">
        <v>5100001666</v>
      </c>
      <c r="N1393" t="s">
        <v>155</v>
      </c>
      <c r="O1393" t="s">
        <v>156</v>
      </c>
      <c r="P1393">
        <v>4110027035</v>
      </c>
      <c r="Q1393" t="s">
        <v>225</v>
      </c>
      <c r="R1393">
        <v>5000</v>
      </c>
      <c r="S1393" t="s">
        <v>166</v>
      </c>
      <c r="V1393" t="s">
        <v>167</v>
      </c>
      <c r="W1393">
        <v>1502020105</v>
      </c>
      <c r="X1393" t="s">
        <v>226</v>
      </c>
      <c r="Y1393" t="str">
        <f>VLOOKUP(W1393,Sheet4!$A$5:$B$72,2,0)</f>
        <v>RE STYLING</v>
      </c>
      <c r="Z1393">
        <v>87082900</v>
      </c>
      <c r="AA1393">
        <v>15</v>
      </c>
      <c r="AB1393" t="s">
        <v>159</v>
      </c>
      <c r="AC1393" s="24">
        <v>6570.77</v>
      </c>
      <c r="AD1393" t="s">
        <v>160</v>
      </c>
      <c r="AE1393" s="24">
        <v>98561.55</v>
      </c>
      <c r="AF1393">
        <v>0</v>
      </c>
      <c r="AG1393" s="24">
        <v>98561.55</v>
      </c>
      <c r="AH1393">
        <v>0</v>
      </c>
      <c r="AI1393">
        <v>0</v>
      </c>
      <c r="AJ1393">
        <v>0</v>
      </c>
      <c r="AK1393">
        <v>0</v>
      </c>
      <c r="AL1393" s="24">
        <v>98561.55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 s="24">
        <v>98561.55</v>
      </c>
      <c r="AV1393">
        <v>0</v>
      </c>
      <c r="AW1393">
        <v>0</v>
      </c>
      <c r="AX1393">
        <v>311000</v>
      </c>
      <c r="AY1393" t="s">
        <v>161</v>
      </c>
      <c r="AZ1393">
        <v>49.75</v>
      </c>
      <c r="BA1393">
        <v>49.75</v>
      </c>
      <c r="BB1393">
        <v>0</v>
      </c>
      <c r="BC1393" t="s">
        <v>227</v>
      </c>
      <c r="BD1393">
        <v>1509</v>
      </c>
      <c r="BE1393" t="s">
        <v>169</v>
      </c>
      <c r="BF1393" t="s">
        <v>163</v>
      </c>
      <c r="BG1393" t="s">
        <v>164</v>
      </c>
    </row>
    <row r="1394" spans="1:59">
      <c r="A1394">
        <v>1115</v>
      </c>
      <c r="B1394">
        <v>1115</v>
      </c>
      <c r="C1394">
        <v>10</v>
      </c>
      <c r="D1394">
        <v>2</v>
      </c>
      <c r="E1394" t="s">
        <v>152</v>
      </c>
      <c r="F1394" t="s">
        <v>153</v>
      </c>
      <c r="G1394" t="s">
        <v>154</v>
      </c>
      <c r="H1394">
        <v>1526007320</v>
      </c>
      <c r="I1394">
        <v>1000007621</v>
      </c>
      <c r="L1394" t="s">
        <v>368</v>
      </c>
      <c r="M1394">
        <v>5100001101</v>
      </c>
      <c r="N1394" t="s">
        <v>155</v>
      </c>
      <c r="O1394" t="s">
        <v>156</v>
      </c>
      <c r="P1394">
        <v>4110004653</v>
      </c>
      <c r="Q1394" t="s">
        <v>177</v>
      </c>
      <c r="R1394">
        <v>5000</v>
      </c>
      <c r="S1394" t="s">
        <v>166</v>
      </c>
      <c r="V1394" t="s">
        <v>167</v>
      </c>
      <c r="W1394">
        <v>1502040194</v>
      </c>
      <c r="X1394" t="s">
        <v>44</v>
      </c>
      <c r="Y1394" t="str">
        <f>VLOOKUP(W1394,Sheet4!$A$5:$B$72,2,0)</f>
        <v>CRADEL</v>
      </c>
      <c r="Z1394">
        <v>87082900</v>
      </c>
      <c r="AA1394">
        <v>48</v>
      </c>
      <c r="AB1394" t="s">
        <v>159</v>
      </c>
      <c r="AC1394">
        <v>956.92</v>
      </c>
      <c r="AD1394" t="s">
        <v>160</v>
      </c>
      <c r="AE1394" s="24">
        <v>45932.160000000003</v>
      </c>
      <c r="AF1394">
        <v>0</v>
      </c>
      <c r="AG1394" s="24">
        <v>45932.160000000003</v>
      </c>
      <c r="AH1394">
        <v>0</v>
      </c>
      <c r="AI1394">
        <v>0</v>
      </c>
      <c r="AJ1394">
        <v>0</v>
      </c>
      <c r="AK1394">
        <v>0</v>
      </c>
      <c r="AL1394" s="24">
        <v>45932.160000000003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 s="24">
        <v>45932.160000000003</v>
      </c>
      <c r="AV1394">
        <v>0</v>
      </c>
      <c r="AW1394">
        <v>0</v>
      </c>
      <c r="AX1394">
        <v>311000</v>
      </c>
      <c r="AY1394" t="s">
        <v>161</v>
      </c>
      <c r="AZ1394">
        <v>6.3769999999999998</v>
      </c>
      <c r="BA1394">
        <v>6.3769999999999998</v>
      </c>
      <c r="BB1394">
        <v>0</v>
      </c>
      <c r="BC1394" t="s">
        <v>184</v>
      </c>
      <c r="BD1394">
        <v>1511</v>
      </c>
      <c r="BE1394" t="s">
        <v>174</v>
      </c>
      <c r="BF1394">
        <v>5094275967</v>
      </c>
      <c r="BG1394" t="s">
        <v>368</v>
      </c>
    </row>
    <row r="1395" spans="1:59">
      <c r="A1395">
        <v>1115</v>
      </c>
      <c r="B1395">
        <v>1115</v>
      </c>
      <c r="C1395">
        <v>10</v>
      </c>
      <c r="D1395">
        <v>2</v>
      </c>
      <c r="E1395" t="s">
        <v>152</v>
      </c>
      <c r="F1395" t="s">
        <v>153</v>
      </c>
      <c r="G1395" t="s">
        <v>154</v>
      </c>
      <c r="H1395">
        <v>1526007319</v>
      </c>
      <c r="I1395">
        <v>1000007620</v>
      </c>
      <c r="L1395" t="s">
        <v>368</v>
      </c>
      <c r="M1395">
        <v>5100001101</v>
      </c>
      <c r="N1395" t="s">
        <v>155</v>
      </c>
      <c r="O1395" t="s">
        <v>156</v>
      </c>
      <c r="P1395">
        <v>4110004653</v>
      </c>
      <c r="Q1395" t="s">
        <v>177</v>
      </c>
      <c r="R1395">
        <v>5000</v>
      </c>
      <c r="S1395" t="s">
        <v>166</v>
      </c>
      <c r="V1395" t="s">
        <v>167</v>
      </c>
      <c r="W1395">
        <v>1502040194</v>
      </c>
      <c r="X1395" t="s">
        <v>44</v>
      </c>
      <c r="Y1395" t="str">
        <f>VLOOKUP(W1395,Sheet4!$A$5:$B$72,2,0)</f>
        <v>CRADEL</v>
      </c>
      <c r="Z1395">
        <v>87082900</v>
      </c>
      <c r="AA1395">
        <v>48</v>
      </c>
      <c r="AB1395" t="s">
        <v>159</v>
      </c>
      <c r="AC1395">
        <v>956.92</v>
      </c>
      <c r="AD1395" t="s">
        <v>160</v>
      </c>
      <c r="AE1395" s="24">
        <v>45932.160000000003</v>
      </c>
      <c r="AF1395">
        <v>0</v>
      </c>
      <c r="AG1395" s="24">
        <v>45932.160000000003</v>
      </c>
      <c r="AH1395">
        <v>0</v>
      </c>
      <c r="AI1395">
        <v>0</v>
      </c>
      <c r="AJ1395">
        <v>0</v>
      </c>
      <c r="AK1395">
        <v>0</v>
      </c>
      <c r="AL1395" s="24">
        <v>45932.160000000003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 s="24">
        <v>45932.160000000003</v>
      </c>
      <c r="AV1395">
        <v>0</v>
      </c>
      <c r="AW1395">
        <v>0</v>
      </c>
      <c r="AX1395">
        <v>311000</v>
      </c>
      <c r="AY1395" t="s">
        <v>161</v>
      </c>
      <c r="AZ1395">
        <v>6.3769999999999998</v>
      </c>
      <c r="BA1395">
        <v>6.3769999999999998</v>
      </c>
      <c r="BB1395">
        <v>0</v>
      </c>
      <c r="BC1395" t="s">
        <v>184</v>
      </c>
      <c r="BD1395">
        <v>1511</v>
      </c>
      <c r="BE1395" t="s">
        <v>174</v>
      </c>
      <c r="BF1395">
        <v>5094263125</v>
      </c>
      <c r="BG1395" t="s">
        <v>368</v>
      </c>
    </row>
    <row r="1396" spans="1:59">
      <c r="A1396">
        <v>1115</v>
      </c>
      <c r="B1396">
        <v>1115</v>
      </c>
      <c r="C1396">
        <v>10</v>
      </c>
      <c r="D1396">
        <v>2</v>
      </c>
      <c r="E1396" t="s">
        <v>152</v>
      </c>
      <c r="F1396" t="s">
        <v>153</v>
      </c>
      <c r="G1396" t="s">
        <v>154</v>
      </c>
      <c r="H1396">
        <v>1526007317</v>
      </c>
      <c r="I1396">
        <v>1000007617</v>
      </c>
      <c r="L1396" t="s">
        <v>368</v>
      </c>
      <c r="M1396">
        <v>5100001934</v>
      </c>
      <c r="N1396" t="s">
        <v>155</v>
      </c>
      <c r="O1396" t="s">
        <v>156</v>
      </c>
      <c r="P1396">
        <v>4110058649</v>
      </c>
      <c r="Q1396" t="s">
        <v>196</v>
      </c>
      <c r="R1396">
        <v>5000</v>
      </c>
      <c r="S1396" t="s">
        <v>166</v>
      </c>
      <c r="V1396" t="s">
        <v>167</v>
      </c>
      <c r="W1396">
        <v>1502040217</v>
      </c>
      <c r="X1396" t="s">
        <v>197</v>
      </c>
      <c r="Y1396" t="str">
        <f>VLOOKUP(W1396,Sheet4!$A$5:$B$72,2,0)</f>
        <v>FRONT MUDGARD GOGO</v>
      </c>
      <c r="Z1396">
        <v>87082900</v>
      </c>
      <c r="AA1396">
        <v>90</v>
      </c>
      <c r="AB1396" t="s">
        <v>159</v>
      </c>
      <c r="AC1396">
        <v>380.93</v>
      </c>
      <c r="AD1396" t="s">
        <v>160</v>
      </c>
      <c r="AE1396" s="24">
        <v>34283.699999999997</v>
      </c>
      <c r="AF1396">
        <v>0</v>
      </c>
      <c r="AG1396" s="24">
        <v>34283.699999999997</v>
      </c>
      <c r="AH1396">
        <v>0</v>
      </c>
      <c r="AI1396">
        <v>0</v>
      </c>
      <c r="AJ1396">
        <v>0</v>
      </c>
      <c r="AK1396">
        <v>0</v>
      </c>
      <c r="AL1396" s="24">
        <v>34283.699999999997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 s="24">
        <v>34283.699999999997</v>
      </c>
      <c r="AV1396">
        <v>0</v>
      </c>
      <c r="AW1396">
        <v>0</v>
      </c>
      <c r="AX1396">
        <v>311000</v>
      </c>
      <c r="AY1396" t="s">
        <v>161</v>
      </c>
      <c r="AZ1396">
        <v>2.13</v>
      </c>
      <c r="BA1396">
        <v>2.13</v>
      </c>
      <c r="BB1396">
        <v>0</v>
      </c>
      <c r="BC1396" t="s">
        <v>198</v>
      </c>
      <c r="BD1396">
        <v>1511</v>
      </c>
      <c r="BE1396" t="s">
        <v>174</v>
      </c>
      <c r="BF1396">
        <v>5094269449</v>
      </c>
      <c r="BG1396" t="s">
        <v>368</v>
      </c>
    </row>
    <row r="1397" spans="1:59">
      <c r="A1397">
        <v>1115</v>
      </c>
      <c r="B1397">
        <v>1115</v>
      </c>
      <c r="C1397">
        <v>10</v>
      </c>
      <c r="D1397">
        <v>2</v>
      </c>
      <c r="E1397" t="s">
        <v>152</v>
      </c>
      <c r="F1397" t="s">
        <v>153</v>
      </c>
      <c r="G1397" t="s">
        <v>154</v>
      </c>
      <c r="H1397">
        <v>1526007315</v>
      </c>
      <c r="I1397">
        <v>1000007615</v>
      </c>
      <c r="L1397" t="s">
        <v>368</v>
      </c>
      <c r="M1397">
        <v>5100001919</v>
      </c>
      <c r="N1397" t="s">
        <v>155</v>
      </c>
      <c r="O1397" t="s">
        <v>156</v>
      </c>
      <c r="P1397">
        <v>5500000930</v>
      </c>
      <c r="Q1397" t="s">
        <v>157</v>
      </c>
      <c r="R1397">
        <v>5356</v>
      </c>
      <c r="S1397" t="s">
        <v>158</v>
      </c>
      <c r="W1397">
        <v>1402010547</v>
      </c>
      <c r="X1397" t="s">
        <v>369</v>
      </c>
      <c r="Y1397" t="str">
        <f>VLOOKUP(W1397,Sheet4!$A$5:$B$72,2,0)</f>
        <v>FRONT MUDGAURD</v>
      </c>
      <c r="Z1397">
        <v>87082900</v>
      </c>
      <c r="AA1397">
        <v>140</v>
      </c>
      <c r="AB1397" t="s">
        <v>159</v>
      </c>
      <c r="AC1397">
        <v>108.65</v>
      </c>
      <c r="AD1397" t="s">
        <v>160</v>
      </c>
      <c r="AE1397" s="24">
        <v>15211</v>
      </c>
      <c r="AF1397">
        <v>0</v>
      </c>
      <c r="AG1397" s="24">
        <v>15211</v>
      </c>
      <c r="AH1397">
        <v>0</v>
      </c>
      <c r="AI1397">
        <v>0</v>
      </c>
      <c r="AJ1397">
        <v>0</v>
      </c>
      <c r="AK1397">
        <v>0</v>
      </c>
      <c r="AL1397" s="24">
        <v>15211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 s="24">
        <v>15211</v>
      </c>
      <c r="AV1397">
        <v>0</v>
      </c>
      <c r="AW1397">
        <v>0</v>
      </c>
      <c r="AX1397">
        <v>311001</v>
      </c>
      <c r="AY1397" t="s">
        <v>370</v>
      </c>
      <c r="AZ1397">
        <v>1.75</v>
      </c>
      <c r="BA1397">
        <v>1.75</v>
      </c>
      <c r="BB1397">
        <v>0</v>
      </c>
      <c r="BC1397">
        <v>2000001019</v>
      </c>
      <c r="BD1397">
        <v>1402</v>
      </c>
      <c r="BE1397" t="s">
        <v>371</v>
      </c>
      <c r="BF1397" t="s">
        <v>163</v>
      </c>
      <c r="BG1397" t="s">
        <v>164</v>
      </c>
    </row>
    <row r="1398" spans="1:59">
      <c r="A1398">
        <v>1115</v>
      </c>
      <c r="B1398">
        <v>1115</v>
      </c>
      <c r="C1398">
        <v>10</v>
      </c>
      <c r="D1398">
        <v>2</v>
      </c>
      <c r="E1398" t="s">
        <v>152</v>
      </c>
      <c r="F1398" t="s">
        <v>153</v>
      </c>
      <c r="G1398" t="s">
        <v>154</v>
      </c>
      <c r="H1398">
        <v>1526007314</v>
      </c>
      <c r="I1398">
        <v>1000007614</v>
      </c>
      <c r="L1398" t="s">
        <v>368</v>
      </c>
      <c r="M1398">
        <v>5100001919</v>
      </c>
      <c r="N1398" t="s">
        <v>155</v>
      </c>
      <c r="O1398" t="s">
        <v>156</v>
      </c>
      <c r="P1398">
        <v>5500000930</v>
      </c>
      <c r="Q1398" t="s">
        <v>157</v>
      </c>
      <c r="R1398">
        <v>5356</v>
      </c>
      <c r="S1398" t="s">
        <v>158</v>
      </c>
      <c r="W1398">
        <v>1402010546</v>
      </c>
      <c r="X1398" t="s">
        <v>372</v>
      </c>
      <c r="Y1398" t="str">
        <f>VLOOKUP(W1398,Sheet4!$A$5:$B$72,2,0)</f>
        <v>FRONT MUDGAURD</v>
      </c>
      <c r="Z1398">
        <v>87082900</v>
      </c>
      <c r="AA1398">
        <v>140</v>
      </c>
      <c r="AB1398" t="s">
        <v>159</v>
      </c>
      <c r="AC1398">
        <v>108.65</v>
      </c>
      <c r="AD1398" t="s">
        <v>160</v>
      </c>
      <c r="AE1398" s="24">
        <v>15211</v>
      </c>
      <c r="AF1398">
        <v>0</v>
      </c>
      <c r="AG1398" s="24">
        <v>15211</v>
      </c>
      <c r="AH1398">
        <v>0</v>
      </c>
      <c r="AI1398">
        <v>0</v>
      </c>
      <c r="AJ1398">
        <v>0</v>
      </c>
      <c r="AK1398">
        <v>0</v>
      </c>
      <c r="AL1398" s="24">
        <v>15211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 s="24">
        <v>15211</v>
      </c>
      <c r="AV1398">
        <v>0</v>
      </c>
      <c r="AW1398">
        <v>0</v>
      </c>
      <c r="AX1398">
        <v>311001</v>
      </c>
      <c r="AY1398" t="s">
        <v>370</v>
      </c>
      <c r="AZ1398">
        <v>1.75</v>
      </c>
      <c r="BA1398">
        <v>1.75</v>
      </c>
      <c r="BB1398">
        <v>0</v>
      </c>
      <c r="BC1398">
        <v>2000001018</v>
      </c>
      <c r="BD1398">
        <v>1402</v>
      </c>
      <c r="BE1398" t="s">
        <v>371</v>
      </c>
      <c r="BF1398" t="s">
        <v>163</v>
      </c>
      <c r="BG1398" t="s">
        <v>164</v>
      </c>
    </row>
    <row r="1399" spans="1:59">
      <c r="A1399">
        <v>1115</v>
      </c>
      <c r="B1399">
        <v>1115</v>
      </c>
      <c r="C1399">
        <v>10</v>
      </c>
      <c r="D1399">
        <v>2</v>
      </c>
      <c r="E1399" t="s">
        <v>152</v>
      </c>
      <c r="F1399" t="s">
        <v>153</v>
      </c>
      <c r="G1399" t="s">
        <v>154</v>
      </c>
      <c r="H1399">
        <v>1526007313</v>
      </c>
      <c r="I1399">
        <v>1000007612</v>
      </c>
      <c r="L1399" t="s">
        <v>368</v>
      </c>
      <c r="M1399">
        <v>5100001666</v>
      </c>
      <c r="N1399" t="s">
        <v>155</v>
      </c>
      <c r="O1399" t="s">
        <v>156</v>
      </c>
      <c r="P1399">
        <v>4110027035</v>
      </c>
      <c r="Q1399" t="s">
        <v>225</v>
      </c>
      <c r="R1399">
        <v>5000</v>
      </c>
      <c r="S1399" t="s">
        <v>166</v>
      </c>
      <c r="V1399" t="s">
        <v>167</v>
      </c>
      <c r="W1399">
        <v>1502020105</v>
      </c>
      <c r="X1399" t="s">
        <v>226</v>
      </c>
      <c r="Y1399" t="str">
        <f>VLOOKUP(W1399,Sheet4!$A$5:$B$72,2,0)</f>
        <v>RE STYLING</v>
      </c>
      <c r="Z1399">
        <v>87082900</v>
      </c>
      <c r="AA1399">
        <v>15</v>
      </c>
      <c r="AB1399" t="s">
        <v>159</v>
      </c>
      <c r="AC1399" s="24">
        <v>6570.77</v>
      </c>
      <c r="AD1399" t="s">
        <v>160</v>
      </c>
      <c r="AE1399" s="24">
        <v>98561.55</v>
      </c>
      <c r="AF1399">
        <v>0</v>
      </c>
      <c r="AG1399" s="24">
        <v>98561.55</v>
      </c>
      <c r="AH1399">
        <v>0</v>
      </c>
      <c r="AI1399">
        <v>0</v>
      </c>
      <c r="AJ1399">
        <v>0</v>
      </c>
      <c r="AK1399">
        <v>0</v>
      </c>
      <c r="AL1399" s="24">
        <v>98561.55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 s="24">
        <v>98561.55</v>
      </c>
      <c r="AV1399">
        <v>0</v>
      </c>
      <c r="AW1399">
        <v>0</v>
      </c>
      <c r="AX1399">
        <v>311000</v>
      </c>
      <c r="AY1399" t="s">
        <v>161</v>
      </c>
      <c r="AZ1399">
        <v>49.75</v>
      </c>
      <c r="BA1399">
        <v>49.75</v>
      </c>
      <c r="BB1399">
        <v>0</v>
      </c>
      <c r="BC1399" t="s">
        <v>227</v>
      </c>
      <c r="BD1399">
        <v>1509</v>
      </c>
      <c r="BE1399" t="s">
        <v>169</v>
      </c>
      <c r="BF1399">
        <v>5094271640</v>
      </c>
      <c r="BG1399" t="s">
        <v>368</v>
      </c>
    </row>
    <row r="1400" spans="1:59">
      <c r="A1400">
        <v>1115</v>
      </c>
      <c r="B1400">
        <v>1115</v>
      </c>
      <c r="C1400">
        <v>10</v>
      </c>
      <c r="D1400">
        <v>2</v>
      </c>
      <c r="E1400" t="s">
        <v>152</v>
      </c>
      <c r="F1400" t="s">
        <v>153</v>
      </c>
      <c r="G1400" t="s">
        <v>154</v>
      </c>
      <c r="H1400">
        <v>1526007312</v>
      </c>
      <c r="I1400">
        <v>1000007611</v>
      </c>
      <c r="L1400" t="s">
        <v>368</v>
      </c>
      <c r="M1400">
        <v>5100001666</v>
      </c>
      <c r="N1400" t="s">
        <v>155</v>
      </c>
      <c r="O1400" t="s">
        <v>156</v>
      </c>
      <c r="P1400">
        <v>4110027035</v>
      </c>
      <c r="Q1400" t="s">
        <v>225</v>
      </c>
      <c r="R1400">
        <v>5000</v>
      </c>
      <c r="S1400" t="s">
        <v>166</v>
      </c>
      <c r="V1400" t="s">
        <v>167</v>
      </c>
      <c r="W1400">
        <v>1502020105</v>
      </c>
      <c r="X1400" t="s">
        <v>226</v>
      </c>
      <c r="Y1400" t="str">
        <f>VLOOKUP(W1400,Sheet4!$A$5:$B$72,2,0)</f>
        <v>RE STYLING</v>
      </c>
      <c r="Z1400">
        <v>87082900</v>
      </c>
      <c r="AA1400">
        <v>15</v>
      </c>
      <c r="AB1400" t="s">
        <v>159</v>
      </c>
      <c r="AC1400" s="24">
        <v>6570.77</v>
      </c>
      <c r="AD1400" t="s">
        <v>160</v>
      </c>
      <c r="AE1400" s="24">
        <v>98561.55</v>
      </c>
      <c r="AF1400">
        <v>0</v>
      </c>
      <c r="AG1400" s="24">
        <v>98561.55</v>
      </c>
      <c r="AH1400">
        <v>0</v>
      </c>
      <c r="AI1400">
        <v>0</v>
      </c>
      <c r="AJ1400">
        <v>0</v>
      </c>
      <c r="AK1400">
        <v>0</v>
      </c>
      <c r="AL1400" s="24">
        <v>98561.55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 s="24">
        <v>98561.55</v>
      </c>
      <c r="AV1400">
        <v>0</v>
      </c>
      <c r="AW1400">
        <v>0</v>
      </c>
      <c r="AX1400">
        <v>311000</v>
      </c>
      <c r="AY1400" t="s">
        <v>161</v>
      </c>
      <c r="AZ1400">
        <v>49.75</v>
      </c>
      <c r="BA1400">
        <v>49.75</v>
      </c>
      <c r="BB1400">
        <v>0</v>
      </c>
      <c r="BC1400" t="s">
        <v>227</v>
      </c>
      <c r="BD1400">
        <v>1509</v>
      </c>
      <c r="BE1400" t="s">
        <v>169</v>
      </c>
      <c r="BF1400">
        <v>5094271639</v>
      </c>
      <c r="BG1400" t="s">
        <v>368</v>
      </c>
    </row>
    <row r="1401" spans="1:59">
      <c r="A1401">
        <v>1115</v>
      </c>
      <c r="B1401">
        <v>1115</v>
      </c>
      <c r="C1401">
        <v>10</v>
      </c>
      <c r="D1401">
        <v>2</v>
      </c>
      <c r="E1401" t="s">
        <v>152</v>
      </c>
      <c r="F1401" t="s">
        <v>153</v>
      </c>
      <c r="G1401" t="s">
        <v>154</v>
      </c>
      <c r="H1401">
        <v>1526007311</v>
      </c>
      <c r="I1401">
        <v>1000007610</v>
      </c>
      <c r="L1401" t="s">
        <v>368</v>
      </c>
      <c r="M1401">
        <v>5100001913</v>
      </c>
      <c r="N1401" t="s">
        <v>155</v>
      </c>
      <c r="O1401" t="s">
        <v>156</v>
      </c>
      <c r="P1401">
        <v>4110050475</v>
      </c>
      <c r="Q1401" t="s">
        <v>178</v>
      </c>
      <c r="R1401">
        <v>5000</v>
      </c>
      <c r="S1401" t="s">
        <v>166</v>
      </c>
      <c r="V1401" t="s">
        <v>167</v>
      </c>
      <c r="W1401">
        <v>1502040289</v>
      </c>
      <c r="X1401" t="s">
        <v>49</v>
      </c>
      <c r="Y1401" t="str">
        <f>VLOOKUP(W1401,Sheet4!$A$5:$B$72,2,0)</f>
        <v>SUPPORT TOP</v>
      </c>
      <c r="Z1401">
        <v>87082900</v>
      </c>
      <c r="AA1401">
        <v>384</v>
      </c>
      <c r="AB1401" t="s">
        <v>159</v>
      </c>
      <c r="AC1401">
        <v>174.61</v>
      </c>
      <c r="AD1401" t="s">
        <v>160</v>
      </c>
      <c r="AE1401" s="24">
        <v>67050.240000000005</v>
      </c>
      <c r="AF1401">
        <v>0</v>
      </c>
      <c r="AG1401" s="24">
        <v>67050.240000000005</v>
      </c>
      <c r="AH1401">
        <v>0</v>
      </c>
      <c r="AI1401">
        <v>0</v>
      </c>
      <c r="AJ1401">
        <v>0</v>
      </c>
      <c r="AK1401">
        <v>0</v>
      </c>
      <c r="AL1401" s="24">
        <v>67050.240000000005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 s="24">
        <v>67050.240000000005</v>
      </c>
      <c r="AV1401">
        <v>0</v>
      </c>
      <c r="AW1401">
        <v>0</v>
      </c>
      <c r="AX1401">
        <v>311000</v>
      </c>
      <c r="AY1401" t="s">
        <v>161</v>
      </c>
      <c r="AZ1401">
        <v>0</v>
      </c>
      <c r="BA1401">
        <v>0</v>
      </c>
      <c r="BB1401">
        <v>0</v>
      </c>
      <c r="BC1401" t="s">
        <v>179</v>
      </c>
      <c r="BD1401">
        <v>1511</v>
      </c>
      <c r="BE1401" t="s">
        <v>174</v>
      </c>
      <c r="BF1401">
        <v>5094263022</v>
      </c>
      <c r="BG1401" t="s">
        <v>368</v>
      </c>
    </row>
    <row r="1402" spans="1:59">
      <c r="A1402">
        <v>1115</v>
      </c>
      <c r="B1402">
        <v>1115</v>
      </c>
      <c r="C1402">
        <v>10</v>
      </c>
      <c r="D1402">
        <v>2</v>
      </c>
      <c r="E1402" t="s">
        <v>152</v>
      </c>
      <c r="F1402" t="s">
        <v>153</v>
      </c>
      <c r="G1402" t="s">
        <v>154</v>
      </c>
      <c r="H1402">
        <v>1526007310</v>
      </c>
      <c r="I1402">
        <v>1000007609</v>
      </c>
      <c r="L1402" t="s">
        <v>368</v>
      </c>
      <c r="M1402">
        <v>5100001603</v>
      </c>
      <c r="N1402" t="s">
        <v>155</v>
      </c>
      <c r="O1402" t="s">
        <v>156</v>
      </c>
      <c r="P1402">
        <v>4110025468</v>
      </c>
      <c r="Q1402" t="s">
        <v>165</v>
      </c>
      <c r="R1402">
        <v>5000</v>
      </c>
      <c r="S1402" t="s">
        <v>166</v>
      </c>
      <c r="V1402" t="s">
        <v>167</v>
      </c>
      <c r="W1402">
        <v>1502020102</v>
      </c>
      <c r="X1402" t="s">
        <v>58</v>
      </c>
      <c r="Y1402" t="str">
        <f>VLOOKUP(W1402,Sheet4!$A$5:$B$72,2,0)</f>
        <v>MAXIMA HD</v>
      </c>
      <c r="Z1402">
        <v>87082900</v>
      </c>
      <c r="AA1402">
        <v>8</v>
      </c>
      <c r="AB1402" t="s">
        <v>159</v>
      </c>
      <c r="AC1402" s="24">
        <v>8593.51</v>
      </c>
      <c r="AD1402" t="s">
        <v>160</v>
      </c>
      <c r="AE1402" s="24">
        <v>68748.08</v>
      </c>
      <c r="AF1402">
        <v>0</v>
      </c>
      <c r="AG1402" s="24">
        <v>68748.08</v>
      </c>
      <c r="AH1402">
        <v>0</v>
      </c>
      <c r="AI1402">
        <v>0</v>
      </c>
      <c r="AJ1402">
        <v>0</v>
      </c>
      <c r="AK1402">
        <v>0</v>
      </c>
      <c r="AL1402" s="24">
        <v>68748.08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 s="24">
        <v>68748.08</v>
      </c>
      <c r="AV1402">
        <v>0</v>
      </c>
      <c r="AW1402">
        <v>0</v>
      </c>
      <c r="AX1402">
        <v>311000</v>
      </c>
      <c r="AY1402" t="s">
        <v>161</v>
      </c>
      <c r="AZ1402">
        <v>93.34</v>
      </c>
      <c r="BA1402">
        <v>75.430000000000007</v>
      </c>
      <c r="BB1402">
        <v>17.91</v>
      </c>
      <c r="BC1402" t="s">
        <v>168</v>
      </c>
      <c r="BD1402">
        <v>1509</v>
      </c>
      <c r="BE1402" t="s">
        <v>169</v>
      </c>
      <c r="BF1402">
        <v>5094269631</v>
      </c>
      <c r="BG1402" t="s">
        <v>368</v>
      </c>
    </row>
    <row r="1403" spans="1:59">
      <c r="A1403">
        <v>1115</v>
      </c>
      <c r="B1403">
        <v>1115</v>
      </c>
      <c r="C1403">
        <v>10</v>
      </c>
      <c r="D1403">
        <v>2</v>
      </c>
      <c r="E1403" t="s">
        <v>152</v>
      </c>
      <c r="F1403" t="s">
        <v>153</v>
      </c>
      <c r="G1403" t="s">
        <v>154</v>
      </c>
      <c r="H1403">
        <v>1526007309</v>
      </c>
      <c r="I1403">
        <v>1000007608</v>
      </c>
      <c r="L1403" t="s">
        <v>368</v>
      </c>
      <c r="M1403">
        <v>5100001603</v>
      </c>
      <c r="N1403" t="s">
        <v>155</v>
      </c>
      <c r="O1403" t="s">
        <v>156</v>
      </c>
      <c r="P1403">
        <v>4110025468</v>
      </c>
      <c r="Q1403" t="s">
        <v>165</v>
      </c>
      <c r="R1403">
        <v>5000</v>
      </c>
      <c r="S1403" t="s">
        <v>166</v>
      </c>
      <c r="V1403" t="s">
        <v>167</v>
      </c>
      <c r="W1403">
        <v>1502020102</v>
      </c>
      <c r="X1403" t="s">
        <v>58</v>
      </c>
      <c r="Y1403" t="str">
        <f>VLOOKUP(W1403,Sheet4!$A$5:$B$72,2,0)</f>
        <v>MAXIMA HD</v>
      </c>
      <c r="Z1403">
        <v>87082900</v>
      </c>
      <c r="AA1403">
        <v>8</v>
      </c>
      <c r="AB1403" t="s">
        <v>159</v>
      </c>
      <c r="AC1403" s="24">
        <v>8593.51</v>
      </c>
      <c r="AD1403" t="s">
        <v>160</v>
      </c>
      <c r="AE1403" s="24">
        <v>68748.08</v>
      </c>
      <c r="AF1403">
        <v>0</v>
      </c>
      <c r="AG1403" s="24">
        <v>68748.08</v>
      </c>
      <c r="AH1403">
        <v>0</v>
      </c>
      <c r="AI1403">
        <v>0</v>
      </c>
      <c r="AJ1403">
        <v>0</v>
      </c>
      <c r="AK1403">
        <v>0</v>
      </c>
      <c r="AL1403" s="24">
        <v>68748.08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 s="24">
        <v>68748.08</v>
      </c>
      <c r="AV1403">
        <v>0</v>
      </c>
      <c r="AW1403">
        <v>0</v>
      </c>
      <c r="AX1403">
        <v>311000</v>
      </c>
      <c r="AY1403" t="s">
        <v>161</v>
      </c>
      <c r="AZ1403">
        <v>93.34</v>
      </c>
      <c r="BA1403">
        <v>75.430000000000007</v>
      </c>
      <c r="BB1403">
        <v>17.91</v>
      </c>
      <c r="BC1403" t="s">
        <v>168</v>
      </c>
      <c r="BD1403">
        <v>1509</v>
      </c>
      <c r="BE1403" t="s">
        <v>169</v>
      </c>
      <c r="BF1403">
        <v>5094269414</v>
      </c>
      <c r="BG1403" t="s">
        <v>368</v>
      </c>
    </row>
    <row r="1404" spans="1:59">
      <c r="A1404">
        <v>1115</v>
      </c>
      <c r="B1404">
        <v>1115</v>
      </c>
      <c r="C1404">
        <v>10</v>
      </c>
      <c r="D1404">
        <v>2</v>
      </c>
      <c r="E1404" t="s">
        <v>152</v>
      </c>
      <c r="F1404" t="s">
        <v>153</v>
      </c>
      <c r="G1404" t="s">
        <v>154</v>
      </c>
      <c r="H1404">
        <v>1526007308</v>
      </c>
      <c r="I1404">
        <v>1000007607</v>
      </c>
      <c r="L1404" t="s">
        <v>368</v>
      </c>
      <c r="M1404">
        <v>5100001603</v>
      </c>
      <c r="N1404" t="s">
        <v>155</v>
      </c>
      <c r="O1404" t="s">
        <v>156</v>
      </c>
      <c r="P1404">
        <v>4110025468</v>
      </c>
      <c r="Q1404" t="s">
        <v>165</v>
      </c>
      <c r="R1404">
        <v>5000</v>
      </c>
      <c r="S1404" t="s">
        <v>166</v>
      </c>
      <c r="V1404" t="s">
        <v>167</v>
      </c>
      <c r="W1404">
        <v>1502020102</v>
      </c>
      <c r="X1404" t="s">
        <v>58</v>
      </c>
      <c r="Y1404" t="str">
        <f>VLOOKUP(W1404,Sheet4!$A$5:$B$72,2,0)</f>
        <v>MAXIMA HD</v>
      </c>
      <c r="Z1404">
        <v>87082900</v>
      </c>
      <c r="AA1404">
        <v>8</v>
      </c>
      <c r="AB1404" t="s">
        <v>159</v>
      </c>
      <c r="AC1404" s="24">
        <v>8593.51</v>
      </c>
      <c r="AD1404" t="s">
        <v>160</v>
      </c>
      <c r="AE1404" s="24">
        <v>68748.08</v>
      </c>
      <c r="AF1404">
        <v>0</v>
      </c>
      <c r="AG1404" s="24">
        <v>68748.08</v>
      </c>
      <c r="AH1404">
        <v>0</v>
      </c>
      <c r="AI1404">
        <v>0</v>
      </c>
      <c r="AJ1404">
        <v>0</v>
      </c>
      <c r="AK1404">
        <v>0</v>
      </c>
      <c r="AL1404" s="24">
        <v>68748.08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 s="24">
        <v>68748.08</v>
      </c>
      <c r="AV1404">
        <v>0</v>
      </c>
      <c r="AW1404">
        <v>0</v>
      </c>
      <c r="AX1404">
        <v>311000</v>
      </c>
      <c r="AY1404" t="s">
        <v>161</v>
      </c>
      <c r="AZ1404">
        <v>93.34</v>
      </c>
      <c r="BA1404">
        <v>75.430000000000007</v>
      </c>
      <c r="BB1404">
        <v>17.91</v>
      </c>
      <c r="BC1404" t="s">
        <v>168</v>
      </c>
      <c r="BD1404">
        <v>1509</v>
      </c>
      <c r="BE1404" t="s">
        <v>169</v>
      </c>
      <c r="BF1404">
        <v>5094266080</v>
      </c>
      <c r="BG1404" t="s">
        <v>368</v>
      </c>
    </row>
    <row r="1405" spans="1:59">
      <c r="A1405">
        <v>1115</v>
      </c>
      <c r="B1405">
        <v>1115</v>
      </c>
      <c r="C1405">
        <v>10</v>
      </c>
      <c r="D1405">
        <v>2</v>
      </c>
      <c r="E1405" t="s">
        <v>152</v>
      </c>
      <c r="F1405" t="s">
        <v>153</v>
      </c>
      <c r="G1405" t="s">
        <v>154</v>
      </c>
      <c r="H1405">
        <v>1526007307</v>
      </c>
      <c r="I1405">
        <v>1000007606</v>
      </c>
      <c r="L1405" t="s">
        <v>368</v>
      </c>
      <c r="M1405">
        <v>5100001603</v>
      </c>
      <c r="N1405" t="s">
        <v>155</v>
      </c>
      <c r="O1405" t="s">
        <v>156</v>
      </c>
      <c r="P1405">
        <v>4110025468</v>
      </c>
      <c r="Q1405" t="s">
        <v>165</v>
      </c>
      <c r="R1405">
        <v>5000</v>
      </c>
      <c r="S1405" t="s">
        <v>166</v>
      </c>
      <c r="V1405" t="s">
        <v>167</v>
      </c>
      <c r="W1405">
        <v>1502020102</v>
      </c>
      <c r="X1405" t="s">
        <v>58</v>
      </c>
      <c r="Y1405" t="str">
        <f>VLOOKUP(W1405,Sheet4!$A$5:$B$72,2,0)</f>
        <v>MAXIMA HD</v>
      </c>
      <c r="Z1405">
        <v>87082900</v>
      </c>
      <c r="AA1405">
        <v>8</v>
      </c>
      <c r="AB1405" t="s">
        <v>159</v>
      </c>
      <c r="AC1405" s="24">
        <v>8593.51</v>
      </c>
      <c r="AD1405" t="s">
        <v>160</v>
      </c>
      <c r="AE1405" s="24">
        <v>68748.08</v>
      </c>
      <c r="AF1405">
        <v>0</v>
      </c>
      <c r="AG1405" s="24">
        <v>68748.08</v>
      </c>
      <c r="AH1405">
        <v>0</v>
      </c>
      <c r="AI1405">
        <v>0</v>
      </c>
      <c r="AJ1405">
        <v>0</v>
      </c>
      <c r="AK1405">
        <v>0</v>
      </c>
      <c r="AL1405" s="24">
        <v>68748.08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 s="24">
        <v>68748.08</v>
      </c>
      <c r="AV1405">
        <v>0</v>
      </c>
      <c r="AW1405">
        <v>0</v>
      </c>
      <c r="AX1405">
        <v>311000</v>
      </c>
      <c r="AY1405" t="s">
        <v>161</v>
      </c>
      <c r="AZ1405">
        <v>93.34</v>
      </c>
      <c r="BA1405">
        <v>75.430000000000007</v>
      </c>
      <c r="BB1405">
        <v>17.91</v>
      </c>
      <c r="BC1405" t="s">
        <v>168</v>
      </c>
      <c r="BD1405">
        <v>1509</v>
      </c>
      <c r="BE1405" t="s">
        <v>169</v>
      </c>
      <c r="BF1405">
        <v>5094265807</v>
      </c>
      <c r="BG1405" t="s">
        <v>368</v>
      </c>
    </row>
    <row r="1406" spans="1:59">
      <c r="A1406">
        <v>1115</v>
      </c>
      <c r="B1406">
        <v>1115</v>
      </c>
      <c r="C1406">
        <v>10</v>
      </c>
      <c r="D1406">
        <v>2</v>
      </c>
      <c r="E1406" t="s">
        <v>152</v>
      </c>
      <c r="F1406" t="s">
        <v>153</v>
      </c>
      <c r="G1406" t="s">
        <v>154</v>
      </c>
      <c r="H1406">
        <v>1526007303</v>
      </c>
      <c r="I1406">
        <v>1000007599</v>
      </c>
      <c r="L1406" t="s">
        <v>368</v>
      </c>
      <c r="M1406">
        <v>5100001928</v>
      </c>
      <c r="N1406" t="s">
        <v>155</v>
      </c>
      <c r="O1406" t="s">
        <v>156</v>
      </c>
      <c r="P1406">
        <v>4110057393</v>
      </c>
      <c r="Q1406" t="s">
        <v>192</v>
      </c>
      <c r="R1406">
        <v>5000</v>
      </c>
      <c r="S1406" t="s">
        <v>166</v>
      </c>
      <c r="V1406" t="s">
        <v>167</v>
      </c>
      <c r="W1406">
        <v>1502020122</v>
      </c>
      <c r="X1406" t="s">
        <v>70</v>
      </c>
      <c r="Y1406" t="str">
        <f>VLOOKUP(W1406,Sheet4!$A$5:$B$72,2,0)</f>
        <v>MAX UG NEW EV</v>
      </c>
      <c r="Z1406">
        <v>87082900</v>
      </c>
      <c r="AA1406">
        <v>10</v>
      </c>
      <c r="AB1406" t="s">
        <v>159</v>
      </c>
      <c r="AC1406" s="24">
        <v>9566.51</v>
      </c>
      <c r="AD1406" t="s">
        <v>160</v>
      </c>
      <c r="AE1406" s="24">
        <v>95665.1</v>
      </c>
      <c r="AF1406">
        <v>0</v>
      </c>
      <c r="AG1406" s="24">
        <v>95665.1</v>
      </c>
      <c r="AH1406">
        <v>0</v>
      </c>
      <c r="AI1406">
        <v>0</v>
      </c>
      <c r="AJ1406">
        <v>0</v>
      </c>
      <c r="AK1406">
        <v>0</v>
      </c>
      <c r="AL1406" s="24">
        <v>95665.1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 s="24">
        <v>95665.1</v>
      </c>
      <c r="AV1406">
        <v>0</v>
      </c>
      <c r="AW1406">
        <v>0</v>
      </c>
      <c r="AX1406">
        <v>311000</v>
      </c>
      <c r="AY1406" t="s">
        <v>161</v>
      </c>
      <c r="AZ1406">
        <v>0</v>
      </c>
      <c r="BA1406">
        <v>61</v>
      </c>
      <c r="BB1406">
        <v>-61</v>
      </c>
      <c r="BC1406" t="s">
        <v>193</v>
      </c>
      <c r="BD1406">
        <v>1509</v>
      </c>
      <c r="BE1406" t="s">
        <v>169</v>
      </c>
      <c r="BF1406">
        <v>5094264245</v>
      </c>
      <c r="BG1406" t="s">
        <v>368</v>
      </c>
    </row>
    <row r="1407" spans="1:59">
      <c r="A1407">
        <v>1115</v>
      </c>
      <c r="B1407">
        <v>1115</v>
      </c>
      <c r="C1407">
        <v>10</v>
      </c>
      <c r="D1407">
        <v>2</v>
      </c>
      <c r="E1407" t="s">
        <v>152</v>
      </c>
      <c r="F1407" t="s">
        <v>153</v>
      </c>
      <c r="G1407" t="s">
        <v>154</v>
      </c>
      <c r="H1407">
        <v>1526007302</v>
      </c>
      <c r="I1407">
        <v>1000007598</v>
      </c>
      <c r="L1407" t="s">
        <v>368</v>
      </c>
      <c r="M1407">
        <v>5100001928</v>
      </c>
      <c r="N1407" t="s">
        <v>155</v>
      </c>
      <c r="O1407" t="s">
        <v>156</v>
      </c>
      <c r="P1407">
        <v>4110057393</v>
      </c>
      <c r="Q1407" t="s">
        <v>192</v>
      </c>
      <c r="R1407">
        <v>5000</v>
      </c>
      <c r="S1407" t="s">
        <v>166</v>
      </c>
      <c r="V1407" t="s">
        <v>167</v>
      </c>
      <c r="W1407">
        <v>1502020122</v>
      </c>
      <c r="X1407" t="s">
        <v>70</v>
      </c>
      <c r="Y1407" t="str">
        <f>VLOOKUP(W1407,Sheet4!$A$5:$B$72,2,0)</f>
        <v>MAX UG NEW EV</v>
      </c>
      <c r="Z1407">
        <v>87082900</v>
      </c>
      <c r="AA1407">
        <v>10</v>
      </c>
      <c r="AB1407" t="s">
        <v>159</v>
      </c>
      <c r="AC1407" s="24">
        <v>9566.51</v>
      </c>
      <c r="AD1407" t="s">
        <v>160</v>
      </c>
      <c r="AE1407" s="24">
        <v>95665.1</v>
      </c>
      <c r="AF1407">
        <v>0</v>
      </c>
      <c r="AG1407" s="24">
        <v>95665.1</v>
      </c>
      <c r="AH1407">
        <v>0</v>
      </c>
      <c r="AI1407">
        <v>0</v>
      </c>
      <c r="AJ1407">
        <v>0</v>
      </c>
      <c r="AK1407">
        <v>0</v>
      </c>
      <c r="AL1407" s="24">
        <v>95665.1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 s="24">
        <v>95665.1</v>
      </c>
      <c r="AV1407">
        <v>0</v>
      </c>
      <c r="AW1407">
        <v>0</v>
      </c>
      <c r="AX1407">
        <v>311000</v>
      </c>
      <c r="AY1407" t="s">
        <v>161</v>
      </c>
      <c r="AZ1407">
        <v>0</v>
      </c>
      <c r="BA1407">
        <v>61</v>
      </c>
      <c r="BB1407">
        <v>-61</v>
      </c>
      <c r="BC1407" t="s">
        <v>193</v>
      </c>
      <c r="BD1407">
        <v>1509</v>
      </c>
      <c r="BE1407" t="s">
        <v>169</v>
      </c>
      <c r="BF1407">
        <v>5094272618</v>
      </c>
      <c r="BG1407" t="s">
        <v>368</v>
      </c>
    </row>
    <row r="1408" spans="1:59">
      <c r="A1408">
        <v>1115</v>
      </c>
      <c r="B1408">
        <v>1115</v>
      </c>
      <c r="C1408">
        <v>10</v>
      </c>
      <c r="D1408">
        <v>2</v>
      </c>
      <c r="E1408" t="s">
        <v>152</v>
      </c>
      <c r="F1408" t="s">
        <v>153</v>
      </c>
      <c r="G1408" t="s">
        <v>154</v>
      </c>
      <c r="H1408">
        <v>1526007300</v>
      </c>
      <c r="I1408">
        <v>1000007595</v>
      </c>
      <c r="L1408" t="s">
        <v>368</v>
      </c>
      <c r="M1408">
        <v>5100001603</v>
      </c>
      <c r="N1408" t="s">
        <v>155</v>
      </c>
      <c r="O1408" t="s">
        <v>156</v>
      </c>
      <c r="P1408">
        <v>4110025468</v>
      </c>
      <c r="Q1408" t="s">
        <v>165</v>
      </c>
      <c r="R1408">
        <v>5000</v>
      </c>
      <c r="S1408" t="s">
        <v>166</v>
      </c>
      <c r="V1408" t="s">
        <v>167</v>
      </c>
      <c r="W1408">
        <v>1502020102</v>
      </c>
      <c r="X1408" t="s">
        <v>58</v>
      </c>
      <c r="Y1408" t="str">
        <f>VLOOKUP(W1408,Sheet4!$A$5:$B$72,2,0)</f>
        <v>MAXIMA HD</v>
      </c>
      <c r="Z1408">
        <v>87082900</v>
      </c>
      <c r="AA1408">
        <v>8</v>
      </c>
      <c r="AB1408" t="s">
        <v>159</v>
      </c>
      <c r="AC1408" s="24">
        <v>8593.51</v>
      </c>
      <c r="AD1408" t="s">
        <v>160</v>
      </c>
      <c r="AE1408" s="24">
        <v>68748.08</v>
      </c>
      <c r="AF1408">
        <v>0</v>
      </c>
      <c r="AG1408" s="24">
        <v>68748.08</v>
      </c>
      <c r="AH1408">
        <v>0</v>
      </c>
      <c r="AI1408">
        <v>0</v>
      </c>
      <c r="AJ1408">
        <v>0</v>
      </c>
      <c r="AK1408">
        <v>0</v>
      </c>
      <c r="AL1408" s="24">
        <v>68748.08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 s="24">
        <v>68748.08</v>
      </c>
      <c r="AV1408">
        <v>0</v>
      </c>
      <c r="AW1408">
        <v>0</v>
      </c>
      <c r="AX1408">
        <v>311000</v>
      </c>
      <c r="AY1408" t="s">
        <v>161</v>
      </c>
      <c r="AZ1408">
        <v>93.34</v>
      </c>
      <c r="BA1408">
        <v>75.430000000000007</v>
      </c>
      <c r="BB1408">
        <v>17.91</v>
      </c>
      <c r="BC1408" t="s">
        <v>168</v>
      </c>
      <c r="BD1408">
        <v>1509</v>
      </c>
      <c r="BE1408" t="s">
        <v>169</v>
      </c>
      <c r="BF1408">
        <v>5094265799</v>
      </c>
      <c r="BG1408" t="s">
        <v>368</v>
      </c>
    </row>
    <row r="1409" spans="1:59">
      <c r="A1409">
        <v>1115</v>
      </c>
      <c r="B1409">
        <v>1115</v>
      </c>
      <c r="C1409">
        <v>10</v>
      </c>
      <c r="D1409">
        <v>2</v>
      </c>
      <c r="E1409" t="s">
        <v>152</v>
      </c>
      <c r="F1409" t="s">
        <v>153</v>
      </c>
      <c r="G1409" t="s">
        <v>154</v>
      </c>
      <c r="H1409">
        <v>1526007374</v>
      </c>
      <c r="I1409">
        <v>1000007669</v>
      </c>
      <c r="L1409" t="s">
        <v>368</v>
      </c>
      <c r="M1409">
        <v>5100001939</v>
      </c>
      <c r="N1409" t="s">
        <v>155</v>
      </c>
      <c r="O1409" t="s">
        <v>156</v>
      </c>
      <c r="P1409">
        <v>4110059608</v>
      </c>
      <c r="Q1409" t="s">
        <v>240</v>
      </c>
      <c r="R1409">
        <v>5000</v>
      </c>
      <c r="S1409" t="s">
        <v>166</v>
      </c>
      <c r="V1409" t="s">
        <v>167</v>
      </c>
      <c r="W1409">
        <v>1502020129</v>
      </c>
      <c r="X1409" t="s">
        <v>241</v>
      </c>
      <c r="Y1409" t="str">
        <f>VLOOKUP(W1409,Sheet4!$A$5:$B$72,2,0)</f>
        <v>RE STYLING</v>
      </c>
      <c r="Z1409">
        <v>87082900</v>
      </c>
      <c r="AA1409">
        <v>15</v>
      </c>
      <c r="AB1409" t="s">
        <v>159</v>
      </c>
      <c r="AC1409" s="24">
        <v>6500.18</v>
      </c>
      <c r="AD1409" t="s">
        <v>160</v>
      </c>
      <c r="AE1409" s="24">
        <v>97502.7</v>
      </c>
      <c r="AF1409">
        <v>0</v>
      </c>
      <c r="AG1409" s="24">
        <v>97502.7</v>
      </c>
      <c r="AH1409">
        <v>0</v>
      </c>
      <c r="AI1409">
        <v>0</v>
      </c>
      <c r="AJ1409">
        <v>0</v>
      </c>
      <c r="AK1409">
        <v>0</v>
      </c>
      <c r="AL1409" s="24">
        <v>97502.7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 s="24">
        <v>97502.7</v>
      </c>
      <c r="AV1409">
        <v>0</v>
      </c>
      <c r="AW1409">
        <v>0</v>
      </c>
      <c r="AX1409">
        <v>311000</v>
      </c>
      <c r="AY1409" t="s">
        <v>161</v>
      </c>
      <c r="AZ1409">
        <v>0</v>
      </c>
      <c r="BA1409">
        <v>0</v>
      </c>
      <c r="BB1409">
        <v>0</v>
      </c>
      <c r="BC1409" t="s">
        <v>242</v>
      </c>
      <c r="BD1409">
        <v>1509</v>
      </c>
      <c r="BE1409" t="s">
        <v>169</v>
      </c>
      <c r="BF1409" t="s">
        <v>163</v>
      </c>
      <c r="BG1409" t="s">
        <v>164</v>
      </c>
    </row>
    <row r="1410" spans="1:59">
      <c r="A1410">
        <v>1115</v>
      </c>
      <c r="B1410">
        <v>1115</v>
      </c>
      <c r="C1410">
        <v>10</v>
      </c>
      <c r="D1410">
        <v>2</v>
      </c>
      <c r="E1410" t="s">
        <v>152</v>
      </c>
      <c r="F1410" t="s">
        <v>153</v>
      </c>
      <c r="G1410" t="s">
        <v>154</v>
      </c>
      <c r="H1410">
        <v>1526007373</v>
      </c>
      <c r="I1410">
        <v>1000007668</v>
      </c>
      <c r="L1410" t="s">
        <v>368</v>
      </c>
      <c r="M1410">
        <v>5100001666</v>
      </c>
      <c r="N1410" t="s">
        <v>155</v>
      </c>
      <c r="O1410" t="s">
        <v>156</v>
      </c>
      <c r="P1410">
        <v>4110027035</v>
      </c>
      <c r="Q1410" t="s">
        <v>225</v>
      </c>
      <c r="R1410">
        <v>5000</v>
      </c>
      <c r="S1410" t="s">
        <v>166</v>
      </c>
      <c r="V1410" t="s">
        <v>167</v>
      </c>
      <c r="W1410">
        <v>1502020105</v>
      </c>
      <c r="X1410" t="s">
        <v>226</v>
      </c>
      <c r="Y1410" t="str">
        <f>VLOOKUP(W1410,Sheet4!$A$5:$B$72,2,0)</f>
        <v>RE STYLING</v>
      </c>
      <c r="Z1410">
        <v>87082900</v>
      </c>
      <c r="AA1410">
        <v>15</v>
      </c>
      <c r="AB1410" t="s">
        <v>159</v>
      </c>
      <c r="AC1410" s="24">
        <v>6570.77</v>
      </c>
      <c r="AD1410" t="s">
        <v>160</v>
      </c>
      <c r="AE1410" s="24">
        <v>98561.55</v>
      </c>
      <c r="AF1410">
        <v>0</v>
      </c>
      <c r="AG1410" s="24">
        <v>98561.55</v>
      </c>
      <c r="AH1410">
        <v>0</v>
      </c>
      <c r="AI1410">
        <v>0</v>
      </c>
      <c r="AJ1410">
        <v>0</v>
      </c>
      <c r="AK1410">
        <v>0</v>
      </c>
      <c r="AL1410" s="24">
        <v>98561.55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 s="24">
        <v>98561.55</v>
      </c>
      <c r="AV1410">
        <v>0</v>
      </c>
      <c r="AW1410">
        <v>0</v>
      </c>
      <c r="AX1410">
        <v>311000</v>
      </c>
      <c r="AY1410" t="s">
        <v>161</v>
      </c>
      <c r="AZ1410">
        <v>49.75</v>
      </c>
      <c r="BA1410">
        <v>49.75</v>
      </c>
      <c r="BB1410">
        <v>0</v>
      </c>
      <c r="BC1410" t="s">
        <v>227</v>
      </c>
      <c r="BD1410">
        <v>1509</v>
      </c>
      <c r="BE1410" t="s">
        <v>169</v>
      </c>
      <c r="BF1410" t="s">
        <v>163</v>
      </c>
      <c r="BG1410" t="s">
        <v>164</v>
      </c>
    </row>
    <row r="1411" spans="1:59">
      <c r="A1411">
        <v>1115</v>
      </c>
      <c r="B1411">
        <v>1115</v>
      </c>
      <c r="C1411">
        <v>10</v>
      </c>
      <c r="D1411">
        <v>2</v>
      </c>
      <c r="E1411" t="s">
        <v>152</v>
      </c>
      <c r="F1411" t="s">
        <v>153</v>
      </c>
      <c r="G1411" t="s">
        <v>154</v>
      </c>
      <c r="H1411">
        <v>1526007372</v>
      </c>
      <c r="I1411">
        <v>1000007667</v>
      </c>
      <c r="L1411" t="s">
        <v>368</v>
      </c>
      <c r="M1411">
        <v>5100001666</v>
      </c>
      <c r="N1411" t="s">
        <v>155</v>
      </c>
      <c r="O1411" t="s">
        <v>156</v>
      </c>
      <c r="P1411">
        <v>4110027035</v>
      </c>
      <c r="Q1411" t="s">
        <v>225</v>
      </c>
      <c r="R1411">
        <v>5000</v>
      </c>
      <c r="S1411" t="s">
        <v>166</v>
      </c>
      <c r="V1411" t="s">
        <v>167</v>
      </c>
      <c r="W1411">
        <v>1502020105</v>
      </c>
      <c r="X1411" t="s">
        <v>226</v>
      </c>
      <c r="Y1411" t="str">
        <f>VLOOKUP(W1411,Sheet4!$A$5:$B$72,2,0)</f>
        <v>RE STYLING</v>
      </c>
      <c r="Z1411">
        <v>87082900</v>
      </c>
      <c r="AA1411">
        <v>15</v>
      </c>
      <c r="AB1411" t="s">
        <v>159</v>
      </c>
      <c r="AC1411" s="24">
        <v>6570.77</v>
      </c>
      <c r="AD1411" t="s">
        <v>160</v>
      </c>
      <c r="AE1411" s="24">
        <v>98561.55</v>
      </c>
      <c r="AF1411">
        <v>0</v>
      </c>
      <c r="AG1411" s="24">
        <v>98561.55</v>
      </c>
      <c r="AH1411">
        <v>0</v>
      </c>
      <c r="AI1411">
        <v>0</v>
      </c>
      <c r="AJ1411">
        <v>0</v>
      </c>
      <c r="AK1411">
        <v>0</v>
      </c>
      <c r="AL1411" s="24">
        <v>98561.55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 s="24">
        <v>98561.55</v>
      </c>
      <c r="AV1411">
        <v>0</v>
      </c>
      <c r="AW1411">
        <v>0</v>
      </c>
      <c r="AX1411">
        <v>311000</v>
      </c>
      <c r="AY1411" t="s">
        <v>161</v>
      </c>
      <c r="AZ1411">
        <v>49.75</v>
      </c>
      <c r="BA1411">
        <v>49.75</v>
      </c>
      <c r="BB1411">
        <v>0</v>
      </c>
      <c r="BC1411" t="s">
        <v>227</v>
      </c>
      <c r="BD1411">
        <v>1509</v>
      </c>
      <c r="BE1411" t="s">
        <v>169</v>
      </c>
      <c r="BF1411" t="s">
        <v>163</v>
      </c>
      <c r="BG1411" t="s">
        <v>164</v>
      </c>
    </row>
    <row r="1412" spans="1:59">
      <c r="A1412">
        <v>1115</v>
      </c>
      <c r="B1412">
        <v>1115</v>
      </c>
      <c r="C1412">
        <v>10</v>
      </c>
      <c r="D1412">
        <v>2</v>
      </c>
      <c r="E1412" t="s">
        <v>152</v>
      </c>
      <c r="F1412" t="s">
        <v>153</v>
      </c>
      <c r="G1412" t="s">
        <v>154</v>
      </c>
      <c r="H1412">
        <v>1526007371</v>
      </c>
      <c r="I1412">
        <v>1000007666</v>
      </c>
      <c r="L1412" t="s">
        <v>368</v>
      </c>
      <c r="M1412">
        <v>5100001730</v>
      </c>
      <c r="N1412" t="s">
        <v>155</v>
      </c>
      <c r="O1412" t="s">
        <v>156</v>
      </c>
      <c r="P1412">
        <v>4110029871</v>
      </c>
      <c r="Q1412" t="s">
        <v>301</v>
      </c>
      <c r="R1412">
        <v>5000</v>
      </c>
      <c r="S1412" t="s">
        <v>166</v>
      </c>
      <c r="V1412" t="s">
        <v>167</v>
      </c>
      <c r="W1412">
        <v>1502020112</v>
      </c>
      <c r="X1412" t="s">
        <v>302</v>
      </c>
      <c r="Y1412" t="str">
        <f>VLOOKUP(W1412,Sheet4!$A$5:$B$72,2,0)</f>
        <v>MAX UG NEW</v>
      </c>
      <c r="Z1412">
        <v>87082900</v>
      </c>
      <c r="AA1412">
        <v>10</v>
      </c>
      <c r="AB1412" t="s">
        <v>159</v>
      </c>
      <c r="AC1412" s="24">
        <v>9441.75</v>
      </c>
      <c r="AD1412" t="s">
        <v>160</v>
      </c>
      <c r="AE1412" s="24">
        <v>94417.5</v>
      </c>
      <c r="AF1412">
        <v>0</v>
      </c>
      <c r="AG1412" s="24">
        <v>94417.5</v>
      </c>
      <c r="AH1412">
        <v>0</v>
      </c>
      <c r="AI1412">
        <v>0</v>
      </c>
      <c r="AJ1412">
        <v>0</v>
      </c>
      <c r="AK1412">
        <v>0</v>
      </c>
      <c r="AL1412" s="24">
        <v>94417.5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 s="24">
        <v>94417.5</v>
      </c>
      <c r="AV1412">
        <v>0</v>
      </c>
      <c r="AW1412">
        <v>0</v>
      </c>
      <c r="AX1412">
        <v>311000</v>
      </c>
      <c r="AY1412" t="s">
        <v>161</v>
      </c>
      <c r="AZ1412">
        <v>75</v>
      </c>
      <c r="BA1412">
        <v>75</v>
      </c>
      <c r="BB1412">
        <v>0</v>
      </c>
      <c r="BC1412" t="s">
        <v>303</v>
      </c>
      <c r="BD1412">
        <v>1509</v>
      </c>
      <c r="BE1412" t="s">
        <v>169</v>
      </c>
      <c r="BF1412">
        <v>5094273523</v>
      </c>
      <c r="BG1412" t="s">
        <v>368</v>
      </c>
    </row>
    <row r="1413" spans="1:59">
      <c r="A1413">
        <v>1115</v>
      </c>
      <c r="B1413">
        <v>1115</v>
      </c>
      <c r="C1413">
        <v>10</v>
      </c>
      <c r="D1413">
        <v>2</v>
      </c>
      <c r="E1413" t="s">
        <v>152</v>
      </c>
      <c r="F1413" t="s">
        <v>153</v>
      </c>
      <c r="G1413" t="s">
        <v>154</v>
      </c>
      <c r="H1413">
        <v>1526007370</v>
      </c>
      <c r="I1413">
        <v>1000007665</v>
      </c>
      <c r="L1413" t="s">
        <v>368</v>
      </c>
      <c r="M1413">
        <v>5100001949</v>
      </c>
      <c r="N1413" t="s">
        <v>155</v>
      </c>
      <c r="O1413" t="s">
        <v>156</v>
      </c>
      <c r="P1413">
        <v>4110063766</v>
      </c>
      <c r="Q1413" t="s">
        <v>252</v>
      </c>
      <c r="R1413">
        <v>5000</v>
      </c>
      <c r="S1413" t="s">
        <v>166</v>
      </c>
      <c r="V1413" t="s">
        <v>167</v>
      </c>
      <c r="W1413">
        <v>1502040322</v>
      </c>
      <c r="X1413" t="s">
        <v>250</v>
      </c>
      <c r="Y1413" t="str">
        <f>VLOOKUP(W1413,Sheet4!$A$5:$B$72,2,0)</f>
        <v>DASH BOARD</v>
      </c>
      <c r="Z1413">
        <v>87082900</v>
      </c>
      <c r="AA1413">
        <v>60</v>
      </c>
      <c r="AB1413" t="s">
        <v>159</v>
      </c>
      <c r="AC1413">
        <v>291.27999999999997</v>
      </c>
      <c r="AD1413" t="s">
        <v>160</v>
      </c>
      <c r="AE1413" s="24">
        <v>17476.8</v>
      </c>
      <c r="AF1413">
        <v>0</v>
      </c>
      <c r="AG1413" s="24">
        <v>17476.8</v>
      </c>
      <c r="AH1413">
        <v>0</v>
      </c>
      <c r="AI1413">
        <v>0</v>
      </c>
      <c r="AJ1413">
        <v>0</v>
      </c>
      <c r="AK1413">
        <v>0</v>
      </c>
      <c r="AL1413" s="24">
        <v>17476.8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 s="24">
        <v>17476.8</v>
      </c>
      <c r="AV1413">
        <v>0</v>
      </c>
      <c r="AW1413">
        <v>0</v>
      </c>
      <c r="AX1413">
        <v>311000</v>
      </c>
      <c r="AY1413" t="s">
        <v>161</v>
      </c>
      <c r="AZ1413">
        <v>2.37</v>
      </c>
      <c r="BA1413">
        <v>2.37</v>
      </c>
      <c r="BB1413">
        <v>0</v>
      </c>
      <c r="BC1413" t="s">
        <v>251</v>
      </c>
      <c r="BD1413">
        <v>1511</v>
      </c>
      <c r="BE1413" t="s">
        <v>174</v>
      </c>
      <c r="BF1413" t="s">
        <v>163</v>
      </c>
      <c r="BG1413" t="s">
        <v>164</v>
      </c>
    </row>
    <row r="1414" spans="1:59">
      <c r="A1414">
        <v>1115</v>
      </c>
      <c r="B1414">
        <v>1115</v>
      </c>
      <c r="C1414">
        <v>10</v>
      </c>
      <c r="D1414">
        <v>2</v>
      </c>
      <c r="E1414" t="s">
        <v>152</v>
      </c>
      <c r="F1414" t="s">
        <v>153</v>
      </c>
      <c r="G1414" t="s">
        <v>154</v>
      </c>
      <c r="H1414">
        <v>1526007369</v>
      </c>
      <c r="I1414">
        <v>1000007664</v>
      </c>
      <c r="L1414" t="s">
        <v>368</v>
      </c>
      <c r="M1414">
        <v>5100001899</v>
      </c>
      <c r="N1414" t="s">
        <v>155</v>
      </c>
      <c r="O1414" t="s">
        <v>156</v>
      </c>
      <c r="P1414">
        <v>4110041854</v>
      </c>
      <c r="Q1414" t="s">
        <v>172</v>
      </c>
      <c r="R1414">
        <v>5000</v>
      </c>
      <c r="S1414" t="s">
        <v>166</v>
      </c>
      <c r="V1414" t="s">
        <v>167</v>
      </c>
      <c r="W1414">
        <v>1502040267</v>
      </c>
      <c r="X1414" t="s">
        <v>63</v>
      </c>
      <c r="Y1414" t="str">
        <f>VLOOKUP(W1414,Sheet4!$A$5:$B$72,2,0)</f>
        <v>DASH BOARD</v>
      </c>
      <c r="Z1414">
        <v>87082900</v>
      </c>
      <c r="AA1414">
        <v>448</v>
      </c>
      <c r="AB1414" t="s">
        <v>159</v>
      </c>
      <c r="AC1414">
        <v>290.89999999999998</v>
      </c>
      <c r="AD1414" t="s">
        <v>160</v>
      </c>
      <c r="AE1414" s="24">
        <v>130323.2</v>
      </c>
      <c r="AF1414">
        <v>0</v>
      </c>
      <c r="AG1414" s="24">
        <v>130323.2</v>
      </c>
      <c r="AH1414">
        <v>0</v>
      </c>
      <c r="AI1414">
        <v>0</v>
      </c>
      <c r="AJ1414">
        <v>0</v>
      </c>
      <c r="AK1414">
        <v>0</v>
      </c>
      <c r="AL1414" s="24">
        <v>130323.2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 s="24">
        <v>130323.2</v>
      </c>
      <c r="AV1414">
        <v>0</v>
      </c>
      <c r="AW1414">
        <v>0</v>
      </c>
      <c r="AX1414">
        <v>311000</v>
      </c>
      <c r="AY1414" t="s">
        <v>161</v>
      </c>
      <c r="AZ1414">
        <v>4.5</v>
      </c>
      <c r="BA1414">
        <v>4.5</v>
      </c>
      <c r="BB1414">
        <v>0</v>
      </c>
      <c r="BC1414" t="s">
        <v>173</v>
      </c>
      <c r="BD1414">
        <v>1511</v>
      </c>
      <c r="BE1414" t="s">
        <v>174</v>
      </c>
      <c r="BF1414" t="s">
        <v>163</v>
      </c>
      <c r="BG1414" t="s">
        <v>164</v>
      </c>
    </row>
    <row r="1415" spans="1:59">
      <c r="A1415">
        <v>1115</v>
      </c>
      <c r="B1415">
        <v>1115</v>
      </c>
      <c r="C1415">
        <v>10</v>
      </c>
      <c r="D1415">
        <v>2</v>
      </c>
      <c r="E1415" t="s">
        <v>152</v>
      </c>
      <c r="F1415" t="s">
        <v>153</v>
      </c>
      <c r="G1415" t="s">
        <v>154</v>
      </c>
      <c r="H1415">
        <v>1526007368</v>
      </c>
      <c r="I1415">
        <v>1000007663</v>
      </c>
      <c r="L1415" t="s">
        <v>368</v>
      </c>
      <c r="M1415">
        <v>5100001928</v>
      </c>
      <c r="N1415" t="s">
        <v>155</v>
      </c>
      <c r="O1415" t="s">
        <v>156</v>
      </c>
      <c r="P1415">
        <v>4110057393</v>
      </c>
      <c r="Q1415" t="s">
        <v>192</v>
      </c>
      <c r="R1415">
        <v>5000</v>
      </c>
      <c r="S1415" t="s">
        <v>166</v>
      </c>
      <c r="V1415" t="s">
        <v>167</v>
      </c>
      <c r="W1415">
        <v>1502020122</v>
      </c>
      <c r="X1415" t="s">
        <v>70</v>
      </c>
      <c r="Y1415" t="str">
        <f>VLOOKUP(W1415,Sheet4!$A$5:$B$72,2,0)</f>
        <v>MAX UG NEW EV</v>
      </c>
      <c r="Z1415">
        <v>87082900</v>
      </c>
      <c r="AA1415">
        <v>10</v>
      </c>
      <c r="AB1415" t="s">
        <v>159</v>
      </c>
      <c r="AC1415" s="24">
        <v>9566.51</v>
      </c>
      <c r="AD1415" t="s">
        <v>160</v>
      </c>
      <c r="AE1415" s="24">
        <v>95665.1</v>
      </c>
      <c r="AF1415">
        <v>0</v>
      </c>
      <c r="AG1415" s="24">
        <v>95665.1</v>
      </c>
      <c r="AH1415">
        <v>0</v>
      </c>
      <c r="AI1415">
        <v>0</v>
      </c>
      <c r="AJ1415">
        <v>0</v>
      </c>
      <c r="AK1415">
        <v>0</v>
      </c>
      <c r="AL1415" s="24">
        <v>95665.1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 s="24">
        <v>95665.1</v>
      </c>
      <c r="AV1415">
        <v>0</v>
      </c>
      <c r="AW1415">
        <v>0</v>
      </c>
      <c r="AX1415">
        <v>311000</v>
      </c>
      <c r="AY1415" t="s">
        <v>161</v>
      </c>
      <c r="AZ1415">
        <v>0</v>
      </c>
      <c r="BA1415">
        <v>61</v>
      </c>
      <c r="BB1415">
        <v>-61</v>
      </c>
      <c r="BC1415" t="s">
        <v>193</v>
      </c>
      <c r="BD1415">
        <v>1509</v>
      </c>
      <c r="BE1415" t="s">
        <v>169</v>
      </c>
      <c r="BF1415">
        <v>5094273521</v>
      </c>
      <c r="BG1415" t="s">
        <v>368</v>
      </c>
    </row>
    <row r="1416" spans="1:59">
      <c r="A1416">
        <v>1115</v>
      </c>
      <c r="B1416">
        <v>1115</v>
      </c>
      <c r="C1416">
        <v>10</v>
      </c>
      <c r="D1416">
        <v>2</v>
      </c>
      <c r="E1416" t="s">
        <v>152</v>
      </c>
      <c r="F1416" t="s">
        <v>153</v>
      </c>
      <c r="G1416" t="s">
        <v>154</v>
      </c>
      <c r="H1416">
        <v>1526007367</v>
      </c>
      <c r="I1416">
        <v>1000007662</v>
      </c>
      <c r="L1416" t="s">
        <v>368</v>
      </c>
      <c r="M1416">
        <v>5100001928</v>
      </c>
      <c r="N1416" t="s">
        <v>155</v>
      </c>
      <c r="O1416" t="s">
        <v>156</v>
      </c>
      <c r="P1416">
        <v>4110057393</v>
      </c>
      <c r="Q1416" t="s">
        <v>192</v>
      </c>
      <c r="R1416">
        <v>5000</v>
      </c>
      <c r="S1416" t="s">
        <v>166</v>
      </c>
      <c r="V1416" t="s">
        <v>167</v>
      </c>
      <c r="W1416">
        <v>1502020122</v>
      </c>
      <c r="X1416" t="s">
        <v>70</v>
      </c>
      <c r="Y1416" t="str">
        <f>VLOOKUP(W1416,Sheet4!$A$5:$B$72,2,0)</f>
        <v>MAX UG NEW EV</v>
      </c>
      <c r="Z1416">
        <v>87082900</v>
      </c>
      <c r="AA1416">
        <v>10</v>
      </c>
      <c r="AB1416" t="s">
        <v>159</v>
      </c>
      <c r="AC1416" s="24">
        <v>9566.51</v>
      </c>
      <c r="AD1416" t="s">
        <v>160</v>
      </c>
      <c r="AE1416" s="24">
        <v>95665.1</v>
      </c>
      <c r="AF1416">
        <v>0</v>
      </c>
      <c r="AG1416" s="24">
        <v>95665.1</v>
      </c>
      <c r="AH1416">
        <v>0</v>
      </c>
      <c r="AI1416">
        <v>0</v>
      </c>
      <c r="AJ1416">
        <v>0</v>
      </c>
      <c r="AK1416">
        <v>0</v>
      </c>
      <c r="AL1416" s="24">
        <v>95665.1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 s="24">
        <v>95665.1</v>
      </c>
      <c r="AV1416">
        <v>0</v>
      </c>
      <c r="AW1416">
        <v>0</v>
      </c>
      <c r="AX1416">
        <v>311000</v>
      </c>
      <c r="AY1416" t="s">
        <v>161</v>
      </c>
      <c r="AZ1416">
        <v>0</v>
      </c>
      <c r="BA1416">
        <v>61</v>
      </c>
      <c r="BB1416">
        <v>-61</v>
      </c>
      <c r="BC1416" t="s">
        <v>193</v>
      </c>
      <c r="BD1416">
        <v>1509</v>
      </c>
      <c r="BE1416" t="s">
        <v>169</v>
      </c>
      <c r="BF1416">
        <v>5094273634</v>
      </c>
      <c r="BG1416" t="s">
        <v>368</v>
      </c>
    </row>
    <row r="1417" spans="1:59">
      <c r="A1417">
        <v>1115</v>
      </c>
      <c r="B1417">
        <v>1115</v>
      </c>
      <c r="C1417">
        <v>10</v>
      </c>
      <c r="D1417">
        <v>2</v>
      </c>
      <c r="E1417" t="s">
        <v>152</v>
      </c>
      <c r="F1417" t="s">
        <v>153</v>
      </c>
      <c r="G1417" t="s">
        <v>154</v>
      </c>
      <c r="H1417">
        <v>1526007366</v>
      </c>
      <c r="I1417">
        <v>1000007661</v>
      </c>
      <c r="L1417" t="s">
        <v>368</v>
      </c>
      <c r="M1417">
        <v>5100001928</v>
      </c>
      <c r="N1417" t="s">
        <v>155</v>
      </c>
      <c r="O1417" t="s">
        <v>156</v>
      </c>
      <c r="P1417">
        <v>4110057393</v>
      </c>
      <c r="Q1417" t="s">
        <v>192</v>
      </c>
      <c r="R1417">
        <v>5000</v>
      </c>
      <c r="S1417" t="s">
        <v>166</v>
      </c>
      <c r="V1417" t="s">
        <v>167</v>
      </c>
      <c r="W1417">
        <v>1502020122</v>
      </c>
      <c r="X1417" t="s">
        <v>70</v>
      </c>
      <c r="Y1417" t="str">
        <f>VLOOKUP(W1417,Sheet4!$A$5:$B$72,2,0)</f>
        <v>MAX UG NEW EV</v>
      </c>
      <c r="Z1417">
        <v>87082900</v>
      </c>
      <c r="AA1417">
        <v>10</v>
      </c>
      <c r="AB1417" t="s">
        <v>159</v>
      </c>
      <c r="AC1417" s="24">
        <v>9566.51</v>
      </c>
      <c r="AD1417" t="s">
        <v>160</v>
      </c>
      <c r="AE1417" s="24">
        <v>95665.1</v>
      </c>
      <c r="AF1417">
        <v>0</v>
      </c>
      <c r="AG1417" s="24">
        <v>95665.1</v>
      </c>
      <c r="AH1417">
        <v>0</v>
      </c>
      <c r="AI1417">
        <v>0</v>
      </c>
      <c r="AJ1417">
        <v>0</v>
      </c>
      <c r="AK1417">
        <v>0</v>
      </c>
      <c r="AL1417" s="24">
        <v>95665.1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 s="24">
        <v>95665.1</v>
      </c>
      <c r="AV1417">
        <v>0</v>
      </c>
      <c r="AW1417">
        <v>0</v>
      </c>
      <c r="AX1417">
        <v>311000</v>
      </c>
      <c r="AY1417" t="s">
        <v>161</v>
      </c>
      <c r="AZ1417">
        <v>0</v>
      </c>
      <c r="BA1417">
        <v>61</v>
      </c>
      <c r="BB1417">
        <v>-61</v>
      </c>
      <c r="BC1417" t="s">
        <v>193</v>
      </c>
      <c r="BD1417">
        <v>1509</v>
      </c>
      <c r="BE1417" t="s">
        <v>169</v>
      </c>
      <c r="BF1417">
        <v>5094274679</v>
      </c>
      <c r="BG1417" t="s">
        <v>368</v>
      </c>
    </row>
    <row r="1418" spans="1:59">
      <c r="A1418">
        <v>1115</v>
      </c>
      <c r="B1418">
        <v>1115</v>
      </c>
      <c r="C1418">
        <v>10</v>
      </c>
      <c r="D1418">
        <v>2</v>
      </c>
      <c r="E1418" t="s">
        <v>152</v>
      </c>
      <c r="F1418" t="s">
        <v>153</v>
      </c>
      <c r="G1418" t="s">
        <v>154</v>
      </c>
      <c r="H1418">
        <v>1526007365</v>
      </c>
      <c r="I1418">
        <v>1000007660</v>
      </c>
      <c r="L1418" t="s">
        <v>368</v>
      </c>
      <c r="M1418">
        <v>5100001928</v>
      </c>
      <c r="N1418" t="s">
        <v>155</v>
      </c>
      <c r="O1418" t="s">
        <v>156</v>
      </c>
      <c r="P1418">
        <v>4110057393</v>
      </c>
      <c r="Q1418" t="s">
        <v>192</v>
      </c>
      <c r="R1418">
        <v>5000</v>
      </c>
      <c r="S1418" t="s">
        <v>166</v>
      </c>
      <c r="V1418" t="s">
        <v>167</v>
      </c>
      <c r="W1418">
        <v>1502020122</v>
      </c>
      <c r="X1418" t="s">
        <v>70</v>
      </c>
      <c r="Y1418" t="str">
        <f>VLOOKUP(W1418,Sheet4!$A$5:$B$72,2,0)</f>
        <v>MAX UG NEW EV</v>
      </c>
      <c r="Z1418">
        <v>87082900</v>
      </c>
      <c r="AA1418">
        <v>10</v>
      </c>
      <c r="AB1418" t="s">
        <v>159</v>
      </c>
      <c r="AC1418" s="24">
        <v>9566.51</v>
      </c>
      <c r="AD1418" t="s">
        <v>160</v>
      </c>
      <c r="AE1418" s="24">
        <v>95665.1</v>
      </c>
      <c r="AF1418">
        <v>0</v>
      </c>
      <c r="AG1418" s="24">
        <v>95665.1</v>
      </c>
      <c r="AH1418">
        <v>0</v>
      </c>
      <c r="AI1418">
        <v>0</v>
      </c>
      <c r="AJ1418">
        <v>0</v>
      </c>
      <c r="AK1418">
        <v>0</v>
      </c>
      <c r="AL1418" s="24">
        <v>95665.1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 s="24">
        <v>95665.1</v>
      </c>
      <c r="AV1418">
        <v>0</v>
      </c>
      <c r="AW1418">
        <v>0</v>
      </c>
      <c r="AX1418">
        <v>311000</v>
      </c>
      <c r="AY1418" t="s">
        <v>161</v>
      </c>
      <c r="AZ1418">
        <v>0</v>
      </c>
      <c r="BA1418">
        <v>61</v>
      </c>
      <c r="BB1418">
        <v>-61</v>
      </c>
      <c r="BC1418" t="s">
        <v>193</v>
      </c>
      <c r="BD1418">
        <v>1509</v>
      </c>
      <c r="BE1418" t="s">
        <v>169</v>
      </c>
      <c r="BF1418">
        <v>5094272687</v>
      </c>
      <c r="BG1418" t="s">
        <v>368</v>
      </c>
    </row>
    <row r="1419" spans="1:59">
      <c r="A1419">
        <v>1115</v>
      </c>
      <c r="B1419">
        <v>1115</v>
      </c>
      <c r="C1419">
        <v>10</v>
      </c>
      <c r="D1419">
        <v>2</v>
      </c>
      <c r="E1419" t="s">
        <v>152</v>
      </c>
      <c r="F1419" t="s">
        <v>153</v>
      </c>
      <c r="G1419" t="s">
        <v>154</v>
      </c>
      <c r="H1419">
        <v>1526007364</v>
      </c>
      <c r="I1419">
        <v>1000007659</v>
      </c>
      <c r="L1419" t="s">
        <v>368</v>
      </c>
      <c r="M1419">
        <v>5100001928</v>
      </c>
      <c r="N1419" t="s">
        <v>155</v>
      </c>
      <c r="O1419" t="s">
        <v>156</v>
      </c>
      <c r="P1419">
        <v>4110057393</v>
      </c>
      <c r="Q1419" t="s">
        <v>192</v>
      </c>
      <c r="R1419">
        <v>5000</v>
      </c>
      <c r="S1419" t="s">
        <v>166</v>
      </c>
      <c r="V1419" t="s">
        <v>167</v>
      </c>
      <c r="W1419">
        <v>1502020122</v>
      </c>
      <c r="X1419" t="s">
        <v>70</v>
      </c>
      <c r="Y1419" t="str">
        <f>VLOOKUP(W1419,Sheet4!$A$5:$B$72,2,0)</f>
        <v>MAX UG NEW EV</v>
      </c>
      <c r="Z1419">
        <v>87082900</v>
      </c>
      <c r="AA1419">
        <v>10</v>
      </c>
      <c r="AB1419" t="s">
        <v>159</v>
      </c>
      <c r="AC1419" s="24">
        <v>9566.51</v>
      </c>
      <c r="AD1419" t="s">
        <v>160</v>
      </c>
      <c r="AE1419" s="24">
        <v>95665.1</v>
      </c>
      <c r="AF1419">
        <v>0</v>
      </c>
      <c r="AG1419" s="24">
        <v>95665.1</v>
      </c>
      <c r="AH1419">
        <v>0</v>
      </c>
      <c r="AI1419">
        <v>0</v>
      </c>
      <c r="AJ1419">
        <v>0</v>
      </c>
      <c r="AK1419">
        <v>0</v>
      </c>
      <c r="AL1419" s="24">
        <v>95665.1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 s="24">
        <v>95665.1</v>
      </c>
      <c r="AV1419">
        <v>0</v>
      </c>
      <c r="AW1419">
        <v>0</v>
      </c>
      <c r="AX1419">
        <v>311000</v>
      </c>
      <c r="AY1419" t="s">
        <v>161</v>
      </c>
      <c r="AZ1419">
        <v>0</v>
      </c>
      <c r="BA1419">
        <v>61</v>
      </c>
      <c r="BB1419">
        <v>-61</v>
      </c>
      <c r="BC1419" t="s">
        <v>193</v>
      </c>
      <c r="BD1419">
        <v>1509</v>
      </c>
      <c r="BE1419" t="s">
        <v>169</v>
      </c>
      <c r="BF1419">
        <v>5094273522</v>
      </c>
      <c r="BG1419" t="s">
        <v>368</v>
      </c>
    </row>
    <row r="1420" spans="1:59">
      <c r="A1420">
        <v>1115</v>
      </c>
      <c r="B1420">
        <v>1115</v>
      </c>
      <c r="C1420">
        <v>10</v>
      </c>
      <c r="D1420">
        <v>2</v>
      </c>
      <c r="E1420" t="s">
        <v>152</v>
      </c>
      <c r="F1420" t="s">
        <v>153</v>
      </c>
      <c r="G1420" t="s">
        <v>154</v>
      </c>
      <c r="H1420">
        <v>1526007363</v>
      </c>
      <c r="I1420">
        <v>1000007658</v>
      </c>
      <c r="L1420" t="s">
        <v>368</v>
      </c>
      <c r="M1420">
        <v>5100001939</v>
      </c>
      <c r="N1420" t="s">
        <v>155</v>
      </c>
      <c r="O1420" t="s">
        <v>156</v>
      </c>
      <c r="P1420">
        <v>4110059608</v>
      </c>
      <c r="Q1420" t="s">
        <v>240</v>
      </c>
      <c r="R1420">
        <v>5000</v>
      </c>
      <c r="S1420" t="s">
        <v>166</v>
      </c>
      <c r="V1420" t="s">
        <v>167</v>
      </c>
      <c r="W1420">
        <v>1502020129</v>
      </c>
      <c r="X1420" t="s">
        <v>241</v>
      </c>
      <c r="Y1420" t="str">
        <f>VLOOKUP(W1420,Sheet4!$A$5:$B$72,2,0)</f>
        <v>RE STYLING</v>
      </c>
      <c r="Z1420">
        <v>87082900</v>
      </c>
      <c r="AA1420">
        <v>15</v>
      </c>
      <c r="AB1420" t="s">
        <v>159</v>
      </c>
      <c r="AC1420" s="24">
        <v>6500.18</v>
      </c>
      <c r="AD1420" t="s">
        <v>160</v>
      </c>
      <c r="AE1420" s="24">
        <v>97502.7</v>
      </c>
      <c r="AF1420">
        <v>0</v>
      </c>
      <c r="AG1420" s="24">
        <v>97502.7</v>
      </c>
      <c r="AH1420">
        <v>0</v>
      </c>
      <c r="AI1420">
        <v>0</v>
      </c>
      <c r="AJ1420">
        <v>0</v>
      </c>
      <c r="AK1420">
        <v>0</v>
      </c>
      <c r="AL1420" s="24">
        <v>97502.7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 s="24">
        <v>97502.7</v>
      </c>
      <c r="AV1420">
        <v>0</v>
      </c>
      <c r="AW1420">
        <v>0</v>
      </c>
      <c r="AX1420">
        <v>311000</v>
      </c>
      <c r="AY1420" t="s">
        <v>161</v>
      </c>
      <c r="AZ1420">
        <v>0</v>
      </c>
      <c r="BA1420">
        <v>0</v>
      </c>
      <c r="BB1420">
        <v>0</v>
      </c>
      <c r="BC1420" t="s">
        <v>242</v>
      </c>
      <c r="BD1420">
        <v>1509</v>
      </c>
      <c r="BE1420" t="s">
        <v>169</v>
      </c>
      <c r="BF1420" t="s">
        <v>163</v>
      </c>
      <c r="BG1420" t="s">
        <v>164</v>
      </c>
    </row>
    <row r="1421" spans="1:59">
      <c r="A1421">
        <v>1115</v>
      </c>
      <c r="B1421">
        <v>1115</v>
      </c>
      <c r="C1421">
        <v>10</v>
      </c>
      <c r="D1421">
        <v>2</v>
      </c>
      <c r="E1421" t="s">
        <v>152</v>
      </c>
      <c r="F1421" t="s">
        <v>153</v>
      </c>
      <c r="G1421" t="s">
        <v>154</v>
      </c>
      <c r="H1421">
        <v>1526007362</v>
      </c>
      <c r="I1421">
        <v>1000007657</v>
      </c>
      <c r="L1421" t="s">
        <v>368</v>
      </c>
      <c r="M1421">
        <v>5100001928</v>
      </c>
      <c r="N1421" t="s">
        <v>155</v>
      </c>
      <c r="O1421" t="s">
        <v>156</v>
      </c>
      <c r="P1421">
        <v>4110057393</v>
      </c>
      <c r="Q1421" t="s">
        <v>192</v>
      </c>
      <c r="R1421">
        <v>5000</v>
      </c>
      <c r="S1421" t="s">
        <v>166</v>
      </c>
      <c r="V1421" t="s">
        <v>167</v>
      </c>
      <c r="W1421">
        <v>1502020122</v>
      </c>
      <c r="X1421" t="s">
        <v>70</v>
      </c>
      <c r="Y1421" t="str">
        <f>VLOOKUP(W1421,Sheet4!$A$5:$B$72,2,0)</f>
        <v>MAX UG NEW EV</v>
      </c>
      <c r="Z1421">
        <v>87082900</v>
      </c>
      <c r="AA1421">
        <v>10</v>
      </c>
      <c r="AB1421" t="s">
        <v>159</v>
      </c>
      <c r="AC1421" s="24">
        <v>9566.51</v>
      </c>
      <c r="AD1421" t="s">
        <v>160</v>
      </c>
      <c r="AE1421" s="24">
        <v>95665.1</v>
      </c>
      <c r="AF1421">
        <v>0</v>
      </c>
      <c r="AG1421" s="24">
        <v>95665.1</v>
      </c>
      <c r="AH1421">
        <v>0</v>
      </c>
      <c r="AI1421">
        <v>0</v>
      </c>
      <c r="AJ1421">
        <v>0</v>
      </c>
      <c r="AK1421">
        <v>0</v>
      </c>
      <c r="AL1421" s="24">
        <v>95665.1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 s="24">
        <v>95665.1</v>
      </c>
      <c r="AV1421">
        <v>0</v>
      </c>
      <c r="AW1421">
        <v>0</v>
      </c>
      <c r="AX1421">
        <v>311000</v>
      </c>
      <c r="AY1421" t="s">
        <v>161</v>
      </c>
      <c r="AZ1421">
        <v>0</v>
      </c>
      <c r="BA1421">
        <v>61</v>
      </c>
      <c r="BB1421">
        <v>-61</v>
      </c>
      <c r="BC1421" t="s">
        <v>193</v>
      </c>
      <c r="BD1421">
        <v>1509</v>
      </c>
      <c r="BE1421" t="s">
        <v>169</v>
      </c>
      <c r="BF1421">
        <v>5094272996</v>
      </c>
      <c r="BG1421" t="s">
        <v>368</v>
      </c>
    </row>
    <row r="1422" spans="1:59">
      <c r="A1422">
        <v>1115</v>
      </c>
      <c r="B1422">
        <v>1115</v>
      </c>
      <c r="C1422">
        <v>10</v>
      </c>
      <c r="D1422">
        <v>2</v>
      </c>
      <c r="E1422" t="s">
        <v>152</v>
      </c>
      <c r="F1422" t="s">
        <v>153</v>
      </c>
      <c r="G1422" t="s">
        <v>154</v>
      </c>
      <c r="H1422">
        <v>1526007361</v>
      </c>
      <c r="I1422">
        <v>1000007656</v>
      </c>
      <c r="L1422" t="s">
        <v>368</v>
      </c>
      <c r="M1422">
        <v>5100001666</v>
      </c>
      <c r="N1422" t="s">
        <v>155</v>
      </c>
      <c r="O1422" t="s">
        <v>156</v>
      </c>
      <c r="P1422">
        <v>4110027035</v>
      </c>
      <c r="Q1422" t="s">
        <v>225</v>
      </c>
      <c r="R1422">
        <v>5000</v>
      </c>
      <c r="S1422" t="s">
        <v>166</v>
      </c>
      <c r="V1422" t="s">
        <v>167</v>
      </c>
      <c r="W1422">
        <v>1502020105</v>
      </c>
      <c r="X1422" t="s">
        <v>226</v>
      </c>
      <c r="Y1422" t="str">
        <f>VLOOKUP(W1422,Sheet4!$A$5:$B$72,2,0)</f>
        <v>RE STYLING</v>
      </c>
      <c r="Z1422">
        <v>87082900</v>
      </c>
      <c r="AA1422">
        <v>15</v>
      </c>
      <c r="AB1422" t="s">
        <v>159</v>
      </c>
      <c r="AC1422" s="24">
        <v>6570.77</v>
      </c>
      <c r="AD1422" t="s">
        <v>160</v>
      </c>
      <c r="AE1422" s="24">
        <v>98561.55</v>
      </c>
      <c r="AF1422">
        <v>0</v>
      </c>
      <c r="AG1422" s="24">
        <v>98561.55</v>
      </c>
      <c r="AH1422">
        <v>0</v>
      </c>
      <c r="AI1422">
        <v>0</v>
      </c>
      <c r="AJ1422">
        <v>0</v>
      </c>
      <c r="AK1422">
        <v>0</v>
      </c>
      <c r="AL1422" s="24">
        <v>98561.55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 s="24">
        <v>98561.55</v>
      </c>
      <c r="AV1422">
        <v>0</v>
      </c>
      <c r="AW1422">
        <v>0</v>
      </c>
      <c r="AX1422">
        <v>311000</v>
      </c>
      <c r="AY1422" t="s">
        <v>161</v>
      </c>
      <c r="AZ1422">
        <v>49.75</v>
      </c>
      <c r="BA1422">
        <v>49.75</v>
      </c>
      <c r="BB1422">
        <v>0</v>
      </c>
      <c r="BC1422" t="s">
        <v>227</v>
      </c>
      <c r="BD1422">
        <v>1509</v>
      </c>
      <c r="BE1422" t="s">
        <v>169</v>
      </c>
      <c r="BF1422" t="s">
        <v>163</v>
      </c>
      <c r="BG1422" t="s">
        <v>164</v>
      </c>
    </row>
    <row r="1423" spans="1:59">
      <c r="A1423">
        <v>1115</v>
      </c>
      <c r="B1423">
        <v>1115</v>
      </c>
      <c r="C1423">
        <v>10</v>
      </c>
      <c r="D1423">
        <v>2</v>
      </c>
      <c r="E1423" t="s">
        <v>152</v>
      </c>
      <c r="F1423" t="s">
        <v>153</v>
      </c>
      <c r="G1423" t="s">
        <v>154</v>
      </c>
      <c r="H1423">
        <v>1526007360</v>
      </c>
      <c r="I1423">
        <v>1000007655</v>
      </c>
      <c r="L1423" t="s">
        <v>368</v>
      </c>
      <c r="M1423">
        <v>5100001666</v>
      </c>
      <c r="N1423" t="s">
        <v>155</v>
      </c>
      <c r="O1423" t="s">
        <v>156</v>
      </c>
      <c r="P1423">
        <v>4110027035</v>
      </c>
      <c r="Q1423" t="s">
        <v>225</v>
      </c>
      <c r="R1423">
        <v>5000</v>
      </c>
      <c r="S1423" t="s">
        <v>166</v>
      </c>
      <c r="V1423" t="s">
        <v>167</v>
      </c>
      <c r="W1423">
        <v>1502020105</v>
      </c>
      <c r="X1423" t="s">
        <v>226</v>
      </c>
      <c r="Y1423" t="str">
        <f>VLOOKUP(W1423,Sheet4!$A$5:$B$72,2,0)</f>
        <v>RE STYLING</v>
      </c>
      <c r="Z1423">
        <v>87082900</v>
      </c>
      <c r="AA1423">
        <v>15</v>
      </c>
      <c r="AB1423" t="s">
        <v>159</v>
      </c>
      <c r="AC1423" s="24">
        <v>6570.77</v>
      </c>
      <c r="AD1423" t="s">
        <v>160</v>
      </c>
      <c r="AE1423" s="24">
        <v>98561.55</v>
      </c>
      <c r="AF1423">
        <v>0</v>
      </c>
      <c r="AG1423" s="24">
        <v>98561.55</v>
      </c>
      <c r="AH1423">
        <v>0</v>
      </c>
      <c r="AI1423">
        <v>0</v>
      </c>
      <c r="AJ1423">
        <v>0</v>
      </c>
      <c r="AK1423">
        <v>0</v>
      </c>
      <c r="AL1423" s="24">
        <v>98561.55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 s="24">
        <v>98561.55</v>
      </c>
      <c r="AV1423">
        <v>0</v>
      </c>
      <c r="AW1423">
        <v>0</v>
      </c>
      <c r="AX1423">
        <v>311000</v>
      </c>
      <c r="AY1423" t="s">
        <v>161</v>
      </c>
      <c r="AZ1423">
        <v>49.75</v>
      </c>
      <c r="BA1423">
        <v>49.75</v>
      </c>
      <c r="BB1423">
        <v>0</v>
      </c>
      <c r="BC1423" t="s">
        <v>227</v>
      </c>
      <c r="BD1423">
        <v>1509</v>
      </c>
      <c r="BE1423" t="s">
        <v>169</v>
      </c>
      <c r="BF1423" t="s">
        <v>163</v>
      </c>
      <c r="BG1423" t="s">
        <v>164</v>
      </c>
    </row>
    <row r="1424" spans="1:59">
      <c r="A1424">
        <v>1115</v>
      </c>
      <c r="B1424">
        <v>1115</v>
      </c>
      <c r="C1424">
        <v>10</v>
      </c>
      <c r="D1424">
        <v>2</v>
      </c>
      <c r="E1424" t="s">
        <v>152</v>
      </c>
      <c r="F1424" t="s">
        <v>153</v>
      </c>
      <c r="G1424" t="s">
        <v>154</v>
      </c>
      <c r="H1424">
        <v>1526007359</v>
      </c>
      <c r="I1424">
        <v>1000007654</v>
      </c>
      <c r="L1424" t="s">
        <v>368</v>
      </c>
      <c r="M1424">
        <v>5100001603</v>
      </c>
      <c r="N1424" t="s">
        <v>155</v>
      </c>
      <c r="O1424" t="s">
        <v>156</v>
      </c>
      <c r="P1424">
        <v>4110025468</v>
      </c>
      <c r="Q1424" t="s">
        <v>165</v>
      </c>
      <c r="R1424">
        <v>5000</v>
      </c>
      <c r="S1424" t="s">
        <v>166</v>
      </c>
      <c r="V1424" t="s">
        <v>167</v>
      </c>
      <c r="W1424">
        <v>1502020102</v>
      </c>
      <c r="X1424" t="s">
        <v>58</v>
      </c>
      <c r="Y1424" t="str">
        <f>VLOOKUP(W1424,Sheet4!$A$5:$B$72,2,0)</f>
        <v>MAXIMA HD</v>
      </c>
      <c r="Z1424">
        <v>87082900</v>
      </c>
      <c r="AA1424">
        <v>8</v>
      </c>
      <c r="AB1424" t="s">
        <v>159</v>
      </c>
      <c r="AC1424" s="24">
        <v>8593.51</v>
      </c>
      <c r="AD1424" t="s">
        <v>160</v>
      </c>
      <c r="AE1424" s="24">
        <v>68748.08</v>
      </c>
      <c r="AF1424">
        <v>0</v>
      </c>
      <c r="AG1424" s="24">
        <v>68748.08</v>
      </c>
      <c r="AH1424">
        <v>0</v>
      </c>
      <c r="AI1424">
        <v>0</v>
      </c>
      <c r="AJ1424">
        <v>0</v>
      </c>
      <c r="AK1424">
        <v>0</v>
      </c>
      <c r="AL1424" s="24">
        <v>68748.08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 s="24">
        <v>68748.08</v>
      </c>
      <c r="AV1424">
        <v>0</v>
      </c>
      <c r="AW1424">
        <v>0</v>
      </c>
      <c r="AX1424">
        <v>311000</v>
      </c>
      <c r="AY1424" t="s">
        <v>161</v>
      </c>
      <c r="AZ1424">
        <v>93.34</v>
      </c>
      <c r="BA1424">
        <v>75.430000000000007</v>
      </c>
      <c r="BB1424">
        <v>17.91</v>
      </c>
      <c r="BC1424" t="s">
        <v>168</v>
      </c>
      <c r="BD1424">
        <v>1509</v>
      </c>
      <c r="BE1424" t="s">
        <v>169</v>
      </c>
      <c r="BF1424">
        <v>5094273631</v>
      </c>
      <c r="BG1424" t="s">
        <v>368</v>
      </c>
    </row>
    <row r="1425" spans="1:59">
      <c r="A1425">
        <v>1115</v>
      </c>
      <c r="B1425">
        <v>1115</v>
      </c>
      <c r="C1425">
        <v>10</v>
      </c>
      <c r="D1425">
        <v>2</v>
      </c>
      <c r="E1425" t="s">
        <v>152</v>
      </c>
      <c r="F1425" t="s">
        <v>153</v>
      </c>
      <c r="G1425" t="s">
        <v>154</v>
      </c>
      <c r="H1425">
        <v>1526007358</v>
      </c>
      <c r="I1425">
        <v>1000007653</v>
      </c>
      <c r="L1425" t="s">
        <v>368</v>
      </c>
      <c r="M1425">
        <v>5100001603</v>
      </c>
      <c r="N1425" t="s">
        <v>155</v>
      </c>
      <c r="O1425" t="s">
        <v>156</v>
      </c>
      <c r="P1425">
        <v>4110025468</v>
      </c>
      <c r="Q1425" t="s">
        <v>165</v>
      </c>
      <c r="R1425">
        <v>5000</v>
      </c>
      <c r="S1425" t="s">
        <v>166</v>
      </c>
      <c r="V1425" t="s">
        <v>167</v>
      </c>
      <c r="W1425">
        <v>1502020102</v>
      </c>
      <c r="X1425" t="s">
        <v>58</v>
      </c>
      <c r="Y1425" t="str">
        <f>VLOOKUP(W1425,Sheet4!$A$5:$B$72,2,0)</f>
        <v>MAXIMA HD</v>
      </c>
      <c r="Z1425">
        <v>87082900</v>
      </c>
      <c r="AA1425">
        <v>8</v>
      </c>
      <c r="AB1425" t="s">
        <v>159</v>
      </c>
      <c r="AC1425" s="24">
        <v>8593.51</v>
      </c>
      <c r="AD1425" t="s">
        <v>160</v>
      </c>
      <c r="AE1425" s="24">
        <v>68748.08</v>
      </c>
      <c r="AF1425">
        <v>0</v>
      </c>
      <c r="AG1425" s="24">
        <v>68748.08</v>
      </c>
      <c r="AH1425">
        <v>0</v>
      </c>
      <c r="AI1425">
        <v>0</v>
      </c>
      <c r="AJ1425">
        <v>0</v>
      </c>
      <c r="AK1425">
        <v>0</v>
      </c>
      <c r="AL1425" s="24">
        <v>68748.08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 s="24">
        <v>68748.08</v>
      </c>
      <c r="AV1425">
        <v>0</v>
      </c>
      <c r="AW1425">
        <v>0</v>
      </c>
      <c r="AX1425">
        <v>311000</v>
      </c>
      <c r="AY1425" t="s">
        <v>161</v>
      </c>
      <c r="AZ1425">
        <v>93.34</v>
      </c>
      <c r="BA1425">
        <v>75.430000000000007</v>
      </c>
      <c r="BB1425">
        <v>17.91</v>
      </c>
      <c r="BC1425" t="s">
        <v>168</v>
      </c>
      <c r="BD1425">
        <v>1509</v>
      </c>
      <c r="BE1425" t="s">
        <v>169</v>
      </c>
      <c r="BF1425">
        <v>5094269384</v>
      </c>
      <c r="BG1425" t="s">
        <v>368</v>
      </c>
    </row>
    <row r="1426" spans="1:59">
      <c r="A1426">
        <v>1115</v>
      </c>
      <c r="B1426">
        <v>1115</v>
      </c>
      <c r="C1426">
        <v>10</v>
      </c>
      <c r="D1426">
        <v>2</v>
      </c>
      <c r="E1426" t="s">
        <v>152</v>
      </c>
      <c r="F1426" t="s">
        <v>153</v>
      </c>
      <c r="G1426" t="s">
        <v>154</v>
      </c>
      <c r="H1426">
        <v>1526007357</v>
      </c>
      <c r="I1426">
        <v>1000007652</v>
      </c>
      <c r="L1426" t="s">
        <v>368</v>
      </c>
      <c r="M1426">
        <v>5100001603</v>
      </c>
      <c r="N1426" t="s">
        <v>155</v>
      </c>
      <c r="O1426" t="s">
        <v>156</v>
      </c>
      <c r="P1426">
        <v>4110025468</v>
      </c>
      <c r="Q1426" t="s">
        <v>165</v>
      </c>
      <c r="R1426">
        <v>5000</v>
      </c>
      <c r="S1426" t="s">
        <v>166</v>
      </c>
      <c r="V1426" t="s">
        <v>167</v>
      </c>
      <c r="W1426">
        <v>1502020102</v>
      </c>
      <c r="X1426" t="s">
        <v>58</v>
      </c>
      <c r="Y1426" t="str">
        <f>VLOOKUP(W1426,Sheet4!$A$5:$B$72,2,0)</f>
        <v>MAXIMA HD</v>
      </c>
      <c r="Z1426">
        <v>87082900</v>
      </c>
      <c r="AA1426">
        <v>8</v>
      </c>
      <c r="AB1426" t="s">
        <v>159</v>
      </c>
      <c r="AC1426" s="24">
        <v>8593.51</v>
      </c>
      <c r="AD1426" t="s">
        <v>160</v>
      </c>
      <c r="AE1426" s="24">
        <v>68748.08</v>
      </c>
      <c r="AF1426">
        <v>0</v>
      </c>
      <c r="AG1426" s="24">
        <v>68748.08</v>
      </c>
      <c r="AH1426">
        <v>0</v>
      </c>
      <c r="AI1426">
        <v>0</v>
      </c>
      <c r="AJ1426">
        <v>0</v>
      </c>
      <c r="AK1426">
        <v>0</v>
      </c>
      <c r="AL1426" s="24">
        <v>68748.08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 s="24">
        <v>68748.08</v>
      </c>
      <c r="AV1426">
        <v>0</v>
      </c>
      <c r="AW1426">
        <v>0</v>
      </c>
      <c r="AX1426">
        <v>311000</v>
      </c>
      <c r="AY1426" t="s">
        <v>161</v>
      </c>
      <c r="AZ1426">
        <v>93.34</v>
      </c>
      <c r="BA1426">
        <v>75.430000000000007</v>
      </c>
      <c r="BB1426">
        <v>17.91</v>
      </c>
      <c r="BC1426" t="s">
        <v>168</v>
      </c>
      <c r="BD1426">
        <v>1509</v>
      </c>
      <c r="BE1426" t="s">
        <v>169</v>
      </c>
      <c r="BF1426">
        <v>5094273519</v>
      </c>
      <c r="BG1426" t="s">
        <v>368</v>
      </c>
    </row>
    <row r="1427" spans="1:59">
      <c r="A1427">
        <v>1115</v>
      </c>
      <c r="B1427">
        <v>1115</v>
      </c>
      <c r="C1427">
        <v>10</v>
      </c>
      <c r="D1427">
        <v>2</v>
      </c>
      <c r="E1427" t="s">
        <v>152</v>
      </c>
      <c r="F1427" t="s">
        <v>153</v>
      </c>
      <c r="G1427" t="s">
        <v>154</v>
      </c>
      <c r="H1427">
        <v>1526007356</v>
      </c>
      <c r="I1427">
        <v>1000007651</v>
      </c>
      <c r="L1427" t="s">
        <v>368</v>
      </c>
      <c r="M1427">
        <v>5100001603</v>
      </c>
      <c r="N1427" t="s">
        <v>155</v>
      </c>
      <c r="O1427" t="s">
        <v>156</v>
      </c>
      <c r="P1427">
        <v>4110025468</v>
      </c>
      <c r="Q1427" t="s">
        <v>165</v>
      </c>
      <c r="R1427">
        <v>5000</v>
      </c>
      <c r="S1427" t="s">
        <v>166</v>
      </c>
      <c r="V1427" t="s">
        <v>167</v>
      </c>
      <c r="W1427">
        <v>1502020102</v>
      </c>
      <c r="X1427" t="s">
        <v>58</v>
      </c>
      <c r="Y1427" t="str">
        <f>VLOOKUP(W1427,Sheet4!$A$5:$B$72,2,0)</f>
        <v>MAXIMA HD</v>
      </c>
      <c r="Z1427">
        <v>87082900</v>
      </c>
      <c r="AA1427">
        <v>8</v>
      </c>
      <c r="AB1427" t="s">
        <v>159</v>
      </c>
      <c r="AC1427" s="24">
        <v>8593.51</v>
      </c>
      <c r="AD1427" t="s">
        <v>160</v>
      </c>
      <c r="AE1427" s="24">
        <v>68748.08</v>
      </c>
      <c r="AF1427">
        <v>0</v>
      </c>
      <c r="AG1427" s="24">
        <v>68748.08</v>
      </c>
      <c r="AH1427">
        <v>0</v>
      </c>
      <c r="AI1427">
        <v>0</v>
      </c>
      <c r="AJ1427">
        <v>0</v>
      </c>
      <c r="AK1427">
        <v>0</v>
      </c>
      <c r="AL1427" s="24">
        <v>68748.08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 s="24">
        <v>68748.08</v>
      </c>
      <c r="AV1427">
        <v>0</v>
      </c>
      <c r="AW1427">
        <v>0</v>
      </c>
      <c r="AX1427">
        <v>311000</v>
      </c>
      <c r="AY1427" t="s">
        <v>161</v>
      </c>
      <c r="AZ1427">
        <v>93.34</v>
      </c>
      <c r="BA1427">
        <v>75.430000000000007</v>
      </c>
      <c r="BB1427">
        <v>17.91</v>
      </c>
      <c r="BC1427" t="s">
        <v>168</v>
      </c>
      <c r="BD1427">
        <v>1509</v>
      </c>
      <c r="BE1427" t="s">
        <v>169</v>
      </c>
      <c r="BF1427">
        <v>5094272616</v>
      </c>
      <c r="BG1427" t="s">
        <v>368</v>
      </c>
    </row>
    <row r="1428" spans="1:59">
      <c r="A1428">
        <v>1115</v>
      </c>
      <c r="B1428">
        <v>1115</v>
      </c>
      <c r="C1428">
        <v>10</v>
      </c>
      <c r="D1428">
        <v>2</v>
      </c>
      <c r="E1428" t="s">
        <v>152</v>
      </c>
      <c r="F1428" t="s">
        <v>153</v>
      </c>
      <c r="G1428" t="s">
        <v>154</v>
      </c>
      <c r="H1428">
        <v>1526007355</v>
      </c>
      <c r="I1428">
        <v>1000007650</v>
      </c>
      <c r="L1428" t="s">
        <v>368</v>
      </c>
      <c r="M1428">
        <v>5100001603</v>
      </c>
      <c r="N1428" t="s">
        <v>155</v>
      </c>
      <c r="O1428" t="s">
        <v>156</v>
      </c>
      <c r="P1428">
        <v>4110025468</v>
      </c>
      <c r="Q1428" t="s">
        <v>165</v>
      </c>
      <c r="R1428">
        <v>5000</v>
      </c>
      <c r="S1428" t="s">
        <v>166</v>
      </c>
      <c r="V1428" t="s">
        <v>167</v>
      </c>
      <c r="W1428">
        <v>1502020102</v>
      </c>
      <c r="X1428" t="s">
        <v>58</v>
      </c>
      <c r="Y1428" t="str">
        <f>VLOOKUP(W1428,Sheet4!$A$5:$B$72,2,0)</f>
        <v>MAXIMA HD</v>
      </c>
      <c r="Z1428">
        <v>87082900</v>
      </c>
      <c r="AA1428">
        <v>8</v>
      </c>
      <c r="AB1428" t="s">
        <v>159</v>
      </c>
      <c r="AC1428" s="24">
        <v>8593.51</v>
      </c>
      <c r="AD1428" t="s">
        <v>160</v>
      </c>
      <c r="AE1428" s="24">
        <v>68748.08</v>
      </c>
      <c r="AF1428">
        <v>0</v>
      </c>
      <c r="AG1428" s="24">
        <v>68748.08</v>
      </c>
      <c r="AH1428">
        <v>0</v>
      </c>
      <c r="AI1428">
        <v>0</v>
      </c>
      <c r="AJ1428">
        <v>0</v>
      </c>
      <c r="AK1428">
        <v>0</v>
      </c>
      <c r="AL1428" s="24">
        <v>68748.08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 s="24">
        <v>68748.08</v>
      </c>
      <c r="AV1428">
        <v>0</v>
      </c>
      <c r="AW1428">
        <v>0</v>
      </c>
      <c r="AX1428">
        <v>311000</v>
      </c>
      <c r="AY1428" t="s">
        <v>161</v>
      </c>
      <c r="AZ1428">
        <v>93.34</v>
      </c>
      <c r="BA1428">
        <v>75.430000000000007</v>
      </c>
      <c r="BB1428">
        <v>17.91</v>
      </c>
      <c r="BC1428" t="s">
        <v>168</v>
      </c>
      <c r="BD1428">
        <v>1509</v>
      </c>
      <c r="BE1428" t="s">
        <v>169</v>
      </c>
      <c r="BF1428">
        <v>5094273630</v>
      </c>
      <c r="BG1428" t="s">
        <v>368</v>
      </c>
    </row>
    <row r="1429" spans="1:59">
      <c r="A1429">
        <v>1115</v>
      </c>
      <c r="B1429">
        <v>1115</v>
      </c>
      <c r="C1429">
        <v>10</v>
      </c>
      <c r="D1429">
        <v>2</v>
      </c>
      <c r="E1429" t="s">
        <v>152</v>
      </c>
      <c r="F1429" t="s">
        <v>153</v>
      </c>
      <c r="G1429" t="s">
        <v>154</v>
      </c>
      <c r="H1429">
        <v>1526007354</v>
      </c>
      <c r="I1429">
        <v>1000007649</v>
      </c>
      <c r="L1429" t="s">
        <v>368</v>
      </c>
      <c r="M1429">
        <v>5100001603</v>
      </c>
      <c r="N1429" t="s">
        <v>155</v>
      </c>
      <c r="O1429" t="s">
        <v>156</v>
      </c>
      <c r="P1429">
        <v>4110025468</v>
      </c>
      <c r="Q1429" t="s">
        <v>165</v>
      </c>
      <c r="R1429">
        <v>5000</v>
      </c>
      <c r="S1429" t="s">
        <v>166</v>
      </c>
      <c r="V1429" t="s">
        <v>167</v>
      </c>
      <c r="W1429">
        <v>1502020102</v>
      </c>
      <c r="X1429" t="s">
        <v>58</v>
      </c>
      <c r="Y1429" t="str">
        <f>VLOOKUP(W1429,Sheet4!$A$5:$B$72,2,0)</f>
        <v>MAXIMA HD</v>
      </c>
      <c r="Z1429">
        <v>87082900</v>
      </c>
      <c r="AA1429">
        <v>8</v>
      </c>
      <c r="AB1429" t="s">
        <v>159</v>
      </c>
      <c r="AC1429" s="24">
        <v>8593.51</v>
      </c>
      <c r="AD1429" t="s">
        <v>160</v>
      </c>
      <c r="AE1429" s="24">
        <v>68748.08</v>
      </c>
      <c r="AF1429">
        <v>0</v>
      </c>
      <c r="AG1429" s="24">
        <v>68748.08</v>
      </c>
      <c r="AH1429">
        <v>0</v>
      </c>
      <c r="AI1429">
        <v>0</v>
      </c>
      <c r="AJ1429">
        <v>0</v>
      </c>
      <c r="AK1429">
        <v>0</v>
      </c>
      <c r="AL1429" s="24">
        <v>68748.08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 s="24">
        <v>68748.08</v>
      </c>
      <c r="AV1429">
        <v>0</v>
      </c>
      <c r="AW1429">
        <v>0</v>
      </c>
      <c r="AX1429">
        <v>311000</v>
      </c>
      <c r="AY1429" t="s">
        <v>161</v>
      </c>
      <c r="AZ1429">
        <v>93.34</v>
      </c>
      <c r="BA1429">
        <v>75.430000000000007</v>
      </c>
      <c r="BB1429">
        <v>17.91</v>
      </c>
      <c r="BC1429" t="s">
        <v>168</v>
      </c>
      <c r="BD1429">
        <v>1509</v>
      </c>
      <c r="BE1429" t="s">
        <v>169</v>
      </c>
      <c r="BF1429">
        <v>5094272688</v>
      </c>
      <c r="BG1429" t="s">
        <v>368</v>
      </c>
    </row>
    <row r="1430" spans="1:59">
      <c r="A1430">
        <v>1115</v>
      </c>
      <c r="B1430">
        <v>1115</v>
      </c>
      <c r="C1430">
        <v>10</v>
      </c>
      <c r="D1430">
        <v>2</v>
      </c>
      <c r="E1430" t="s">
        <v>152</v>
      </c>
      <c r="F1430" t="s">
        <v>153</v>
      </c>
      <c r="G1430" t="s">
        <v>154</v>
      </c>
      <c r="H1430">
        <v>1526007353</v>
      </c>
      <c r="I1430">
        <v>1000007648</v>
      </c>
      <c r="L1430" t="s">
        <v>368</v>
      </c>
      <c r="M1430">
        <v>5100001603</v>
      </c>
      <c r="N1430" t="s">
        <v>155</v>
      </c>
      <c r="O1430" t="s">
        <v>156</v>
      </c>
      <c r="P1430">
        <v>4110025468</v>
      </c>
      <c r="Q1430" t="s">
        <v>165</v>
      </c>
      <c r="R1430">
        <v>5000</v>
      </c>
      <c r="S1430" t="s">
        <v>166</v>
      </c>
      <c r="V1430" t="s">
        <v>167</v>
      </c>
      <c r="W1430">
        <v>1502020102</v>
      </c>
      <c r="X1430" t="s">
        <v>58</v>
      </c>
      <c r="Y1430" t="str">
        <f>VLOOKUP(W1430,Sheet4!$A$5:$B$72,2,0)</f>
        <v>MAXIMA HD</v>
      </c>
      <c r="Z1430">
        <v>87082900</v>
      </c>
      <c r="AA1430">
        <v>8</v>
      </c>
      <c r="AB1430" t="s">
        <v>159</v>
      </c>
      <c r="AC1430" s="24">
        <v>8593.51</v>
      </c>
      <c r="AD1430" t="s">
        <v>160</v>
      </c>
      <c r="AE1430" s="24">
        <v>68748.08</v>
      </c>
      <c r="AF1430">
        <v>0</v>
      </c>
      <c r="AG1430" s="24">
        <v>68748.08</v>
      </c>
      <c r="AH1430">
        <v>0</v>
      </c>
      <c r="AI1430">
        <v>0</v>
      </c>
      <c r="AJ1430">
        <v>0</v>
      </c>
      <c r="AK1430">
        <v>0</v>
      </c>
      <c r="AL1430" s="24">
        <v>68748.08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 s="24">
        <v>68748.08</v>
      </c>
      <c r="AV1430">
        <v>0</v>
      </c>
      <c r="AW1430">
        <v>0</v>
      </c>
      <c r="AX1430">
        <v>311000</v>
      </c>
      <c r="AY1430" t="s">
        <v>161</v>
      </c>
      <c r="AZ1430">
        <v>93.34</v>
      </c>
      <c r="BA1430">
        <v>75.430000000000007</v>
      </c>
      <c r="BB1430">
        <v>17.91</v>
      </c>
      <c r="BC1430" t="s">
        <v>168</v>
      </c>
      <c r="BD1430">
        <v>1509</v>
      </c>
      <c r="BE1430" t="s">
        <v>169</v>
      </c>
      <c r="BF1430">
        <v>5094273629</v>
      </c>
      <c r="BG1430" t="s">
        <v>368</v>
      </c>
    </row>
    <row r="1431" spans="1:59">
      <c r="A1431">
        <v>1115</v>
      </c>
      <c r="B1431">
        <v>1115</v>
      </c>
      <c r="C1431">
        <v>10</v>
      </c>
      <c r="D1431">
        <v>2</v>
      </c>
      <c r="E1431" t="s">
        <v>152</v>
      </c>
      <c r="F1431" t="s">
        <v>153</v>
      </c>
      <c r="G1431" t="s">
        <v>154</v>
      </c>
      <c r="H1431">
        <v>1526007352</v>
      </c>
      <c r="I1431">
        <v>1000007647</v>
      </c>
      <c r="L1431" t="s">
        <v>368</v>
      </c>
      <c r="M1431">
        <v>5100001603</v>
      </c>
      <c r="N1431" t="s">
        <v>155</v>
      </c>
      <c r="O1431" t="s">
        <v>156</v>
      </c>
      <c r="P1431">
        <v>4110025468</v>
      </c>
      <c r="Q1431" t="s">
        <v>165</v>
      </c>
      <c r="R1431">
        <v>5000</v>
      </c>
      <c r="S1431" t="s">
        <v>166</v>
      </c>
      <c r="V1431" t="s">
        <v>167</v>
      </c>
      <c r="W1431">
        <v>1502020102</v>
      </c>
      <c r="X1431" t="s">
        <v>58</v>
      </c>
      <c r="Y1431" t="str">
        <f>VLOOKUP(W1431,Sheet4!$A$5:$B$72,2,0)</f>
        <v>MAXIMA HD</v>
      </c>
      <c r="Z1431">
        <v>87082900</v>
      </c>
      <c r="AA1431">
        <v>6</v>
      </c>
      <c r="AB1431" t="s">
        <v>159</v>
      </c>
      <c r="AC1431" s="24">
        <v>8593.51</v>
      </c>
      <c r="AD1431" t="s">
        <v>160</v>
      </c>
      <c r="AE1431" s="24">
        <v>51561.06</v>
      </c>
      <c r="AF1431">
        <v>0</v>
      </c>
      <c r="AG1431" s="24">
        <v>51561.06</v>
      </c>
      <c r="AH1431">
        <v>0</v>
      </c>
      <c r="AI1431">
        <v>0</v>
      </c>
      <c r="AJ1431">
        <v>0</v>
      </c>
      <c r="AK1431">
        <v>0</v>
      </c>
      <c r="AL1431" s="24">
        <v>51561.06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 s="24">
        <v>51561.06</v>
      </c>
      <c r="AV1431">
        <v>0</v>
      </c>
      <c r="AW1431">
        <v>0</v>
      </c>
      <c r="AX1431">
        <v>311000</v>
      </c>
      <c r="AY1431" t="s">
        <v>161</v>
      </c>
      <c r="AZ1431">
        <v>93.34</v>
      </c>
      <c r="BA1431">
        <v>75.430000000000007</v>
      </c>
      <c r="BB1431">
        <v>17.91</v>
      </c>
      <c r="BC1431" t="s">
        <v>168</v>
      </c>
      <c r="BD1431">
        <v>1509</v>
      </c>
      <c r="BE1431" t="s">
        <v>169</v>
      </c>
      <c r="BF1431">
        <v>5094273438</v>
      </c>
      <c r="BG1431" t="s">
        <v>368</v>
      </c>
    </row>
    <row r="1432" spans="1:59">
      <c r="A1432">
        <v>1115</v>
      </c>
      <c r="B1432">
        <v>1115</v>
      </c>
      <c r="C1432">
        <v>10</v>
      </c>
      <c r="D1432">
        <v>2</v>
      </c>
      <c r="E1432" t="s">
        <v>152</v>
      </c>
      <c r="F1432" t="s">
        <v>153</v>
      </c>
      <c r="G1432" t="s">
        <v>154</v>
      </c>
      <c r="H1432">
        <v>1526007351</v>
      </c>
      <c r="I1432">
        <v>1000007646</v>
      </c>
      <c r="L1432" t="s">
        <v>368</v>
      </c>
      <c r="M1432">
        <v>5100001925</v>
      </c>
      <c r="N1432" t="s">
        <v>155</v>
      </c>
      <c r="O1432" t="s">
        <v>156</v>
      </c>
      <c r="P1432">
        <v>4110055667</v>
      </c>
      <c r="Q1432" t="s">
        <v>185</v>
      </c>
      <c r="R1432">
        <v>5000</v>
      </c>
      <c r="S1432" t="s">
        <v>166</v>
      </c>
      <c r="V1432" t="s">
        <v>167</v>
      </c>
      <c r="W1432">
        <v>1502040318</v>
      </c>
      <c r="X1432" t="s">
        <v>72</v>
      </c>
      <c r="Y1432" t="str">
        <f>VLOOKUP(W1432,Sheet4!$A$5:$B$72,2,0)</f>
        <v>Re Side Door</v>
      </c>
      <c r="Z1432">
        <v>87082900</v>
      </c>
      <c r="AA1432">
        <v>120</v>
      </c>
      <c r="AB1432" t="s">
        <v>159</v>
      </c>
      <c r="AC1432">
        <v>506.59</v>
      </c>
      <c r="AD1432" t="s">
        <v>160</v>
      </c>
      <c r="AE1432" s="24">
        <v>60790.8</v>
      </c>
      <c r="AF1432">
        <v>0</v>
      </c>
      <c r="AG1432" s="24">
        <v>60790.8</v>
      </c>
      <c r="AH1432">
        <v>0</v>
      </c>
      <c r="AI1432">
        <v>0</v>
      </c>
      <c r="AJ1432">
        <v>0</v>
      </c>
      <c r="AK1432">
        <v>0</v>
      </c>
      <c r="AL1432" s="24">
        <v>60790.8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 s="24">
        <v>60790.8</v>
      </c>
      <c r="AV1432">
        <v>0</v>
      </c>
      <c r="AW1432">
        <v>0</v>
      </c>
      <c r="AX1432">
        <v>311000</v>
      </c>
      <c r="AY1432" t="s">
        <v>161</v>
      </c>
      <c r="AZ1432">
        <v>2.27</v>
      </c>
      <c r="BA1432">
        <v>2.27</v>
      </c>
      <c r="BB1432">
        <v>0</v>
      </c>
      <c r="BC1432" t="s">
        <v>187</v>
      </c>
      <c r="BD1432">
        <v>1511</v>
      </c>
      <c r="BE1432" t="s">
        <v>174</v>
      </c>
      <c r="BF1432" t="s">
        <v>163</v>
      </c>
      <c r="BG1432" t="s">
        <v>164</v>
      </c>
    </row>
    <row r="1433" spans="1:59">
      <c r="A1433">
        <v>1115</v>
      </c>
      <c r="B1433">
        <v>1115</v>
      </c>
      <c r="C1433">
        <v>10</v>
      </c>
      <c r="D1433">
        <v>2</v>
      </c>
      <c r="E1433" t="s">
        <v>152</v>
      </c>
      <c r="F1433" t="s">
        <v>153</v>
      </c>
      <c r="G1433" t="s">
        <v>154</v>
      </c>
      <c r="H1433">
        <v>1526007350</v>
      </c>
      <c r="I1433">
        <v>1000007645</v>
      </c>
      <c r="L1433" t="s">
        <v>368</v>
      </c>
      <c r="M1433">
        <v>5100001925</v>
      </c>
      <c r="N1433" t="s">
        <v>155</v>
      </c>
      <c r="O1433" t="s">
        <v>156</v>
      </c>
      <c r="P1433">
        <v>4110055667</v>
      </c>
      <c r="Q1433" t="s">
        <v>185</v>
      </c>
      <c r="R1433">
        <v>5000</v>
      </c>
      <c r="S1433" t="s">
        <v>166</v>
      </c>
      <c r="V1433" t="s">
        <v>167</v>
      </c>
      <c r="W1433">
        <v>1502040317</v>
      </c>
      <c r="X1433" t="s">
        <v>73</v>
      </c>
      <c r="Y1433" t="str">
        <f>VLOOKUP(W1433,Sheet4!$A$5:$B$72,2,0)</f>
        <v>Re Side Door</v>
      </c>
      <c r="Z1433">
        <v>87082900</v>
      </c>
      <c r="AA1433">
        <v>120</v>
      </c>
      <c r="AB1433" t="s">
        <v>159</v>
      </c>
      <c r="AC1433">
        <v>506.59</v>
      </c>
      <c r="AD1433" t="s">
        <v>160</v>
      </c>
      <c r="AE1433" s="24">
        <v>60790.8</v>
      </c>
      <c r="AF1433">
        <v>0</v>
      </c>
      <c r="AG1433" s="24">
        <v>60790.8</v>
      </c>
      <c r="AH1433">
        <v>0</v>
      </c>
      <c r="AI1433">
        <v>0</v>
      </c>
      <c r="AJ1433">
        <v>0</v>
      </c>
      <c r="AK1433">
        <v>0</v>
      </c>
      <c r="AL1433" s="24">
        <v>60790.8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 s="24">
        <v>60790.8</v>
      </c>
      <c r="AV1433">
        <v>0</v>
      </c>
      <c r="AW1433">
        <v>0</v>
      </c>
      <c r="AX1433">
        <v>311000</v>
      </c>
      <c r="AY1433" t="s">
        <v>161</v>
      </c>
      <c r="AZ1433">
        <v>2.27</v>
      </c>
      <c r="BA1433">
        <v>2.27</v>
      </c>
      <c r="BB1433">
        <v>0</v>
      </c>
      <c r="BC1433" t="s">
        <v>186</v>
      </c>
      <c r="BD1433">
        <v>1511</v>
      </c>
      <c r="BE1433" t="s">
        <v>174</v>
      </c>
      <c r="BF1433" t="s">
        <v>163</v>
      </c>
      <c r="BG1433" t="s">
        <v>164</v>
      </c>
    </row>
    <row r="1434" spans="1:59">
      <c r="A1434">
        <v>1115</v>
      </c>
      <c r="B1434">
        <v>1115</v>
      </c>
      <c r="C1434">
        <v>10</v>
      </c>
      <c r="D1434">
        <v>2</v>
      </c>
      <c r="E1434" t="s">
        <v>152</v>
      </c>
      <c r="F1434" t="s">
        <v>153</v>
      </c>
      <c r="G1434" t="s">
        <v>154</v>
      </c>
      <c r="H1434">
        <v>1526007349</v>
      </c>
      <c r="I1434">
        <v>1000007644</v>
      </c>
      <c r="L1434" t="s">
        <v>368</v>
      </c>
      <c r="M1434">
        <v>5100001934</v>
      </c>
      <c r="N1434" t="s">
        <v>155</v>
      </c>
      <c r="O1434" t="s">
        <v>156</v>
      </c>
      <c r="P1434">
        <v>4110058649</v>
      </c>
      <c r="Q1434" t="s">
        <v>196</v>
      </c>
      <c r="R1434">
        <v>5000</v>
      </c>
      <c r="S1434" t="s">
        <v>166</v>
      </c>
      <c r="V1434" t="s">
        <v>167</v>
      </c>
      <c r="W1434">
        <v>1502040217</v>
      </c>
      <c r="X1434" t="s">
        <v>197</v>
      </c>
      <c r="Y1434" t="str">
        <f>VLOOKUP(W1434,Sheet4!$A$5:$B$72,2,0)</f>
        <v>FRONT MUDGARD GOGO</v>
      </c>
      <c r="Z1434">
        <v>87082900</v>
      </c>
      <c r="AA1434">
        <v>100</v>
      </c>
      <c r="AB1434" t="s">
        <v>159</v>
      </c>
      <c r="AC1434">
        <v>380.93</v>
      </c>
      <c r="AD1434" t="s">
        <v>160</v>
      </c>
      <c r="AE1434" s="24">
        <v>38093</v>
      </c>
      <c r="AF1434">
        <v>0</v>
      </c>
      <c r="AG1434" s="24">
        <v>38093</v>
      </c>
      <c r="AH1434">
        <v>0</v>
      </c>
      <c r="AI1434">
        <v>0</v>
      </c>
      <c r="AJ1434">
        <v>0</v>
      </c>
      <c r="AK1434">
        <v>0</v>
      </c>
      <c r="AL1434" s="24">
        <v>38093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 s="24">
        <v>38093</v>
      </c>
      <c r="AV1434">
        <v>0</v>
      </c>
      <c r="AW1434">
        <v>0</v>
      </c>
      <c r="AX1434">
        <v>311000</v>
      </c>
      <c r="AY1434" t="s">
        <v>161</v>
      </c>
      <c r="AZ1434">
        <v>2.13</v>
      </c>
      <c r="BA1434">
        <v>2.13</v>
      </c>
      <c r="BB1434">
        <v>0</v>
      </c>
      <c r="BC1434" t="s">
        <v>198</v>
      </c>
      <c r="BD1434">
        <v>1511</v>
      </c>
      <c r="BE1434" t="s">
        <v>174</v>
      </c>
      <c r="BF1434">
        <v>5094272666</v>
      </c>
      <c r="BG1434" t="s">
        <v>368</v>
      </c>
    </row>
    <row r="1435" spans="1:59">
      <c r="A1435">
        <v>1115</v>
      </c>
      <c r="B1435">
        <v>1115</v>
      </c>
      <c r="C1435">
        <v>10</v>
      </c>
      <c r="D1435">
        <v>2</v>
      </c>
      <c r="E1435" t="s">
        <v>152</v>
      </c>
      <c r="F1435" t="s">
        <v>153</v>
      </c>
      <c r="G1435" t="s">
        <v>154</v>
      </c>
      <c r="H1435">
        <v>1526007346</v>
      </c>
      <c r="I1435">
        <v>1000007641</v>
      </c>
      <c r="L1435" t="s">
        <v>368</v>
      </c>
      <c r="M1435">
        <v>5100001919</v>
      </c>
      <c r="N1435" t="s">
        <v>155</v>
      </c>
      <c r="O1435" t="s">
        <v>156</v>
      </c>
      <c r="P1435">
        <v>5500000930</v>
      </c>
      <c r="Q1435" t="s">
        <v>157</v>
      </c>
      <c r="R1435">
        <v>5356</v>
      </c>
      <c r="S1435" t="s">
        <v>158</v>
      </c>
      <c r="W1435">
        <v>1402010547</v>
      </c>
      <c r="X1435" t="s">
        <v>369</v>
      </c>
      <c r="Y1435" t="str">
        <f>VLOOKUP(W1435,Sheet4!$A$5:$B$72,2,0)</f>
        <v>FRONT MUDGAURD</v>
      </c>
      <c r="Z1435">
        <v>87082900</v>
      </c>
      <c r="AA1435">
        <v>140</v>
      </c>
      <c r="AB1435" t="s">
        <v>159</v>
      </c>
      <c r="AC1435">
        <v>108.65</v>
      </c>
      <c r="AD1435" t="s">
        <v>160</v>
      </c>
      <c r="AE1435" s="24">
        <v>15211</v>
      </c>
      <c r="AF1435">
        <v>0</v>
      </c>
      <c r="AG1435" s="24">
        <v>15211</v>
      </c>
      <c r="AH1435">
        <v>0</v>
      </c>
      <c r="AI1435">
        <v>0</v>
      </c>
      <c r="AJ1435">
        <v>0</v>
      </c>
      <c r="AK1435">
        <v>0</v>
      </c>
      <c r="AL1435" s="24">
        <v>15211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 s="24">
        <v>15211</v>
      </c>
      <c r="AV1435">
        <v>0</v>
      </c>
      <c r="AW1435">
        <v>0</v>
      </c>
      <c r="AX1435">
        <v>311001</v>
      </c>
      <c r="AY1435" t="s">
        <v>370</v>
      </c>
      <c r="AZ1435">
        <v>1.75</v>
      </c>
      <c r="BA1435">
        <v>1.75</v>
      </c>
      <c r="BB1435">
        <v>0</v>
      </c>
      <c r="BC1435">
        <v>2000001019</v>
      </c>
      <c r="BD1435">
        <v>1402</v>
      </c>
      <c r="BE1435" t="s">
        <v>371</v>
      </c>
      <c r="BF1435" t="s">
        <v>163</v>
      </c>
      <c r="BG1435" t="s">
        <v>164</v>
      </c>
    </row>
    <row r="1436" spans="1:59">
      <c r="A1436">
        <v>1115</v>
      </c>
      <c r="B1436">
        <v>1115</v>
      </c>
      <c r="C1436">
        <v>10</v>
      </c>
      <c r="D1436">
        <v>2</v>
      </c>
      <c r="E1436" t="s">
        <v>152</v>
      </c>
      <c r="F1436" t="s">
        <v>153</v>
      </c>
      <c r="G1436" t="s">
        <v>154</v>
      </c>
      <c r="H1436">
        <v>1526007345</v>
      </c>
      <c r="I1436">
        <v>1000007640</v>
      </c>
      <c r="L1436" t="s">
        <v>368</v>
      </c>
      <c r="M1436">
        <v>5100001928</v>
      </c>
      <c r="N1436" t="s">
        <v>155</v>
      </c>
      <c r="O1436" t="s">
        <v>156</v>
      </c>
      <c r="P1436">
        <v>4110057393</v>
      </c>
      <c r="Q1436" t="s">
        <v>192</v>
      </c>
      <c r="R1436">
        <v>5000</v>
      </c>
      <c r="S1436" t="s">
        <v>166</v>
      </c>
      <c r="V1436" t="s">
        <v>167</v>
      </c>
      <c r="W1436">
        <v>1502020122</v>
      </c>
      <c r="X1436" t="s">
        <v>70</v>
      </c>
      <c r="Y1436" t="str">
        <f>VLOOKUP(W1436,Sheet4!$A$5:$B$72,2,0)</f>
        <v>MAX UG NEW EV</v>
      </c>
      <c r="Z1436">
        <v>87082900</v>
      </c>
      <c r="AA1436">
        <v>10</v>
      </c>
      <c r="AB1436" t="s">
        <v>159</v>
      </c>
      <c r="AC1436" s="24">
        <v>9566.51</v>
      </c>
      <c r="AD1436" t="s">
        <v>160</v>
      </c>
      <c r="AE1436" s="24">
        <v>95665.1</v>
      </c>
      <c r="AF1436">
        <v>0</v>
      </c>
      <c r="AG1436" s="24">
        <v>95665.1</v>
      </c>
      <c r="AH1436">
        <v>0</v>
      </c>
      <c r="AI1436">
        <v>0</v>
      </c>
      <c r="AJ1436">
        <v>0</v>
      </c>
      <c r="AK1436">
        <v>0</v>
      </c>
      <c r="AL1436" s="24">
        <v>95665.1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 s="24">
        <v>95665.1</v>
      </c>
      <c r="AV1436">
        <v>0</v>
      </c>
      <c r="AW1436">
        <v>0</v>
      </c>
      <c r="AX1436">
        <v>311000</v>
      </c>
      <c r="AY1436" t="s">
        <v>161</v>
      </c>
      <c r="AZ1436">
        <v>0</v>
      </c>
      <c r="BA1436">
        <v>61</v>
      </c>
      <c r="BB1436">
        <v>-61</v>
      </c>
      <c r="BC1436" t="s">
        <v>193</v>
      </c>
      <c r="BD1436">
        <v>1509</v>
      </c>
      <c r="BE1436" t="s">
        <v>169</v>
      </c>
      <c r="BF1436">
        <v>5094272721</v>
      </c>
      <c r="BG1436" t="s">
        <v>368</v>
      </c>
    </row>
    <row r="1437" spans="1:59">
      <c r="A1437">
        <v>1115</v>
      </c>
      <c r="B1437">
        <v>1115</v>
      </c>
      <c r="C1437">
        <v>10</v>
      </c>
      <c r="D1437">
        <v>2</v>
      </c>
      <c r="E1437" t="s">
        <v>152</v>
      </c>
      <c r="F1437" t="s">
        <v>153</v>
      </c>
      <c r="G1437" t="s">
        <v>154</v>
      </c>
      <c r="H1437">
        <v>1526007344</v>
      </c>
      <c r="I1437">
        <v>1000007639</v>
      </c>
      <c r="L1437" t="s">
        <v>368</v>
      </c>
      <c r="M1437">
        <v>5100001919</v>
      </c>
      <c r="N1437" t="s">
        <v>155</v>
      </c>
      <c r="O1437" t="s">
        <v>156</v>
      </c>
      <c r="P1437">
        <v>5500000930</v>
      </c>
      <c r="Q1437" t="s">
        <v>157</v>
      </c>
      <c r="R1437">
        <v>5356</v>
      </c>
      <c r="S1437" t="s">
        <v>158</v>
      </c>
      <c r="W1437">
        <v>1402010546</v>
      </c>
      <c r="X1437" t="s">
        <v>372</v>
      </c>
      <c r="Y1437" t="str">
        <f>VLOOKUP(W1437,Sheet4!$A$5:$B$72,2,0)</f>
        <v>FRONT MUDGAURD</v>
      </c>
      <c r="Z1437">
        <v>87082900</v>
      </c>
      <c r="AA1437">
        <v>140</v>
      </c>
      <c r="AB1437" t="s">
        <v>159</v>
      </c>
      <c r="AC1437">
        <v>108.65</v>
      </c>
      <c r="AD1437" t="s">
        <v>160</v>
      </c>
      <c r="AE1437" s="24">
        <v>15211</v>
      </c>
      <c r="AF1437">
        <v>0</v>
      </c>
      <c r="AG1437" s="24">
        <v>15211</v>
      </c>
      <c r="AH1437">
        <v>0</v>
      </c>
      <c r="AI1437">
        <v>0</v>
      </c>
      <c r="AJ1437">
        <v>0</v>
      </c>
      <c r="AK1437">
        <v>0</v>
      </c>
      <c r="AL1437" s="24">
        <v>15211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 s="24">
        <v>15211</v>
      </c>
      <c r="AV1437">
        <v>0</v>
      </c>
      <c r="AW1437">
        <v>0</v>
      </c>
      <c r="AX1437">
        <v>311001</v>
      </c>
      <c r="AY1437" t="s">
        <v>370</v>
      </c>
      <c r="AZ1437">
        <v>1.75</v>
      </c>
      <c r="BA1437">
        <v>1.75</v>
      </c>
      <c r="BB1437">
        <v>0</v>
      </c>
      <c r="BC1437">
        <v>2000001018</v>
      </c>
      <c r="BD1437">
        <v>1402</v>
      </c>
      <c r="BE1437" t="s">
        <v>371</v>
      </c>
      <c r="BF1437" t="s">
        <v>163</v>
      </c>
      <c r="BG1437" t="s">
        <v>164</v>
      </c>
    </row>
    <row r="1438" spans="1:59">
      <c r="A1438">
        <v>1115</v>
      </c>
      <c r="B1438">
        <v>1115</v>
      </c>
      <c r="C1438">
        <v>10</v>
      </c>
      <c r="D1438">
        <v>2</v>
      </c>
      <c r="E1438" t="s">
        <v>152</v>
      </c>
      <c r="F1438" t="s">
        <v>153</v>
      </c>
      <c r="G1438" t="s">
        <v>154</v>
      </c>
      <c r="H1438">
        <v>1526007343</v>
      </c>
      <c r="I1438">
        <v>1000007638</v>
      </c>
      <c r="L1438" t="s">
        <v>368</v>
      </c>
      <c r="M1438">
        <v>5100001928</v>
      </c>
      <c r="N1438" t="s">
        <v>155</v>
      </c>
      <c r="O1438" t="s">
        <v>156</v>
      </c>
      <c r="P1438">
        <v>4110057393</v>
      </c>
      <c r="Q1438" t="s">
        <v>192</v>
      </c>
      <c r="R1438">
        <v>5000</v>
      </c>
      <c r="S1438" t="s">
        <v>166</v>
      </c>
      <c r="V1438" t="s">
        <v>167</v>
      </c>
      <c r="W1438">
        <v>1502020122</v>
      </c>
      <c r="X1438" t="s">
        <v>70</v>
      </c>
      <c r="Y1438" t="str">
        <f>VLOOKUP(W1438,Sheet4!$A$5:$B$72,2,0)</f>
        <v>MAX UG NEW EV</v>
      </c>
      <c r="Z1438">
        <v>87082900</v>
      </c>
      <c r="AA1438">
        <v>10</v>
      </c>
      <c r="AB1438" t="s">
        <v>159</v>
      </c>
      <c r="AC1438" s="24">
        <v>9566.51</v>
      </c>
      <c r="AD1438" t="s">
        <v>160</v>
      </c>
      <c r="AE1438" s="24">
        <v>95665.1</v>
      </c>
      <c r="AF1438">
        <v>0</v>
      </c>
      <c r="AG1438" s="24">
        <v>95665.1</v>
      </c>
      <c r="AH1438">
        <v>0</v>
      </c>
      <c r="AI1438">
        <v>0</v>
      </c>
      <c r="AJ1438">
        <v>0</v>
      </c>
      <c r="AK1438">
        <v>0</v>
      </c>
      <c r="AL1438" s="24">
        <v>95665.1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 s="24">
        <v>95665.1</v>
      </c>
      <c r="AV1438">
        <v>0</v>
      </c>
      <c r="AW1438">
        <v>0</v>
      </c>
      <c r="AX1438">
        <v>311000</v>
      </c>
      <c r="AY1438" t="s">
        <v>161</v>
      </c>
      <c r="AZ1438">
        <v>0</v>
      </c>
      <c r="BA1438">
        <v>61</v>
      </c>
      <c r="BB1438">
        <v>-61</v>
      </c>
      <c r="BC1438" t="s">
        <v>193</v>
      </c>
      <c r="BD1438">
        <v>1509</v>
      </c>
      <c r="BE1438" t="s">
        <v>169</v>
      </c>
      <c r="BF1438">
        <v>5094269383</v>
      </c>
      <c r="BG1438" t="s">
        <v>368</v>
      </c>
    </row>
    <row r="1439" spans="1:59">
      <c r="A1439">
        <v>1115</v>
      </c>
      <c r="B1439">
        <v>1115</v>
      </c>
      <c r="C1439">
        <v>10</v>
      </c>
      <c r="D1439">
        <v>2</v>
      </c>
      <c r="E1439" t="s">
        <v>152</v>
      </c>
      <c r="F1439" t="s">
        <v>153</v>
      </c>
      <c r="G1439" t="s">
        <v>154</v>
      </c>
      <c r="H1439">
        <v>1526007342</v>
      </c>
      <c r="I1439">
        <v>1000007637</v>
      </c>
      <c r="L1439" t="s">
        <v>368</v>
      </c>
      <c r="M1439">
        <v>5100001603</v>
      </c>
      <c r="N1439" t="s">
        <v>155</v>
      </c>
      <c r="O1439" t="s">
        <v>156</v>
      </c>
      <c r="P1439">
        <v>4110025468</v>
      </c>
      <c r="Q1439" t="s">
        <v>165</v>
      </c>
      <c r="R1439">
        <v>5000</v>
      </c>
      <c r="S1439" t="s">
        <v>166</v>
      </c>
      <c r="V1439" t="s">
        <v>167</v>
      </c>
      <c r="W1439">
        <v>1502020102</v>
      </c>
      <c r="X1439" t="s">
        <v>58</v>
      </c>
      <c r="Y1439" t="str">
        <f>VLOOKUP(W1439,Sheet4!$A$5:$B$72,2,0)</f>
        <v>MAXIMA HD</v>
      </c>
      <c r="Z1439">
        <v>87082900</v>
      </c>
      <c r="AA1439">
        <v>8</v>
      </c>
      <c r="AB1439" t="s">
        <v>159</v>
      </c>
      <c r="AC1439" s="24">
        <v>8593.51</v>
      </c>
      <c r="AD1439" t="s">
        <v>160</v>
      </c>
      <c r="AE1439" s="24">
        <v>68748.08</v>
      </c>
      <c r="AF1439">
        <v>0</v>
      </c>
      <c r="AG1439" s="24">
        <v>68748.08</v>
      </c>
      <c r="AH1439">
        <v>0</v>
      </c>
      <c r="AI1439">
        <v>0</v>
      </c>
      <c r="AJ1439">
        <v>0</v>
      </c>
      <c r="AK1439">
        <v>0</v>
      </c>
      <c r="AL1439" s="24">
        <v>68748.08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 s="24">
        <v>68748.08</v>
      </c>
      <c r="AV1439">
        <v>0</v>
      </c>
      <c r="AW1439">
        <v>0</v>
      </c>
      <c r="AX1439">
        <v>311000</v>
      </c>
      <c r="AY1439" t="s">
        <v>161</v>
      </c>
      <c r="AZ1439">
        <v>93.34</v>
      </c>
      <c r="BA1439">
        <v>75.430000000000007</v>
      </c>
      <c r="BB1439">
        <v>17.91</v>
      </c>
      <c r="BC1439" t="s">
        <v>168</v>
      </c>
      <c r="BD1439">
        <v>1509</v>
      </c>
      <c r="BE1439" t="s">
        <v>169</v>
      </c>
      <c r="BF1439">
        <v>5094269726</v>
      </c>
      <c r="BG1439" t="s">
        <v>368</v>
      </c>
    </row>
    <row r="1440" spans="1:59">
      <c r="A1440">
        <v>1115</v>
      </c>
      <c r="B1440">
        <v>1115</v>
      </c>
      <c r="C1440">
        <v>10</v>
      </c>
      <c r="D1440">
        <v>2</v>
      </c>
      <c r="E1440" t="s">
        <v>152</v>
      </c>
      <c r="F1440" t="s">
        <v>153</v>
      </c>
      <c r="G1440" t="s">
        <v>154</v>
      </c>
      <c r="H1440">
        <v>1526007441</v>
      </c>
      <c r="I1440">
        <v>1000007736</v>
      </c>
      <c r="L1440" t="s">
        <v>367</v>
      </c>
      <c r="M1440">
        <v>5100001946</v>
      </c>
      <c r="N1440" t="s">
        <v>155</v>
      </c>
      <c r="O1440" t="s">
        <v>156</v>
      </c>
      <c r="P1440">
        <v>4110063010</v>
      </c>
      <c r="Q1440" t="s">
        <v>345</v>
      </c>
      <c r="R1440">
        <v>5000</v>
      </c>
      <c r="S1440" t="s">
        <v>166</v>
      </c>
      <c r="V1440" t="s">
        <v>167</v>
      </c>
      <c r="W1440">
        <v>1502040308</v>
      </c>
      <c r="X1440" t="s">
        <v>346</v>
      </c>
      <c r="Y1440" t="str">
        <f>VLOOKUP(W1440,Sheet4!$A$5:$B$72,2,0)</f>
        <v>FRONT MUDGAURD</v>
      </c>
      <c r="Z1440">
        <v>87082900</v>
      </c>
      <c r="AA1440">
        <v>34</v>
      </c>
      <c r="AB1440" t="s">
        <v>159</v>
      </c>
      <c r="AC1440">
        <v>427.17</v>
      </c>
      <c r="AD1440" t="s">
        <v>160</v>
      </c>
      <c r="AE1440" s="24">
        <v>14523.78</v>
      </c>
      <c r="AF1440">
        <v>0</v>
      </c>
      <c r="AG1440" s="24">
        <v>14523.78</v>
      </c>
      <c r="AH1440">
        <v>0</v>
      </c>
      <c r="AI1440">
        <v>0</v>
      </c>
      <c r="AJ1440">
        <v>0</v>
      </c>
      <c r="AK1440">
        <v>0</v>
      </c>
      <c r="AL1440" s="24">
        <v>14523.78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 s="24">
        <v>14523.78</v>
      </c>
      <c r="AV1440">
        <v>0</v>
      </c>
      <c r="AW1440">
        <v>0</v>
      </c>
      <c r="AX1440">
        <v>311000</v>
      </c>
      <c r="AY1440" t="s">
        <v>161</v>
      </c>
      <c r="AZ1440">
        <v>2.504</v>
      </c>
      <c r="BA1440">
        <v>2.5</v>
      </c>
      <c r="BB1440">
        <v>4.0000000000000001E-3</v>
      </c>
      <c r="BC1440" t="s">
        <v>347</v>
      </c>
      <c r="BD1440">
        <v>1511</v>
      </c>
      <c r="BE1440" t="s">
        <v>174</v>
      </c>
      <c r="BF1440" t="s">
        <v>163</v>
      </c>
      <c r="BG1440" t="s">
        <v>164</v>
      </c>
    </row>
    <row r="1441" spans="1:59">
      <c r="A1441">
        <v>1115</v>
      </c>
      <c r="B1441">
        <v>1115</v>
      </c>
      <c r="C1441">
        <v>10</v>
      </c>
      <c r="D1441">
        <v>2</v>
      </c>
      <c r="E1441" t="s">
        <v>152</v>
      </c>
      <c r="F1441" t="s">
        <v>153</v>
      </c>
      <c r="G1441" t="s">
        <v>154</v>
      </c>
      <c r="H1441">
        <v>1526007559</v>
      </c>
      <c r="I1441">
        <v>1000007862</v>
      </c>
      <c r="L1441" t="s">
        <v>367</v>
      </c>
      <c r="M1441">
        <v>5100001939</v>
      </c>
      <c r="N1441" t="s">
        <v>155</v>
      </c>
      <c r="O1441" t="s">
        <v>156</v>
      </c>
      <c r="P1441">
        <v>4110059608</v>
      </c>
      <c r="Q1441" t="s">
        <v>240</v>
      </c>
      <c r="R1441">
        <v>5000</v>
      </c>
      <c r="S1441" t="s">
        <v>166</v>
      </c>
      <c r="V1441" t="s">
        <v>167</v>
      </c>
      <c r="W1441">
        <v>1502020129</v>
      </c>
      <c r="X1441" t="s">
        <v>241</v>
      </c>
      <c r="Y1441" t="str">
        <f>VLOOKUP(W1441,Sheet4!$A$5:$B$72,2,0)</f>
        <v>RE STYLING</v>
      </c>
      <c r="Z1441">
        <v>87082900</v>
      </c>
      <c r="AA1441">
        <v>15</v>
      </c>
      <c r="AB1441" t="s">
        <v>159</v>
      </c>
      <c r="AC1441" s="24">
        <v>6500.18</v>
      </c>
      <c r="AD1441" t="s">
        <v>160</v>
      </c>
      <c r="AE1441" s="24">
        <v>97502.7</v>
      </c>
      <c r="AF1441">
        <v>0</v>
      </c>
      <c r="AG1441" s="24">
        <v>97502.7</v>
      </c>
      <c r="AH1441">
        <v>0</v>
      </c>
      <c r="AI1441">
        <v>0</v>
      </c>
      <c r="AJ1441">
        <v>0</v>
      </c>
      <c r="AK1441">
        <v>0</v>
      </c>
      <c r="AL1441" s="24">
        <v>97502.7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 s="24">
        <v>97502.7</v>
      </c>
      <c r="AV1441">
        <v>0</v>
      </c>
      <c r="AW1441">
        <v>0</v>
      </c>
      <c r="AX1441">
        <v>311000</v>
      </c>
      <c r="AY1441" t="s">
        <v>161</v>
      </c>
      <c r="AZ1441">
        <v>0</v>
      </c>
      <c r="BA1441">
        <v>0</v>
      </c>
      <c r="BB1441">
        <v>0</v>
      </c>
      <c r="BC1441" t="s">
        <v>242</v>
      </c>
      <c r="BD1441">
        <v>1509</v>
      </c>
      <c r="BE1441" t="s">
        <v>169</v>
      </c>
      <c r="BF1441" t="s">
        <v>163</v>
      </c>
      <c r="BG1441" t="s">
        <v>164</v>
      </c>
    </row>
    <row r="1442" spans="1:59">
      <c r="A1442">
        <v>1115</v>
      </c>
      <c r="B1442">
        <v>1115</v>
      </c>
      <c r="C1442">
        <v>10</v>
      </c>
      <c r="D1442">
        <v>2</v>
      </c>
      <c r="E1442" t="s">
        <v>152</v>
      </c>
      <c r="F1442" t="s">
        <v>153</v>
      </c>
      <c r="G1442" t="s">
        <v>154</v>
      </c>
      <c r="H1442">
        <v>1526007558</v>
      </c>
      <c r="I1442">
        <v>1000007861</v>
      </c>
      <c r="L1442" t="s">
        <v>367</v>
      </c>
      <c r="M1442">
        <v>5100001939</v>
      </c>
      <c r="N1442" t="s">
        <v>155</v>
      </c>
      <c r="O1442" t="s">
        <v>156</v>
      </c>
      <c r="P1442">
        <v>4110059608</v>
      </c>
      <c r="Q1442" t="s">
        <v>240</v>
      </c>
      <c r="R1442">
        <v>5000</v>
      </c>
      <c r="S1442" t="s">
        <v>166</v>
      </c>
      <c r="V1442" t="s">
        <v>167</v>
      </c>
      <c r="W1442">
        <v>1502020129</v>
      </c>
      <c r="X1442" t="s">
        <v>241</v>
      </c>
      <c r="Y1442" t="str">
        <f>VLOOKUP(W1442,Sheet4!$A$5:$B$72,2,0)</f>
        <v>RE STYLING</v>
      </c>
      <c r="Z1442">
        <v>87082900</v>
      </c>
      <c r="AA1442">
        <v>15</v>
      </c>
      <c r="AB1442" t="s">
        <v>159</v>
      </c>
      <c r="AC1442" s="24">
        <v>6500.18</v>
      </c>
      <c r="AD1442" t="s">
        <v>160</v>
      </c>
      <c r="AE1442" s="24">
        <v>97502.7</v>
      </c>
      <c r="AF1442">
        <v>0</v>
      </c>
      <c r="AG1442" s="24">
        <v>97502.7</v>
      </c>
      <c r="AH1442">
        <v>0</v>
      </c>
      <c r="AI1442">
        <v>0</v>
      </c>
      <c r="AJ1442">
        <v>0</v>
      </c>
      <c r="AK1442">
        <v>0</v>
      </c>
      <c r="AL1442" s="24">
        <v>97502.7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 s="24">
        <v>97502.7</v>
      </c>
      <c r="AV1442">
        <v>0</v>
      </c>
      <c r="AW1442">
        <v>0</v>
      </c>
      <c r="AX1442">
        <v>311000</v>
      </c>
      <c r="AY1442" t="s">
        <v>161</v>
      </c>
      <c r="AZ1442">
        <v>0</v>
      </c>
      <c r="BA1442">
        <v>0</v>
      </c>
      <c r="BB1442">
        <v>0</v>
      </c>
      <c r="BC1442" t="s">
        <v>242</v>
      </c>
      <c r="BD1442">
        <v>1509</v>
      </c>
      <c r="BE1442" t="s">
        <v>169</v>
      </c>
      <c r="BF1442" t="s">
        <v>163</v>
      </c>
      <c r="BG1442" t="s">
        <v>164</v>
      </c>
    </row>
    <row r="1443" spans="1:59">
      <c r="A1443">
        <v>1115</v>
      </c>
      <c r="B1443">
        <v>1115</v>
      </c>
      <c r="C1443">
        <v>10</v>
      </c>
      <c r="D1443">
        <v>2</v>
      </c>
      <c r="E1443" t="s">
        <v>152</v>
      </c>
      <c r="F1443" t="s">
        <v>153</v>
      </c>
      <c r="G1443" t="s">
        <v>154</v>
      </c>
      <c r="H1443">
        <v>1526007557</v>
      </c>
      <c r="I1443">
        <v>1000007859</v>
      </c>
      <c r="L1443" t="s">
        <v>367</v>
      </c>
      <c r="M1443">
        <v>5100001939</v>
      </c>
      <c r="N1443" t="s">
        <v>155</v>
      </c>
      <c r="O1443" t="s">
        <v>156</v>
      </c>
      <c r="P1443">
        <v>4110059608</v>
      </c>
      <c r="Q1443" t="s">
        <v>240</v>
      </c>
      <c r="R1443">
        <v>5000</v>
      </c>
      <c r="S1443" t="s">
        <v>166</v>
      </c>
      <c r="V1443" t="s">
        <v>167</v>
      </c>
      <c r="W1443">
        <v>1502020129</v>
      </c>
      <c r="X1443" t="s">
        <v>241</v>
      </c>
      <c r="Y1443" t="str">
        <f>VLOOKUP(W1443,Sheet4!$A$5:$B$72,2,0)</f>
        <v>RE STYLING</v>
      </c>
      <c r="Z1443">
        <v>87082900</v>
      </c>
      <c r="AA1443">
        <v>15</v>
      </c>
      <c r="AB1443" t="s">
        <v>159</v>
      </c>
      <c r="AC1443" s="24">
        <v>6500.18</v>
      </c>
      <c r="AD1443" t="s">
        <v>160</v>
      </c>
      <c r="AE1443" s="24">
        <v>97502.7</v>
      </c>
      <c r="AF1443">
        <v>0</v>
      </c>
      <c r="AG1443" s="24">
        <v>97502.7</v>
      </c>
      <c r="AH1443">
        <v>0</v>
      </c>
      <c r="AI1443">
        <v>0</v>
      </c>
      <c r="AJ1443">
        <v>0</v>
      </c>
      <c r="AK1443">
        <v>0</v>
      </c>
      <c r="AL1443" s="24">
        <v>97502.7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 s="24">
        <v>97502.7</v>
      </c>
      <c r="AV1443">
        <v>0</v>
      </c>
      <c r="AW1443">
        <v>0</v>
      </c>
      <c r="AX1443">
        <v>311000</v>
      </c>
      <c r="AY1443" t="s">
        <v>161</v>
      </c>
      <c r="AZ1443">
        <v>0</v>
      </c>
      <c r="BA1443">
        <v>0</v>
      </c>
      <c r="BB1443">
        <v>0</v>
      </c>
      <c r="BC1443" t="s">
        <v>242</v>
      </c>
      <c r="BD1443">
        <v>1509</v>
      </c>
      <c r="BE1443" t="s">
        <v>169</v>
      </c>
      <c r="BF1443" t="s">
        <v>163</v>
      </c>
      <c r="BG1443" t="s">
        <v>164</v>
      </c>
    </row>
    <row r="1444" spans="1:59">
      <c r="A1444">
        <v>1115</v>
      </c>
      <c r="B1444">
        <v>1115</v>
      </c>
      <c r="C1444">
        <v>10</v>
      </c>
      <c r="D1444">
        <v>2</v>
      </c>
      <c r="E1444" t="s">
        <v>152</v>
      </c>
      <c r="F1444" t="s">
        <v>153</v>
      </c>
      <c r="G1444" t="s">
        <v>154</v>
      </c>
      <c r="H1444">
        <v>1526007556</v>
      </c>
      <c r="I1444">
        <v>1000007858</v>
      </c>
      <c r="L1444" t="s">
        <v>367</v>
      </c>
      <c r="M1444">
        <v>5100001227</v>
      </c>
      <c r="N1444" t="s">
        <v>155</v>
      </c>
      <c r="O1444" t="s">
        <v>156</v>
      </c>
      <c r="P1444">
        <v>4110011319</v>
      </c>
      <c r="Q1444" t="s">
        <v>175</v>
      </c>
      <c r="R1444">
        <v>5000</v>
      </c>
      <c r="S1444" t="s">
        <v>166</v>
      </c>
      <c r="V1444" t="s">
        <v>167</v>
      </c>
      <c r="W1444">
        <v>1502020074</v>
      </c>
      <c r="X1444" t="s">
        <v>28</v>
      </c>
      <c r="Y1444" t="str">
        <f>VLOOKUP(W1444,Sheet4!$A$5:$B$72,2,0)</f>
        <v>MAX UG NEW</v>
      </c>
      <c r="Z1444">
        <v>87082900</v>
      </c>
      <c r="AA1444">
        <v>10</v>
      </c>
      <c r="AB1444" t="s">
        <v>159</v>
      </c>
      <c r="AC1444" s="24">
        <v>9397.5</v>
      </c>
      <c r="AD1444" t="s">
        <v>160</v>
      </c>
      <c r="AE1444" s="24">
        <v>93975</v>
      </c>
      <c r="AF1444">
        <v>0</v>
      </c>
      <c r="AG1444" s="24">
        <v>93975</v>
      </c>
      <c r="AH1444">
        <v>0</v>
      </c>
      <c r="AI1444">
        <v>0</v>
      </c>
      <c r="AJ1444">
        <v>0</v>
      </c>
      <c r="AK1444">
        <v>0</v>
      </c>
      <c r="AL1444" s="24">
        <v>93975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 s="24">
        <v>93975</v>
      </c>
      <c r="AV1444">
        <v>0</v>
      </c>
      <c r="AW1444">
        <v>0</v>
      </c>
      <c r="AX1444">
        <v>311000</v>
      </c>
      <c r="AY1444" t="s">
        <v>161</v>
      </c>
      <c r="AZ1444">
        <v>69.5</v>
      </c>
      <c r="BA1444">
        <v>69.5</v>
      </c>
      <c r="BB1444">
        <v>0</v>
      </c>
      <c r="BC1444" t="s">
        <v>176</v>
      </c>
      <c r="BD1444">
        <v>1509</v>
      </c>
      <c r="BE1444" t="s">
        <v>169</v>
      </c>
      <c r="BF1444" t="s">
        <v>163</v>
      </c>
      <c r="BG1444" t="s">
        <v>164</v>
      </c>
    </row>
    <row r="1445" spans="1:59">
      <c r="A1445">
        <v>1115</v>
      </c>
      <c r="B1445">
        <v>1115</v>
      </c>
      <c r="C1445">
        <v>10</v>
      </c>
      <c r="D1445">
        <v>2</v>
      </c>
      <c r="E1445" t="s">
        <v>152</v>
      </c>
      <c r="F1445" t="s">
        <v>153</v>
      </c>
      <c r="G1445" t="s">
        <v>154</v>
      </c>
      <c r="H1445">
        <v>1526007555</v>
      </c>
      <c r="I1445">
        <v>1000007857</v>
      </c>
      <c r="L1445" t="s">
        <v>367</v>
      </c>
      <c r="M1445">
        <v>5100001227</v>
      </c>
      <c r="N1445" t="s">
        <v>155</v>
      </c>
      <c r="O1445" t="s">
        <v>156</v>
      </c>
      <c r="P1445">
        <v>4110011319</v>
      </c>
      <c r="Q1445" t="s">
        <v>175</v>
      </c>
      <c r="R1445">
        <v>5000</v>
      </c>
      <c r="S1445" t="s">
        <v>166</v>
      </c>
      <c r="V1445" t="s">
        <v>167</v>
      </c>
      <c r="W1445">
        <v>1502020074</v>
      </c>
      <c r="X1445" t="s">
        <v>28</v>
      </c>
      <c r="Y1445" t="str">
        <f>VLOOKUP(W1445,Sheet4!$A$5:$B$72,2,0)</f>
        <v>MAX UG NEW</v>
      </c>
      <c r="Z1445">
        <v>87082900</v>
      </c>
      <c r="AA1445">
        <v>10</v>
      </c>
      <c r="AB1445" t="s">
        <v>159</v>
      </c>
      <c r="AC1445" s="24">
        <v>9397.5</v>
      </c>
      <c r="AD1445" t="s">
        <v>160</v>
      </c>
      <c r="AE1445" s="24">
        <v>93975</v>
      </c>
      <c r="AF1445">
        <v>0</v>
      </c>
      <c r="AG1445" s="24">
        <v>93975</v>
      </c>
      <c r="AH1445">
        <v>0</v>
      </c>
      <c r="AI1445">
        <v>0</v>
      </c>
      <c r="AJ1445">
        <v>0</v>
      </c>
      <c r="AK1445">
        <v>0</v>
      </c>
      <c r="AL1445" s="24">
        <v>93975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 s="24">
        <v>93975</v>
      </c>
      <c r="AV1445">
        <v>0</v>
      </c>
      <c r="AW1445">
        <v>0</v>
      </c>
      <c r="AX1445">
        <v>311000</v>
      </c>
      <c r="AY1445" t="s">
        <v>161</v>
      </c>
      <c r="AZ1445">
        <v>69.5</v>
      </c>
      <c r="BA1445">
        <v>69.5</v>
      </c>
      <c r="BB1445">
        <v>0</v>
      </c>
      <c r="BC1445" t="s">
        <v>176</v>
      </c>
      <c r="BD1445">
        <v>1509</v>
      </c>
      <c r="BE1445" t="s">
        <v>169</v>
      </c>
      <c r="BF1445" t="s">
        <v>163</v>
      </c>
      <c r="BG1445" t="s">
        <v>164</v>
      </c>
    </row>
    <row r="1446" spans="1:59">
      <c r="A1446">
        <v>1115</v>
      </c>
      <c r="B1446">
        <v>1115</v>
      </c>
      <c r="C1446">
        <v>10</v>
      </c>
      <c r="D1446">
        <v>2</v>
      </c>
      <c r="E1446" t="s">
        <v>152</v>
      </c>
      <c r="F1446" t="s">
        <v>153</v>
      </c>
      <c r="G1446" t="s">
        <v>154</v>
      </c>
      <c r="H1446">
        <v>1526007553</v>
      </c>
      <c r="I1446">
        <v>1000007855</v>
      </c>
      <c r="L1446" t="s">
        <v>367</v>
      </c>
      <c r="M1446">
        <v>5100001939</v>
      </c>
      <c r="N1446" t="s">
        <v>155</v>
      </c>
      <c r="O1446" t="s">
        <v>156</v>
      </c>
      <c r="P1446">
        <v>4110059608</v>
      </c>
      <c r="Q1446" t="s">
        <v>240</v>
      </c>
      <c r="R1446">
        <v>5000</v>
      </c>
      <c r="S1446" t="s">
        <v>166</v>
      </c>
      <c r="V1446" t="s">
        <v>167</v>
      </c>
      <c r="W1446">
        <v>1502020129</v>
      </c>
      <c r="X1446" t="s">
        <v>241</v>
      </c>
      <c r="Y1446" t="str">
        <f>VLOOKUP(W1446,Sheet4!$A$5:$B$72,2,0)</f>
        <v>RE STYLING</v>
      </c>
      <c r="Z1446">
        <v>87082900</v>
      </c>
      <c r="AA1446">
        <v>15</v>
      </c>
      <c r="AB1446" t="s">
        <v>159</v>
      </c>
      <c r="AC1446" s="24">
        <v>6500.18</v>
      </c>
      <c r="AD1446" t="s">
        <v>160</v>
      </c>
      <c r="AE1446" s="24">
        <v>97502.7</v>
      </c>
      <c r="AF1446">
        <v>0</v>
      </c>
      <c r="AG1446" s="24">
        <v>97502.7</v>
      </c>
      <c r="AH1446">
        <v>0</v>
      </c>
      <c r="AI1446">
        <v>0</v>
      </c>
      <c r="AJ1446">
        <v>0</v>
      </c>
      <c r="AK1446">
        <v>0</v>
      </c>
      <c r="AL1446" s="24">
        <v>97502.7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 s="24">
        <v>97502.7</v>
      </c>
      <c r="AV1446">
        <v>0</v>
      </c>
      <c r="AW1446">
        <v>0</v>
      </c>
      <c r="AX1446">
        <v>311000</v>
      </c>
      <c r="AY1446" t="s">
        <v>161</v>
      </c>
      <c r="AZ1446">
        <v>0</v>
      </c>
      <c r="BA1446">
        <v>0</v>
      </c>
      <c r="BB1446">
        <v>0</v>
      </c>
      <c r="BC1446" t="s">
        <v>242</v>
      </c>
      <c r="BD1446">
        <v>1509</v>
      </c>
      <c r="BE1446" t="s">
        <v>169</v>
      </c>
      <c r="BF1446" t="s">
        <v>163</v>
      </c>
      <c r="BG1446" t="s">
        <v>164</v>
      </c>
    </row>
    <row r="1447" spans="1:59">
      <c r="A1447">
        <v>1115</v>
      </c>
      <c r="B1447">
        <v>1115</v>
      </c>
      <c r="C1447">
        <v>10</v>
      </c>
      <c r="D1447">
        <v>2</v>
      </c>
      <c r="E1447" t="s">
        <v>152</v>
      </c>
      <c r="F1447" t="s">
        <v>153</v>
      </c>
      <c r="G1447" t="s">
        <v>154</v>
      </c>
      <c r="H1447">
        <v>1526007552</v>
      </c>
      <c r="I1447">
        <v>1000007854</v>
      </c>
      <c r="L1447" t="s">
        <v>367</v>
      </c>
      <c r="M1447">
        <v>5100001949</v>
      </c>
      <c r="N1447" t="s">
        <v>155</v>
      </c>
      <c r="O1447" t="s">
        <v>156</v>
      </c>
      <c r="P1447">
        <v>4110063766</v>
      </c>
      <c r="Q1447" t="s">
        <v>252</v>
      </c>
      <c r="R1447">
        <v>5000</v>
      </c>
      <c r="S1447" t="s">
        <v>166</v>
      </c>
      <c r="V1447" t="s">
        <v>167</v>
      </c>
      <c r="W1447">
        <v>1502040322</v>
      </c>
      <c r="X1447" t="s">
        <v>250</v>
      </c>
      <c r="Y1447" t="str">
        <f>VLOOKUP(W1447,Sheet4!$A$5:$B$72,2,0)</f>
        <v>DASH BOARD</v>
      </c>
      <c r="Z1447">
        <v>87082900</v>
      </c>
      <c r="AA1447">
        <v>90</v>
      </c>
      <c r="AB1447" t="s">
        <v>159</v>
      </c>
      <c r="AC1447">
        <v>291.27999999999997</v>
      </c>
      <c r="AD1447" t="s">
        <v>160</v>
      </c>
      <c r="AE1447" s="24">
        <v>26215.200000000001</v>
      </c>
      <c r="AF1447">
        <v>0</v>
      </c>
      <c r="AG1447" s="24">
        <v>26215.200000000001</v>
      </c>
      <c r="AH1447">
        <v>0</v>
      </c>
      <c r="AI1447">
        <v>0</v>
      </c>
      <c r="AJ1447">
        <v>0</v>
      </c>
      <c r="AK1447">
        <v>0</v>
      </c>
      <c r="AL1447" s="24">
        <v>26215.200000000001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 s="24">
        <v>26215.200000000001</v>
      </c>
      <c r="AV1447">
        <v>0</v>
      </c>
      <c r="AW1447">
        <v>0</v>
      </c>
      <c r="AX1447">
        <v>311000</v>
      </c>
      <c r="AY1447" t="s">
        <v>161</v>
      </c>
      <c r="AZ1447">
        <v>2.37</v>
      </c>
      <c r="BA1447">
        <v>2.37</v>
      </c>
      <c r="BB1447">
        <v>0</v>
      </c>
      <c r="BC1447" t="s">
        <v>251</v>
      </c>
      <c r="BD1447">
        <v>1511</v>
      </c>
      <c r="BE1447" t="s">
        <v>174</v>
      </c>
      <c r="BF1447" t="s">
        <v>163</v>
      </c>
      <c r="BG1447" t="s">
        <v>164</v>
      </c>
    </row>
    <row r="1448" spans="1:59">
      <c r="A1448">
        <v>1115</v>
      </c>
      <c r="B1448">
        <v>1115</v>
      </c>
      <c r="C1448">
        <v>10</v>
      </c>
      <c r="D1448">
        <v>2</v>
      </c>
      <c r="E1448" t="s">
        <v>152</v>
      </c>
      <c r="F1448" t="s">
        <v>153</v>
      </c>
      <c r="G1448" t="s">
        <v>154</v>
      </c>
      <c r="H1448">
        <v>1526007551</v>
      </c>
      <c r="I1448">
        <v>1000007853</v>
      </c>
      <c r="L1448" t="s">
        <v>367</v>
      </c>
      <c r="M1448">
        <v>5100001899</v>
      </c>
      <c r="N1448" t="s">
        <v>155</v>
      </c>
      <c r="O1448" t="s">
        <v>156</v>
      </c>
      <c r="P1448">
        <v>4110041854</v>
      </c>
      <c r="Q1448" t="s">
        <v>172</v>
      </c>
      <c r="R1448">
        <v>5000</v>
      </c>
      <c r="S1448" t="s">
        <v>166</v>
      </c>
      <c r="V1448" t="s">
        <v>167</v>
      </c>
      <c r="W1448">
        <v>1502040267</v>
      </c>
      <c r="X1448" t="s">
        <v>63</v>
      </c>
      <c r="Y1448" t="str">
        <f>VLOOKUP(W1448,Sheet4!$A$5:$B$72,2,0)</f>
        <v>DASH BOARD</v>
      </c>
      <c r="Z1448">
        <v>87082900</v>
      </c>
      <c r="AA1448">
        <v>416</v>
      </c>
      <c r="AB1448" t="s">
        <v>159</v>
      </c>
      <c r="AC1448">
        <v>290.89999999999998</v>
      </c>
      <c r="AD1448" t="s">
        <v>160</v>
      </c>
      <c r="AE1448" s="24">
        <v>121014.39999999999</v>
      </c>
      <c r="AF1448">
        <v>0</v>
      </c>
      <c r="AG1448" s="24">
        <v>121014.39999999999</v>
      </c>
      <c r="AH1448">
        <v>0</v>
      </c>
      <c r="AI1448">
        <v>0</v>
      </c>
      <c r="AJ1448">
        <v>0</v>
      </c>
      <c r="AK1448">
        <v>0</v>
      </c>
      <c r="AL1448" s="24">
        <v>121014.39999999999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 s="24">
        <v>121014.39999999999</v>
      </c>
      <c r="AV1448">
        <v>0</v>
      </c>
      <c r="AW1448">
        <v>0</v>
      </c>
      <c r="AX1448">
        <v>311000</v>
      </c>
      <c r="AY1448" t="s">
        <v>161</v>
      </c>
      <c r="AZ1448">
        <v>4.5</v>
      </c>
      <c r="BA1448">
        <v>4.5</v>
      </c>
      <c r="BB1448">
        <v>0</v>
      </c>
      <c r="BC1448" t="s">
        <v>173</v>
      </c>
      <c r="BD1448">
        <v>1511</v>
      </c>
      <c r="BE1448" t="s">
        <v>174</v>
      </c>
      <c r="BF1448" t="s">
        <v>163</v>
      </c>
      <c r="BG1448" t="s">
        <v>164</v>
      </c>
    </row>
    <row r="1449" spans="1:59">
      <c r="A1449">
        <v>1115</v>
      </c>
      <c r="B1449">
        <v>1115</v>
      </c>
      <c r="C1449">
        <v>10</v>
      </c>
      <c r="D1449">
        <v>2</v>
      </c>
      <c r="E1449" t="s">
        <v>152</v>
      </c>
      <c r="F1449" t="s">
        <v>153</v>
      </c>
      <c r="G1449" t="s">
        <v>154</v>
      </c>
      <c r="H1449">
        <v>1526007550</v>
      </c>
      <c r="I1449">
        <v>1000007852</v>
      </c>
      <c r="L1449" t="s">
        <v>367</v>
      </c>
      <c r="M1449">
        <v>5100001955</v>
      </c>
      <c r="N1449" t="s">
        <v>155</v>
      </c>
      <c r="O1449" t="s">
        <v>156</v>
      </c>
      <c r="P1449">
        <v>5500001432</v>
      </c>
      <c r="Q1449" t="s">
        <v>320</v>
      </c>
      <c r="R1449">
        <v>5356</v>
      </c>
      <c r="S1449" t="s">
        <v>158</v>
      </c>
      <c r="W1449">
        <v>1104040829</v>
      </c>
      <c r="X1449" t="s">
        <v>321</v>
      </c>
      <c r="Y1449" t="s">
        <v>339</v>
      </c>
      <c r="Z1449">
        <v>87141090</v>
      </c>
      <c r="AA1449">
        <v>189</v>
      </c>
      <c r="AB1449" t="s">
        <v>159</v>
      </c>
      <c r="AC1449">
        <v>136.6</v>
      </c>
      <c r="AD1449" t="s">
        <v>160</v>
      </c>
      <c r="AE1449" s="24">
        <v>25817.4</v>
      </c>
      <c r="AF1449">
        <v>0</v>
      </c>
      <c r="AG1449" s="24">
        <v>25817.4</v>
      </c>
      <c r="AH1449">
        <v>0</v>
      </c>
      <c r="AI1449">
        <v>0</v>
      </c>
      <c r="AJ1449">
        <v>0</v>
      </c>
      <c r="AK1449">
        <v>0</v>
      </c>
      <c r="AL1449" s="24">
        <v>25817.4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 s="24">
        <v>25817.4</v>
      </c>
      <c r="AV1449">
        <v>0</v>
      </c>
      <c r="AW1449">
        <v>0</v>
      </c>
      <c r="AX1449">
        <v>311003</v>
      </c>
      <c r="AY1449" t="s">
        <v>322</v>
      </c>
      <c r="AZ1449">
        <v>2.62</v>
      </c>
      <c r="BA1449">
        <v>2.62</v>
      </c>
      <c r="BB1449">
        <v>0</v>
      </c>
      <c r="BC1449">
        <v>2000000894</v>
      </c>
      <c r="BD1449">
        <v>1123</v>
      </c>
      <c r="BE1449" t="s">
        <v>323</v>
      </c>
      <c r="BF1449" t="s">
        <v>163</v>
      </c>
      <c r="BG1449" t="s">
        <v>164</v>
      </c>
    </row>
    <row r="1450" spans="1:59">
      <c r="A1450">
        <v>1115</v>
      </c>
      <c r="B1450">
        <v>1115</v>
      </c>
      <c r="C1450">
        <v>10</v>
      </c>
      <c r="D1450">
        <v>2</v>
      </c>
      <c r="E1450" t="s">
        <v>152</v>
      </c>
      <c r="F1450" t="s">
        <v>153</v>
      </c>
      <c r="G1450" t="s">
        <v>154</v>
      </c>
      <c r="H1450">
        <v>1526007549</v>
      </c>
      <c r="I1450">
        <v>1000007851</v>
      </c>
      <c r="L1450" t="s">
        <v>367</v>
      </c>
      <c r="M1450">
        <v>5100001407</v>
      </c>
      <c r="N1450" t="s">
        <v>155</v>
      </c>
      <c r="O1450" t="s">
        <v>156</v>
      </c>
      <c r="P1450">
        <v>4110019623</v>
      </c>
      <c r="Q1450" t="s">
        <v>188</v>
      </c>
      <c r="R1450">
        <v>5000</v>
      </c>
      <c r="S1450" t="s">
        <v>166</v>
      </c>
      <c r="V1450" t="s">
        <v>167</v>
      </c>
      <c r="W1450">
        <v>1502040216</v>
      </c>
      <c r="X1450" t="s">
        <v>64</v>
      </c>
      <c r="Y1450" t="str">
        <f>VLOOKUP(W1450,Sheet4!$A$5:$B$72,2,0)</f>
        <v>FRONT MUDGAURD</v>
      </c>
      <c r="Z1450">
        <v>87082900</v>
      </c>
      <c r="AA1450" s="24">
        <v>1280</v>
      </c>
      <c r="AB1450" t="s">
        <v>159</v>
      </c>
      <c r="AC1450">
        <v>174.11</v>
      </c>
      <c r="AD1450" t="s">
        <v>160</v>
      </c>
      <c r="AE1450" s="24">
        <v>222860.79999999999</v>
      </c>
      <c r="AF1450">
        <v>0</v>
      </c>
      <c r="AG1450" s="24">
        <v>222860.79999999999</v>
      </c>
      <c r="AH1450">
        <v>0</v>
      </c>
      <c r="AI1450">
        <v>0</v>
      </c>
      <c r="AJ1450">
        <v>0</v>
      </c>
      <c r="AK1450">
        <v>0</v>
      </c>
      <c r="AL1450" s="24">
        <v>222860.79999999999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 s="24">
        <v>222860.79999999999</v>
      </c>
      <c r="AV1450">
        <v>0</v>
      </c>
      <c r="AW1450">
        <v>0</v>
      </c>
      <c r="AX1450">
        <v>311000</v>
      </c>
      <c r="AY1450" t="s">
        <v>161</v>
      </c>
      <c r="AZ1450">
        <v>2.573</v>
      </c>
      <c r="BA1450">
        <v>1.4910000000000001</v>
      </c>
      <c r="BB1450">
        <v>1.0820000000000001</v>
      </c>
      <c r="BC1450" t="s">
        <v>189</v>
      </c>
      <c r="BD1450">
        <v>1511</v>
      </c>
      <c r="BE1450" t="s">
        <v>174</v>
      </c>
      <c r="BF1450" t="s">
        <v>163</v>
      </c>
      <c r="BG1450" t="s">
        <v>164</v>
      </c>
    </row>
    <row r="1451" spans="1:59">
      <c r="A1451">
        <v>1115</v>
      </c>
      <c r="B1451">
        <v>1115</v>
      </c>
      <c r="C1451">
        <v>10</v>
      </c>
      <c r="D1451">
        <v>2</v>
      </c>
      <c r="E1451" t="s">
        <v>152</v>
      </c>
      <c r="F1451" t="s">
        <v>153</v>
      </c>
      <c r="G1451" t="s">
        <v>154</v>
      </c>
      <c r="H1451">
        <v>1526007548</v>
      </c>
      <c r="I1451">
        <v>1000007850</v>
      </c>
      <c r="L1451" t="s">
        <v>367</v>
      </c>
      <c r="M1451">
        <v>5100001603</v>
      </c>
      <c r="N1451" t="s">
        <v>155</v>
      </c>
      <c r="O1451" t="s">
        <v>156</v>
      </c>
      <c r="P1451">
        <v>4110025468</v>
      </c>
      <c r="Q1451" t="s">
        <v>165</v>
      </c>
      <c r="R1451">
        <v>5000</v>
      </c>
      <c r="S1451" t="s">
        <v>166</v>
      </c>
      <c r="V1451" t="s">
        <v>167</v>
      </c>
      <c r="W1451">
        <v>1502020102</v>
      </c>
      <c r="X1451" t="s">
        <v>58</v>
      </c>
      <c r="Y1451" t="str">
        <f>VLOOKUP(W1451,Sheet4!$A$5:$B$72,2,0)</f>
        <v>MAXIMA HD</v>
      </c>
      <c r="Z1451">
        <v>87082900</v>
      </c>
      <c r="AA1451">
        <v>8</v>
      </c>
      <c r="AB1451" t="s">
        <v>159</v>
      </c>
      <c r="AC1451" s="24">
        <v>8593.51</v>
      </c>
      <c r="AD1451" t="s">
        <v>160</v>
      </c>
      <c r="AE1451" s="24">
        <v>68748.08</v>
      </c>
      <c r="AF1451">
        <v>0</v>
      </c>
      <c r="AG1451" s="24">
        <v>68748.08</v>
      </c>
      <c r="AH1451">
        <v>0</v>
      </c>
      <c r="AI1451">
        <v>0</v>
      </c>
      <c r="AJ1451">
        <v>0</v>
      </c>
      <c r="AK1451">
        <v>0</v>
      </c>
      <c r="AL1451" s="24">
        <v>68748.08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 s="24">
        <v>68748.08</v>
      </c>
      <c r="AV1451">
        <v>0</v>
      </c>
      <c r="AW1451">
        <v>0</v>
      </c>
      <c r="AX1451">
        <v>311000</v>
      </c>
      <c r="AY1451" t="s">
        <v>161</v>
      </c>
      <c r="AZ1451">
        <v>93.34</v>
      </c>
      <c r="BA1451">
        <v>75.430000000000007</v>
      </c>
      <c r="BB1451">
        <v>17.91</v>
      </c>
      <c r="BC1451" t="s">
        <v>168</v>
      </c>
      <c r="BD1451">
        <v>1509</v>
      </c>
      <c r="BE1451" t="s">
        <v>169</v>
      </c>
      <c r="BF1451" t="s">
        <v>163</v>
      </c>
      <c r="BG1451" t="s">
        <v>164</v>
      </c>
    </row>
    <row r="1452" spans="1:59">
      <c r="A1452">
        <v>1115</v>
      </c>
      <c r="B1452">
        <v>1115</v>
      </c>
      <c r="C1452">
        <v>10</v>
      </c>
      <c r="D1452">
        <v>2</v>
      </c>
      <c r="E1452" t="s">
        <v>152</v>
      </c>
      <c r="F1452" t="s">
        <v>153</v>
      </c>
      <c r="G1452" t="s">
        <v>154</v>
      </c>
      <c r="H1452">
        <v>1526007547</v>
      </c>
      <c r="I1452">
        <v>1000007849</v>
      </c>
      <c r="L1452" t="s">
        <v>367</v>
      </c>
      <c r="M1452">
        <v>5100001603</v>
      </c>
      <c r="N1452" t="s">
        <v>155</v>
      </c>
      <c r="O1452" t="s">
        <v>156</v>
      </c>
      <c r="P1452">
        <v>4110025468</v>
      </c>
      <c r="Q1452" t="s">
        <v>165</v>
      </c>
      <c r="R1452">
        <v>5000</v>
      </c>
      <c r="S1452" t="s">
        <v>166</v>
      </c>
      <c r="V1452" t="s">
        <v>167</v>
      </c>
      <c r="W1452">
        <v>1502020102</v>
      </c>
      <c r="X1452" t="s">
        <v>58</v>
      </c>
      <c r="Y1452" t="str">
        <f>VLOOKUP(W1452,Sheet4!$A$5:$B$72,2,0)</f>
        <v>MAXIMA HD</v>
      </c>
      <c r="Z1452">
        <v>87082900</v>
      </c>
      <c r="AA1452">
        <v>8</v>
      </c>
      <c r="AB1452" t="s">
        <v>159</v>
      </c>
      <c r="AC1452" s="24">
        <v>8593.51</v>
      </c>
      <c r="AD1452" t="s">
        <v>160</v>
      </c>
      <c r="AE1452" s="24">
        <v>68748.08</v>
      </c>
      <c r="AF1452">
        <v>0</v>
      </c>
      <c r="AG1452" s="24">
        <v>68748.08</v>
      </c>
      <c r="AH1452">
        <v>0</v>
      </c>
      <c r="AI1452">
        <v>0</v>
      </c>
      <c r="AJ1452">
        <v>0</v>
      </c>
      <c r="AK1452">
        <v>0</v>
      </c>
      <c r="AL1452" s="24">
        <v>68748.08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 s="24">
        <v>68748.08</v>
      </c>
      <c r="AV1452">
        <v>0</v>
      </c>
      <c r="AW1452">
        <v>0</v>
      </c>
      <c r="AX1452">
        <v>311000</v>
      </c>
      <c r="AY1452" t="s">
        <v>161</v>
      </c>
      <c r="AZ1452">
        <v>93.34</v>
      </c>
      <c r="BA1452">
        <v>75.430000000000007</v>
      </c>
      <c r="BB1452">
        <v>17.91</v>
      </c>
      <c r="BC1452" t="s">
        <v>168</v>
      </c>
      <c r="BD1452">
        <v>1509</v>
      </c>
      <c r="BE1452" t="s">
        <v>169</v>
      </c>
      <c r="BF1452" t="s">
        <v>163</v>
      </c>
      <c r="BG1452" t="s">
        <v>164</v>
      </c>
    </row>
    <row r="1453" spans="1:59">
      <c r="A1453">
        <v>1115</v>
      </c>
      <c r="B1453">
        <v>1115</v>
      </c>
      <c r="C1453">
        <v>10</v>
      </c>
      <c r="D1453">
        <v>2</v>
      </c>
      <c r="E1453" t="s">
        <v>152</v>
      </c>
      <c r="F1453" t="s">
        <v>153</v>
      </c>
      <c r="G1453" t="s">
        <v>154</v>
      </c>
      <c r="H1453">
        <v>1526007546</v>
      </c>
      <c r="I1453">
        <v>1000007848</v>
      </c>
      <c r="L1453" t="s">
        <v>367</v>
      </c>
      <c r="M1453">
        <v>5100001939</v>
      </c>
      <c r="N1453" t="s">
        <v>155</v>
      </c>
      <c r="O1453" t="s">
        <v>156</v>
      </c>
      <c r="P1453">
        <v>4110059608</v>
      </c>
      <c r="Q1453" t="s">
        <v>240</v>
      </c>
      <c r="R1453">
        <v>5000</v>
      </c>
      <c r="S1453" t="s">
        <v>166</v>
      </c>
      <c r="V1453" t="s">
        <v>167</v>
      </c>
      <c r="W1453">
        <v>1502020129</v>
      </c>
      <c r="X1453" t="s">
        <v>241</v>
      </c>
      <c r="Y1453" t="str">
        <f>VLOOKUP(W1453,Sheet4!$A$5:$B$72,2,0)</f>
        <v>RE STYLING</v>
      </c>
      <c r="Z1453">
        <v>87082900</v>
      </c>
      <c r="AA1453">
        <v>15</v>
      </c>
      <c r="AB1453" t="s">
        <v>159</v>
      </c>
      <c r="AC1453" s="24">
        <v>6500.18</v>
      </c>
      <c r="AD1453" t="s">
        <v>160</v>
      </c>
      <c r="AE1453" s="24">
        <v>97502.7</v>
      </c>
      <c r="AF1453">
        <v>0</v>
      </c>
      <c r="AG1453" s="24">
        <v>97502.7</v>
      </c>
      <c r="AH1453">
        <v>0</v>
      </c>
      <c r="AI1453">
        <v>0</v>
      </c>
      <c r="AJ1453">
        <v>0</v>
      </c>
      <c r="AK1453">
        <v>0</v>
      </c>
      <c r="AL1453" s="24">
        <v>97502.7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 s="24">
        <v>97502.7</v>
      </c>
      <c r="AV1453">
        <v>0</v>
      </c>
      <c r="AW1453">
        <v>0</v>
      </c>
      <c r="AX1453">
        <v>311000</v>
      </c>
      <c r="AY1453" t="s">
        <v>161</v>
      </c>
      <c r="AZ1453">
        <v>0</v>
      </c>
      <c r="BA1453">
        <v>0</v>
      </c>
      <c r="BB1453">
        <v>0</v>
      </c>
      <c r="BC1453" t="s">
        <v>242</v>
      </c>
      <c r="BD1453">
        <v>1509</v>
      </c>
      <c r="BE1453" t="s">
        <v>169</v>
      </c>
      <c r="BF1453" t="s">
        <v>163</v>
      </c>
      <c r="BG1453" t="s">
        <v>164</v>
      </c>
    </row>
    <row r="1454" spans="1:59">
      <c r="A1454">
        <v>1115</v>
      </c>
      <c r="B1454">
        <v>1115</v>
      </c>
      <c r="C1454">
        <v>10</v>
      </c>
      <c r="D1454">
        <v>2</v>
      </c>
      <c r="E1454" t="s">
        <v>152</v>
      </c>
      <c r="F1454" t="s">
        <v>153</v>
      </c>
      <c r="G1454" t="s">
        <v>154</v>
      </c>
      <c r="H1454">
        <v>1526007545</v>
      </c>
      <c r="I1454">
        <v>1000007847</v>
      </c>
      <c r="L1454" t="s">
        <v>367</v>
      </c>
      <c r="M1454">
        <v>5100001939</v>
      </c>
      <c r="N1454" t="s">
        <v>155</v>
      </c>
      <c r="O1454" t="s">
        <v>156</v>
      </c>
      <c r="P1454">
        <v>4110059608</v>
      </c>
      <c r="Q1454" t="s">
        <v>240</v>
      </c>
      <c r="R1454">
        <v>5000</v>
      </c>
      <c r="S1454" t="s">
        <v>166</v>
      </c>
      <c r="V1454" t="s">
        <v>167</v>
      </c>
      <c r="W1454">
        <v>1502020129</v>
      </c>
      <c r="X1454" t="s">
        <v>241</v>
      </c>
      <c r="Y1454" t="str">
        <f>VLOOKUP(W1454,Sheet4!$A$5:$B$72,2,0)</f>
        <v>RE STYLING</v>
      </c>
      <c r="Z1454">
        <v>87082900</v>
      </c>
      <c r="AA1454">
        <v>15</v>
      </c>
      <c r="AB1454" t="s">
        <v>159</v>
      </c>
      <c r="AC1454" s="24">
        <v>6500.18</v>
      </c>
      <c r="AD1454" t="s">
        <v>160</v>
      </c>
      <c r="AE1454" s="24">
        <v>97502.7</v>
      </c>
      <c r="AF1454">
        <v>0</v>
      </c>
      <c r="AG1454" s="24">
        <v>97502.7</v>
      </c>
      <c r="AH1454">
        <v>0</v>
      </c>
      <c r="AI1454">
        <v>0</v>
      </c>
      <c r="AJ1454">
        <v>0</v>
      </c>
      <c r="AK1454">
        <v>0</v>
      </c>
      <c r="AL1454" s="24">
        <v>97502.7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 s="24">
        <v>97502.7</v>
      </c>
      <c r="AV1454">
        <v>0</v>
      </c>
      <c r="AW1454">
        <v>0</v>
      </c>
      <c r="AX1454">
        <v>311000</v>
      </c>
      <c r="AY1454" t="s">
        <v>161</v>
      </c>
      <c r="AZ1454">
        <v>0</v>
      </c>
      <c r="BA1454">
        <v>0</v>
      </c>
      <c r="BB1454">
        <v>0</v>
      </c>
      <c r="BC1454" t="s">
        <v>242</v>
      </c>
      <c r="BD1454">
        <v>1509</v>
      </c>
      <c r="BE1454" t="s">
        <v>169</v>
      </c>
      <c r="BF1454" t="s">
        <v>163</v>
      </c>
      <c r="BG1454" t="s">
        <v>164</v>
      </c>
    </row>
    <row r="1455" spans="1:59">
      <c r="A1455">
        <v>1115</v>
      </c>
      <c r="B1455">
        <v>1115</v>
      </c>
      <c r="C1455">
        <v>10</v>
      </c>
      <c r="D1455">
        <v>2</v>
      </c>
      <c r="E1455" t="s">
        <v>152</v>
      </c>
      <c r="F1455" t="s">
        <v>153</v>
      </c>
      <c r="G1455" t="s">
        <v>154</v>
      </c>
      <c r="H1455">
        <v>1526007544</v>
      </c>
      <c r="I1455">
        <v>1000007846</v>
      </c>
      <c r="L1455" t="s">
        <v>367</v>
      </c>
      <c r="M1455">
        <v>5100001227</v>
      </c>
      <c r="N1455" t="s">
        <v>155</v>
      </c>
      <c r="O1455" t="s">
        <v>156</v>
      </c>
      <c r="P1455">
        <v>4110011319</v>
      </c>
      <c r="Q1455" t="s">
        <v>175</v>
      </c>
      <c r="R1455">
        <v>5000</v>
      </c>
      <c r="S1455" t="s">
        <v>166</v>
      </c>
      <c r="V1455" t="s">
        <v>167</v>
      </c>
      <c r="W1455">
        <v>1502020074</v>
      </c>
      <c r="X1455" t="s">
        <v>28</v>
      </c>
      <c r="Y1455" t="str">
        <f>VLOOKUP(W1455,Sheet4!$A$5:$B$72,2,0)</f>
        <v>MAX UG NEW</v>
      </c>
      <c r="Z1455">
        <v>87082900</v>
      </c>
      <c r="AA1455">
        <v>10</v>
      </c>
      <c r="AB1455" t="s">
        <v>159</v>
      </c>
      <c r="AC1455" s="24">
        <v>9397.5</v>
      </c>
      <c r="AD1455" t="s">
        <v>160</v>
      </c>
      <c r="AE1455" s="24">
        <v>93975</v>
      </c>
      <c r="AF1455">
        <v>0</v>
      </c>
      <c r="AG1455" s="24">
        <v>93975</v>
      </c>
      <c r="AH1455">
        <v>0</v>
      </c>
      <c r="AI1455">
        <v>0</v>
      </c>
      <c r="AJ1455">
        <v>0</v>
      </c>
      <c r="AK1455">
        <v>0</v>
      </c>
      <c r="AL1455" s="24">
        <v>93975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 s="24">
        <v>93975</v>
      </c>
      <c r="AV1455">
        <v>0</v>
      </c>
      <c r="AW1455">
        <v>0</v>
      </c>
      <c r="AX1455">
        <v>311000</v>
      </c>
      <c r="AY1455" t="s">
        <v>161</v>
      </c>
      <c r="AZ1455">
        <v>69.5</v>
      </c>
      <c r="BA1455">
        <v>69.5</v>
      </c>
      <c r="BB1455">
        <v>0</v>
      </c>
      <c r="BC1455" t="s">
        <v>176</v>
      </c>
      <c r="BD1455">
        <v>1509</v>
      </c>
      <c r="BE1455" t="s">
        <v>169</v>
      </c>
      <c r="BF1455" t="s">
        <v>163</v>
      </c>
      <c r="BG1455" t="s">
        <v>164</v>
      </c>
    </row>
    <row r="1456" spans="1:59">
      <c r="A1456">
        <v>1115</v>
      </c>
      <c r="B1456">
        <v>1115</v>
      </c>
      <c r="C1456">
        <v>10</v>
      </c>
      <c r="D1456">
        <v>2</v>
      </c>
      <c r="E1456" t="s">
        <v>152</v>
      </c>
      <c r="F1456" t="s">
        <v>153</v>
      </c>
      <c r="G1456" t="s">
        <v>154</v>
      </c>
      <c r="H1456">
        <v>1526007543</v>
      </c>
      <c r="I1456">
        <v>1000007845</v>
      </c>
      <c r="L1456" t="s">
        <v>367</v>
      </c>
      <c r="M1456">
        <v>5100001227</v>
      </c>
      <c r="N1456" t="s">
        <v>155</v>
      </c>
      <c r="O1456" t="s">
        <v>156</v>
      </c>
      <c r="P1456">
        <v>4110011319</v>
      </c>
      <c r="Q1456" t="s">
        <v>175</v>
      </c>
      <c r="R1456">
        <v>5000</v>
      </c>
      <c r="S1456" t="s">
        <v>166</v>
      </c>
      <c r="V1456" t="s">
        <v>167</v>
      </c>
      <c r="W1456">
        <v>1502020074</v>
      </c>
      <c r="X1456" t="s">
        <v>28</v>
      </c>
      <c r="Y1456" t="str">
        <f>VLOOKUP(W1456,Sheet4!$A$5:$B$72,2,0)</f>
        <v>MAX UG NEW</v>
      </c>
      <c r="Z1456">
        <v>87082900</v>
      </c>
      <c r="AA1456">
        <v>10</v>
      </c>
      <c r="AB1456" t="s">
        <v>159</v>
      </c>
      <c r="AC1456" s="24">
        <v>9397.5</v>
      </c>
      <c r="AD1456" t="s">
        <v>160</v>
      </c>
      <c r="AE1456" s="24">
        <v>93975</v>
      </c>
      <c r="AF1456">
        <v>0</v>
      </c>
      <c r="AG1456" s="24">
        <v>93975</v>
      </c>
      <c r="AH1456">
        <v>0</v>
      </c>
      <c r="AI1456">
        <v>0</v>
      </c>
      <c r="AJ1456">
        <v>0</v>
      </c>
      <c r="AK1456">
        <v>0</v>
      </c>
      <c r="AL1456" s="24">
        <v>93975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 s="24">
        <v>93975</v>
      </c>
      <c r="AV1456">
        <v>0</v>
      </c>
      <c r="AW1456">
        <v>0</v>
      </c>
      <c r="AX1456">
        <v>311000</v>
      </c>
      <c r="AY1456" t="s">
        <v>161</v>
      </c>
      <c r="AZ1456">
        <v>69.5</v>
      </c>
      <c r="BA1456">
        <v>69.5</v>
      </c>
      <c r="BB1456">
        <v>0</v>
      </c>
      <c r="BC1456" t="s">
        <v>176</v>
      </c>
      <c r="BD1456">
        <v>1509</v>
      </c>
      <c r="BE1456" t="s">
        <v>169</v>
      </c>
      <c r="BF1456" t="s">
        <v>163</v>
      </c>
      <c r="BG1456" t="s">
        <v>164</v>
      </c>
    </row>
    <row r="1457" spans="1:59">
      <c r="A1457">
        <v>1115</v>
      </c>
      <c r="B1457">
        <v>1115</v>
      </c>
      <c r="C1457">
        <v>10</v>
      </c>
      <c r="D1457">
        <v>2</v>
      </c>
      <c r="E1457" t="s">
        <v>152</v>
      </c>
      <c r="F1457" t="s">
        <v>153</v>
      </c>
      <c r="G1457" t="s">
        <v>154</v>
      </c>
      <c r="H1457">
        <v>1526007542</v>
      </c>
      <c r="I1457">
        <v>1000007844</v>
      </c>
      <c r="L1457" t="s">
        <v>367</v>
      </c>
      <c r="M1457">
        <v>5100001227</v>
      </c>
      <c r="N1457" t="s">
        <v>155</v>
      </c>
      <c r="O1457" t="s">
        <v>156</v>
      </c>
      <c r="P1457">
        <v>4110011319</v>
      </c>
      <c r="Q1457" t="s">
        <v>175</v>
      </c>
      <c r="R1457">
        <v>5000</v>
      </c>
      <c r="S1457" t="s">
        <v>166</v>
      </c>
      <c r="V1457" t="s">
        <v>167</v>
      </c>
      <c r="W1457">
        <v>1502020074</v>
      </c>
      <c r="X1457" t="s">
        <v>28</v>
      </c>
      <c r="Y1457" t="str">
        <f>VLOOKUP(W1457,Sheet4!$A$5:$B$72,2,0)</f>
        <v>MAX UG NEW</v>
      </c>
      <c r="Z1457">
        <v>87082900</v>
      </c>
      <c r="AA1457">
        <v>10</v>
      </c>
      <c r="AB1457" t="s">
        <v>159</v>
      </c>
      <c r="AC1457" s="24">
        <v>9397.5</v>
      </c>
      <c r="AD1457" t="s">
        <v>160</v>
      </c>
      <c r="AE1457" s="24">
        <v>93975</v>
      </c>
      <c r="AF1457">
        <v>0</v>
      </c>
      <c r="AG1457" s="24">
        <v>93975</v>
      </c>
      <c r="AH1457">
        <v>0</v>
      </c>
      <c r="AI1457">
        <v>0</v>
      </c>
      <c r="AJ1457">
        <v>0</v>
      </c>
      <c r="AK1457">
        <v>0</v>
      </c>
      <c r="AL1457" s="24">
        <v>93975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 s="24">
        <v>93975</v>
      </c>
      <c r="AV1457">
        <v>0</v>
      </c>
      <c r="AW1457">
        <v>0</v>
      </c>
      <c r="AX1457">
        <v>311000</v>
      </c>
      <c r="AY1457" t="s">
        <v>161</v>
      </c>
      <c r="AZ1457">
        <v>69.5</v>
      </c>
      <c r="BA1457">
        <v>69.5</v>
      </c>
      <c r="BB1457">
        <v>0</v>
      </c>
      <c r="BC1457" t="s">
        <v>176</v>
      </c>
      <c r="BD1457">
        <v>1509</v>
      </c>
      <c r="BE1457" t="s">
        <v>169</v>
      </c>
      <c r="BF1457" t="s">
        <v>163</v>
      </c>
      <c r="BG1457" t="s">
        <v>164</v>
      </c>
    </row>
    <row r="1458" spans="1:59">
      <c r="A1458">
        <v>1115</v>
      </c>
      <c r="B1458">
        <v>1115</v>
      </c>
      <c r="C1458">
        <v>10</v>
      </c>
      <c r="D1458">
        <v>2</v>
      </c>
      <c r="E1458" t="s">
        <v>152</v>
      </c>
      <c r="F1458" t="s">
        <v>153</v>
      </c>
      <c r="G1458" t="s">
        <v>154</v>
      </c>
      <c r="H1458">
        <v>1526007541</v>
      </c>
      <c r="I1458">
        <v>1000007843</v>
      </c>
      <c r="L1458" t="s">
        <v>367</v>
      </c>
      <c r="M1458">
        <v>5100001907</v>
      </c>
      <c r="N1458" t="s">
        <v>155</v>
      </c>
      <c r="O1458" t="s">
        <v>156</v>
      </c>
      <c r="P1458">
        <v>4110046150</v>
      </c>
      <c r="Q1458" t="s">
        <v>373</v>
      </c>
      <c r="R1458">
        <v>5000</v>
      </c>
      <c r="S1458" t="s">
        <v>166</v>
      </c>
      <c r="V1458" t="s">
        <v>167</v>
      </c>
      <c r="W1458">
        <v>1502040271</v>
      </c>
      <c r="X1458" t="s">
        <v>374</v>
      </c>
      <c r="Y1458" t="str">
        <f>VLOOKUP(W1458,Sheet4!$A$5:$B$72,2,0)</f>
        <v>FRONT MUDGAURD EV</v>
      </c>
      <c r="Z1458">
        <v>87082900</v>
      </c>
      <c r="AA1458">
        <v>100</v>
      </c>
      <c r="AB1458" t="s">
        <v>159</v>
      </c>
      <c r="AC1458">
        <v>402.9</v>
      </c>
      <c r="AD1458" t="s">
        <v>160</v>
      </c>
      <c r="AE1458" s="24">
        <v>40290</v>
      </c>
      <c r="AF1458">
        <v>0</v>
      </c>
      <c r="AG1458" s="24">
        <v>40290</v>
      </c>
      <c r="AH1458">
        <v>0</v>
      </c>
      <c r="AI1458">
        <v>0</v>
      </c>
      <c r="AJ1458">
        <v>0</v>
      </c>
      <c r="AK1458">
        <v>0</v>
      </c>
      <c r="AL1458" s="24">
        <v>40290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 s="24">
        <v>40290</v>
      </c>
      <c r="AV1458">
        <v>0</v>
      </c>
      <c r="AW1458">
        <v>0</v>
      </c>
      <c r="AX1458">
        <v>311000</v>
      </c>
      <c r="AY1458" t="s">
        <v>161</v>
      </c>
      <c r="AZ1458">
        <v>1.82</v>
      </c>
      <c r="BA1458">
        <v>1.82</v>
      </c>
      <c r="BB1458">
        <v>0</v>
      </c>
      <c r="BC1458" t="s">
        <v>375</v>
      </c>
      <c r="BD1458">
        <v>1511</v>
      </c>
      <c r="BE1458" t="s">
        <v>174</v>
      </c>
      <c r="BF1458" t="s">
        <v>163</v>
      </c>
      <c r="BG1458" t="s">
        <v>164</v>
      </c>
    </row>
    <row r="1459" spans="1:59">
      <c r="A1459">
        <v>1115</v>
      </c>
      <c r="B1459">
        <v>1115</v>
      </c>
      <c r="C1459">
        <v>10</v>
      </c>
      <c r="D1459">
        <v>2</v>
      </c>
      <c r="E1459" t="s">
        <v>152</v>
      </c>
      <c r="F1459" t="s">
        <v>153</v>
      </c>
      <c r="G1459" t="s">
        <v>154</v>
      </c>
      <c r="H1459">
        <v>1526007540</v>
      </c>
      <c r="I1459">
        <v>1000007842</v>
      </c>
      <c r="L1459" t="s">
        <v>367</v>
      </c>
      <c r="M1459">
        <v>5100001227</v>
      </c>
      <c r="N1459" t="s">
        <v>155</v>
      </c>
      <c r="O1459" t="s">
        <v>156</v>
      </c>
      <c r="P1459">
        <v>4110011319</v>
      </c>
      <c r="Q1459" t="s">
        <v>175</v>
      </c>
      <c r="R1459">
        <v>5000</v>
      </c>
      <c r="S1459" t="s">
        <v>166</v>
      </c>
      <c r="V1459" t="s">
        <v>167</v>
      </c>
      <c r="W1459">
        <v>1502020074</v>
      </c>
      <c r="X1459" t="s">
        <v>28</v>
      </c>
      <c r="Y1459" t="str">
        <f>VLOOKUP(W1459,Sheet4!$A$5:$B$72,2,0)</f>
        <v>MAX UG NEW</v>
      </c>
      <c r="Z1459">
        <v>87082900</v>
      </c>
      <c r="AA1459">
        <v>10</v>
      </c>
      <c r="AB1459" t="s">
        <v>159</v>
      </c>
      <c r="AC1459" s="24">
        <v>9397.5</v>
      </c>
      <c r="AD1459" t="s">
        <v>160</v>
      </c>
      <c r="AE1459" s="24">
        <v>93975</v>
      </c>
      <c r="AF1459">
        <v>0</v>
      </c>
      <c r="AG1459" s="24">
        <v>93975</v>
      </c>
      <c r="AH1459">
        <v>0</v>
      </c>
      <c r="AI1459">
        <v>0</v>
      </c>
      <c r="AJ1459">
        <v>0</v>
      </c>
      <c r="AK1459">
        <v>0</v>
      </c>
      <c r="AL1459" s="24">
        <v>93975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 s="24">
        <v>93975</v>
      </c>
      <c r="AV1459">
        <v>0</v>
      </c>
      <c r="AW1459">
        <v>0</v>
      </c>
      <c r="AX1459">
        <v>311000</v>
      </c>
      <c r="AY1459" t="s">
        <v>161</v>
      </c>
      <c r="AZ1459">
        <v>69.5</v>
      </c>
      <c r="BA1459">
        <v>69.5</v>
      </c>
      <c r="BB1459">
        <v>0</v>
      </c>
      <c r="BC1459" t="s">
        <v>176</v>
      </c>
      <c r="BD1459">
        <v>1509</v>
      </c>
      <c r="BE1459" t="s">
        <v>169</v>
      </c>
      <c r="BF1459" t="s">
        <v>163</v>
      </c>
      <c r="BG1459" t="s">
        <v>164</v>
      </c>
    </row>
    <row r="1460" spans="1:59">
      <c r="A1460">
        <v>1115</v>
      </c>
      <c r="B1460">
        <v>1115</v>
      </c>
      <c r="C1460">
        <v>10</v>
      </c>
      <c r="D1460">
        <v>2</v>
      </c>
      <c r="E1460" t="s">
        <v>152</v>
      </c>
      <c r="F1460" t="s">
        <v>153</v>
      </c>
      <c r="G1460" t="s">
        <v>154</v>
      </c>
      <c r="H1460">
        <v>1526007539</v>
      </c>
      <c r="I1460">
        <v>1000007840</v>
      </c>
      <c r="L1460" t="s">
        <v>367</v>
      </c>
      <c r="M1460">
        <v>5100001939</v>
      </c>
      <c r="N1460" t="s">
        <v>155</v>
      </c>
      <c r="O1460" t="s">
        <v>156</v>
      </c>
      <c r="P1460">
        <v>4110059608</v>
      </c>
      <c r="Q1460" t="s">
        <v>240</v>
      </c>
      <c r="R1460">
        <v>5000</v>
      </c>
      <c r="S1460" t="s">
        <v>166</v>
      </c>
      <c r="V1460" t="s">
        <v>167</v>
      </c>
      <c r="W1460">
        <v>1502020129</v>
      </c>
      <c r="X1460" t="s">
        <v>241</v>
      </c>
      <c r="Y1460" t="str">
        <f>VLOOKUP(W1460,Sheet4!$A$5:$B$72,2,0)</f>
        <v>RE STYLING</v>
      </c>
      <c r="Z1460">
        <v>87082900</v>
      </c>
      <c r="AA1460">
        <v>15</v>
      </c>
      <c r="AB1460" t="s">
        <v>159</v>
      </c>
      <c r="AC1460" s="24">
        <v>6500.18</v>
      </c>
      <c r="AD1460" t="s">
        <v>160</v>
      </c>
      <c r="AE1460" s="24">
        <v>97502.7</v>
      </c>
      <c r="AF1460">
        <v>0</v>
      </c>
      <c r="AG1460" s="24">
        <v>97502.7</v>
      </c>
      <c r="AH1460">
        <v>0</v>
      </c>
      <c r="AI1460">
        <v>0</v>
      </c>
      <c r="AJ1460">
        <v>0</v>
      </c>
      <c r="AK1460">
        <v>0</v>
      </c>
      <c r="AL1460" s="24">
        <v>97502.7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 s="24">
        <v>97502.7</v>
      </c>
      <c r="AV1460">
        <v>0</v>
      </c>
      <c r="AW1460">
        <v>0</v>
      </c>
      <c r="AX1460">
        <v>311000</v>
      </c>
      <c r="AY1460" t="s">
        <v>161</v>
      </c>
      <c r="AZ1460">
        <v>0</v>
      </c>
      <c r="BA1460">
        <v>0</v>
      </c>
      <c r="BB1460">
        <v>0</v>
      </c>
      <c r="BC1460" t="s">
        <v>242</v>
      </c>
      <c r="BD1460">
        <v>1509</v>
      </c>
      <c r="BE1460" t="s">
        <v>169</v>
      </c>
      <c r="BF1460" t="s">
        <v>163</v>
      </c>
      <c r="BG1460" t="s">
        <v>164</v>
      </c>
    </row>
    <row r="1461" spans="1:59">
      <c r="A1461">
        <v>1115</v>
      </c>
      <c r="B1461">
        <v>1115</v>
      </c>
      <c r="C1461">
        <v>10</v>
      </c>
      <c r="D1461">
        <v>2</v>
      </c>
      <c r="E1461" t="s">
        <v>152</v>
      </c>
      <c r="F1461" t="s">
        <v>153</v>
      </c>
      <c r="G1461" t="s">
        <v>154</v>
      </c>
      <c r="H1461">
        <v>1526007538</v>
      </c>
      <c r="I1461">
        <v>1000007839</v>
      </c>
      <c r="L1461" t="s">
        <v>367</v>
      </c>
      <c r="M1461">
        <v>5100001939</v>
      </c>
      <c r="N1461" t="s">
        <v>155</v>
      </c>
      <c r="O1461" t="s">
        <v>156</v>
      </c>
      <c r="P1461">
        <v>4110059608</v>
      </c>
      <c r="Q1461" t="s">
        <v>240</v>
      </c>
      <c r="R1461">
        <v>5000</v>
      </c>
      <c r="S1461" t="s">
        <v>166</v>
      </c>
      <c r="V1461" t="s">
        <v>167</v>
      </c>
      <c r="W1461">
        <v>1502020129</v>
      </c>
      <c r="X1461" t="s">
        <v>241</v>
      </c>
      <c r="Y1461" t="str">
        <f>VLOOKUP(W1461,Sheet4!$A$5:$B$72,2,0)</f>
        <v>RE STYLING</v>
      </c>
      <c r="Z1461">
        <v>87082900</v>
      </c>
      <c r="AA1461">
        <v>15</v>
      </c>
      <c r="AB1461" t="s">
        <v>159</v>
      </c>
      <c r="AC1461" s="24">
        <v>6500.18</v>
      </c>
      <c r="AD1461" t="s">
        <v>160</v>
      </c>
      <c r="AE1461" s="24">
        <v>97502.7</v>
      </c>
      <c r="AF1461">
        <v>0</v>
      </c>
      <c r="AG1461" s="24">
        <v>97502.7</v>
      </c>
      <c r="AH1461">
        <v>0</v>
      </c>
      <c r="AI1461">
        <v>0</v>
      </c>
      <c r="AJ1461">
        <v>0</v>
      </c>
      <c r="AK1461">
        <v>0</v>
      </c>
      <c r="AL1461" s="24">
        <v>97502.7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 s="24">
        <v>97502.7</v>
      </c>
      <c r="AV1461">
        <v>0</v>
      </c>
      <c r="AW1461">
        <v>0</v>
      </c>
      <c r="AX1461">
        <v>311000</v>
      </c>
      <c r="AY1461" t="s">
        <v>161</v>
      </c>
      <c r="AZ1461">
        <v>0</v>
      </c>
      <c r="BA1461">
        <v>0</v>
      </c>
      <c r="BB1461">
        <v>0</v>
      </c>
      <c r="BC1461" t="s">
        <v>242</v>
      </c>
      <c r="BD1461">
        <v>1509</v>
      </c>
      <c r="BE1461" t="s">
        <v>169</v>
      </c>
      <c r="BF1461" t="s">
        <v>163</v>
      </c>
      <c r="BG1461" t="s">
        <v>164</v>
      </c>
    </row>
    <row r="1462" spans="1:59">
      <c r="A1462">
        <v>1115</v>
      </c>
      <c r="B1462">
        <v>1115</v>
      </c>
      <c r="C1462">
        <v>10</v>
      </c>
      <c r="D1462">
        <v>2</v>
      </c>
      <c r="E1462" t="s">
        <v>152</v>
      </c>
      <c r="F1462" t="s">
        <v>153</v>
      </c>
      <c r="G1462" t="s">
        <v>154</v>
      </c>
      <c r="H1462">
        <v>1526007537</v>
      </c>
      <c r="I1462">
        <v>1000007838</v>
      </c>
      <c r="L1462" t="s">
        <v>367</v>
      </c>
      <c r="M1462">
        <v>5100001603</v>
      </c>
      <c r="N1462" t="s">
        <v>155</v>
      </c>
      <c r="O1462" t="s">
        <v>156</v>
      </c>
      <c r="P1462">
        <v>4110025468</v>
      </c>
      <c r="Q1462" t="s">
        <v>165</v>
      </c>
      <c r="R1462">
        <v>5000</v>
      </c>
      <c r="S1462" t="s">
        <v>166</v>
      </c>
      <c r="V1462" t="s">
        <v>167</v>
      </c>
      <c r="W1462">
        <v>1502020102</v>
      </c>
      <c r="X1462" t="s">
        <v>58</v>
      </c>
      <c r="Y1462" t="str">
        <f>VLOOKUP(W1462,Sheet4!$A$5:$B$72,2,0)</f>
        <v>MAXIMA HD</v>
      </c>
      <c r="Z1462">
        <v>87082900</v>
      </c>
      <c r="AA1462">
        <v>8</v>
      </c>
      <c r="AB1462" t="s">
        <v>159</v>
      </c>
      <c r="AC1462" s="24">
        <v>8593.51</v>
      </c>
      <c r="AD1462" t="s">
        <v>160</v>
      </c>
      <c r="AE1462" s="24">
        <v>68748.08</v>
      </c>
      <c r="AF1462">
        <v>0</v>
      </c>
      <c r="AG1462" s="24">
        <v>68748.08</v>
      </c>
      <c r="AH1462">
        <v>0</v>
      </c>
      <c r="AI1462">
        <v>0</v>
      </c>
      <c r="AJ1462">
        <v>0</v>
      </c>
      <c r="AK1462">
        <v>0</v>
      </c>
      <c r="AL1462" s="24">
        <v>68748.08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 s="24">
        <v>68748.08</v>
      </c>
      <c r="AV1462">
        <v>0</v>
      </c>
      <c r="AW1462">
        <v>0</v>
      </c>
      <c r="AX1462">
        <v>311000</v>
      </c>
      <c r="AY1462" t="s">
        <v>161</v>
      </c>
      <c r="AZ1462">
        <v>93.34</v>
      </c>
      <c r="BA1462">
        <v>75.430000000000007</v>
      </c>
      <c r="BB1462">
        <v>17.91</v>
      </c>
      <c r="BC1462" t="s">
        <v>168</v>
      </c>
      <c r="BD1462">
        <v>1509</v>
      </c>
      <c r="BE1462" t="s">
        <v>169</v>
      </c>
      <c r="BF1462" t="s">
        <v>163</v>
      </c>
      <c r="BG1462" t="s">
        <v>164</v>
      </c>
    </row>
    <row r="1463" spans="1:59">
      <c r="A1463">
        <v>1115</v>
      </c>
      <c r="B1463">
        <v>1115</v>
      </c>
      <c r="C1463">
        <v>10</v>
      </c>
      <c r="D1463">
        <v>2</v>
      </c>
      <c r="E1463" t="s">
        <v>152</v>
      </c>
      <c r="F1463" t="s">
        <v>153</v>
      </c>
      <c r="G1463" t="s">
        <v>154</v>
      </c>
      <c r="H1463">
        <v>1526007536</v>
      </c>
      <c r="I1463">
        <v>1000007837</v>
      </c>
      <c r="L1463" t="s">
        <v>367</v>
      </c>
      <c r="M1463">
        <v>5100001227</v>
      </c>
      <c r="N1463" t="s">
        <v>155</v>
      </c>
      <c r="O1463" t="s">
        <v>156</v>
      </c>
      <c r="P1463">
        <v>4110011319</v>
      </c>
      <c r="Q1463" t="s">
        <v>175</v>
      </c>
      <c r="R1463">
        <v>5000</v>
      </c>
      <c r="S1463" t="s">
        <v>166</v>
      </c>
      <c r="V1463" t="s">
        <v>167</v>
      </c>
      <c r="W1463">
        <v>1502020074</v>
      </c>
      <c r="X1463" t="s">
        <v>28</v>
      </c>
      <c r="Y1463" t="str">
        <f>VLOOKUP(W1463,Sheet4!$A$5:$B$72,2,0)</f>
        <v>MAX UG NEW</v>
      </c>
      <c r="Z1463">
        <v>87082900</v>
      </c>
      <c r="AA1463">
        <v>10</v>
      </c>
      <c r="AB1463" t="s">
        <v>159</v>
      </c>
      <c r="AC1463" s="24">
        <v>9397.5</v>
      </c>
      <c r="AD1463" t="s">
        <v>160</v>
      </c>
      <c r="AE1463" s="24">
        <v>93975</v>
      </c>
      <c r="AF1463">
        <v>0</v>
      </c>
      <c r="AG1463" s="24">
        <v>93975</v>
      </c>
      <c r="AH1463">
        <v>0</v>
      </c>
      <c r="AI1463">
        <v>0</v>
      </c>
      <c r="AJ1463">
        <v>0</v>
      </c>
      <c r="AK1463">
        <v>0</v>
      </c>
      <c r="AL1463" s="24">
        <v>93975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 s="24">
        <v>93975</v>
      </c>
      <c r="AV1463">
        <v>0</v>
      </c>
      <c r="AW1463">
        <v>0</v>
      </c>
      <c r="AX1463">
        <v>311000</v>
      </c>
      <c r="AY1463" t="s">
        <v>161</v>
      </c>
      <c r="AZ1463">
        <v>69.5</v>
      </c>
      <c r="BA1463">
        <v>69.5</v>
      </c>
      <c r="BB1463">
        <v>0</v>
      </c>
      <c r="BC1463" t="s">
        <v>176</v>
      </c>
      <c r="BD1463">
        <v>1509</v>
      </c>
      <c r="BE1463" t="s">
        <v>169</v>
      </c>
      <c r="BF1463" t="s">
        <v>163</v>
      </c>
      <c r="BG1463" t="s">
        <v>164</v>
      </c>
    </row>
    <row r="1464" spans="1:59">
      <c r="A1464">
        <v>1115</v>
      </c>
      <c r="B1464">
        <v>1115</v>
      </c>
      <c r="C1464">
        <v>10</v>
      </c>
      <c r="D1464">
        <v>2</v>
      </c>
      <c r="E1464" t="s">
        <v>152</v>
      </c>
      <c r="F1464" t="s">
        <v>153</v>
      </c>
      <c r="G1464" t="s">
        <v>154</v>
      </c>
      <c r="H1464">
        <v>1526007535</v>
      </c>
      <c r="I1464">
        <v>1000007835</v>
      </c>
      <c r="L1464" t="s">
        <v>367</v>
      </c>
      <c r="M1464">
        <v>5100001925</v>
      </c>
      <c r="N1464" t="s">
        <v>155</v>
      </c>
      <c r="O1464" t="s">
        <v>156</v>
      </c>
      <c r="P1464">
        <v>4110055667</v>
      </c>
      <c r="Q1464" t="s">
        <v>185</v>
      </c>
      <c r="R1464">
        <v>5000</v>
      </c>
      <c r="S1464" t="s">
        <v>166</v>
      </c>
      <c r="V1464" t="s">
        <v>167</v>
      </c>
      <c r="W1464">
        <v>1502040318</v>
      </c>
      <c r="X1464" t="s">
        <v>72</v>
      </c>
      <c r="Y1464" t="str">
        <f>VLOOKUP(W1464,Sheet4!$A$5:$B$72,2,0)</f>
        <v>Re Side Door</v>
      </c>
      <c r="Z1464">
        <v>87082900</v>
      </c>
      <c r="AA1464">
        <v>120</v>
      </c>
      <c r="AB1464" t="s">
        <v>159</v>
      </c>
      <c r="AC1464">
        <v>506.59</v>
      </c>
      <c r="AD1464" t="s">
        <v>160</v>
      </c>
      <c r="AE1464" s="24">
        <v>60790.8</v>
      </c>
      <c r="AF1464">
        <v>0</v>
      </c>
      <c r="AG1464" s="24">
        <v>60790.8</v>
      </c>
      <c r="AH1464">
        <v>0</v>
      </c>
      <c r="AI1464">
        <v>0</v>
      </c>
      <c r="AJ1464">
        <v>0</v>
      </c>
      <c r="AK1464">
        <v>0</v>
      </c>
      <c r="AL1464" s="24">
        <v>60790.8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 s="24">
        <v>60790.8</v>
      </c>
      <c r="AV1464">
        <v>0</v>
      </c>
      <c r="AW1464">
        <v>0</v>
      </c>
      <c r="AX1464">
        <v>311000</v>
      </c>
      <c r="AY1464" t="s">
        <v>161</v>
      </c>
      <c r="AZ1464">
        <v>2.27</v>
      </c>
      <c r="BA1464">
        <v>2.27</v>
      </c>
      <c r="BB1464">
        <v>0</v>
      </c>
      <c r="BC1464" t="s">
        <v>187</v>
      </c>
      <c r="BD1464">
        <v>1511</v>
      </c>
      <c r="BE1464" t="s">
        <v>174</v>
      </c>
      <c r="BF1464" t="s">
        <v>163</v>
      </c>
      <c r="BG1464" t="s">
        <v>164</v>
      </c>
    </row>
    <row r="1465" spans="1:59">
      <c r="A1465">
        <v>1115</v>
      </c>
      <c r="B1465">
        <v>1115</v>
      </c>
      <c r="C1465">
        <v>10</v>
      </c>
      <c r="D1465">
        <v>2</v>
      </c>
      <c r="E1465" t="s">
        <v>152</v>
      </c>
      <c r="F1465" t="s">
        <v>153</v>
      </c>
      <c r="G1465" t="s">
        <v>154</v>
      </c>
      <c r="H1465">
        <v>1526007534</v>
      </c>
      <c r="I1465">
        <v>1000007834</v>
      </c>
      <c r="L1465" t="s">
        <v>367</v>
      </c>
      <c r="M1465">
        <v>5100001925</v>
      </c>
      <c r="N1465" t="s">
        <v>155</v>
      </c>
      <c r="O1465" t="s">
        <v>156</v>
      </c>
      <c r="P1465">
        <v>4110055667</v>
      </c>
      <c r="Q1465" t="s">
        <v>185</v>
      </c>
      <c r="R1465">
        <v>5000</v>
      </c>
      <c r="S1465" t="s">
        <v>166</v>
      </c>
      <c r="V1465" t="s">
        <v>167</v>
      </c>
      <c r="W1465">
        <v>1502040317</v>
      </c>
      <c r="X1465" t="s">
        <v>73</v>
      </c>
      <c r="Y1465" t="str">
        <f>VLOOKUP(W1465,Sheet4!$A$5:$B$72,2,0)</f>
        <v>Re Side Door</v>
      </c>
      <c r="Z1465">
        <v>87082900</v>
      </c>
      <c r="AA1465">
        <v>120</v>
      </c>
      <c r="AB1465" t="s">
        <v>159</v>
      </c>
      <c r="AC1465">
        <v>506.59</v>
      </c>
      <c r="AD1465" t="s">
        <v>160</v>
      </c>
      <c r="AE1465" s="24">
        <v>60790.8</v>
      </c>
      <c r="AF1465">
        <v>0</v>
      </c>
      <c r="AG1465" s="24">
        <v>60790.8</v>
      </c>
      <c r="AH1465">
        <v>0</v>
      </c>
      <c r="AI1465">
        <v>0</v>
      </c>
      <c r="AJ1465">
        <v>0</v>
      </c>
      <c r="AK1465">
        <v>0</v>
      </c>
      <c r="AL1465" s="24">
        <v>60790.8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 s="24">
        <v>60790.8</v>
      </c>
      <c r="AV1465">
        <v>0</v>
      </c>
      <c r="AW1465">
        <v>0</v>
      </c>
      <c r="AX1465">
        <v>311000</v>
      </c>
      <c r="AY1465" t="s">
        <v>161</v>
      </c>
      <c r="AZ1465">
        <v>2.27</v>
      </c>
      <c r="BA1465">
        <v>2.27</v>
      </c>
      <c r="BB1465">
        <v>0</v>
      </c>
      <c r="BC1465" t="s">
        <v>186</v>
      </c>
      <c r="BD1465">
        <v>1511</v>
      </c>
      <c r="BE1465" t="s">
        <v>174</v>
      </c>
      <c r="BF1465" t="s">
        <v>163</v>
      </c>
      <c r="BG1465" t="s">
        <v>164</v>
      </c>
    </row>
    <row r="1466" spans="1:59">
      <c r="A1466">
        <v>1115</v>
      </c>
      <c r="B1466">
        <v>1115</v>
      </c>
      <c r="C1466">
        <v>10</v>
      </c>
      <c r="D1466">
        <v>2</v>
      </c>
      <c r="E1466" t="s">
        <v>152</v>
      </c>
      <c r="F1466" t="s">
        <v>376</v>
      </c>
      <c r="G1466" t="s">
        <v>377</v>
      </c>
      <c r="H1466">
        <v>1526007532</v>
      </c>
      <c r="I1466">
        <v>1000007833</v>
      </c>
      <c r="L1466" t="s">
        <v>367</v>
      </c>
      <c r="M1466">
        <v>5100001603</v>
      </c>
      <c r="N1466" t="s">
        <v>155</v>
      </c>
      <c r="O1466" t="s">
        <v>156</v>
      </c>
      <c r="P1466">
        <v>4110025468</v>
      </c>
      <c r="Q1466" t="s">
        <v>165</v>
      </c>
      <c r="R1466">
        <v>5000</v>
      </c>
      <c r="S1466" t="s">
        <v>166</v>
      </c>
      <c r="V1466" t="s">
        <v>167</v>
      </c>
      <c r="W1466">
        <v>1502020102</v>
      </c>
      <c r="X1466" t="s">
        <v>58</v>
      </c>
      <c r="Y1466" t="str">
        <f>VLOOKUP(W1466,Sheet4!$A$5:$B$72,2,0)</f>
        <v>MAXIMA HD</v>
      </c>
      <c r="Z1466">
        <v>87082900</v>
      </c>
      <c r="AA1466">
        <v>-8</v>
      </c>
      <c r="AB1466" t="s">
        <v>159</v>
      </c>
      <c r="AC1466" s="24">
        <v>8593.51</v>
      </c>
      <c r="AD1466" t="s">
        <v>160</v>
      </c>
      <c r="AE1466" s="24">
        <v>-68748.08</v>
      </c>
      <c r="AF1466">
        <v>0</v>
      </c>
      <c r="AG1466" s="24">
        <v>-68748.08</v>
      </c>
      <c r="AH1466">
        <v>0</v>
      </c>
      <c r="AI1466">
        <v>0</v>
      </c>
      <c r="AJ1466">
        <v>0</v>
      </c>
      <c r="AK1466">
        <v>0</v>
      </c>
      <c r="AL1466" s="24">
        <v>-68748.08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 s="24">
        <v>-68748.08</v>
      </c>
      <c r="AV1466">
        <v>0</v>
      </c>
      <c r="AW1466">
        <v>0</v>
      </c>
      <c r="AX1466">
        <v>311000</v>
      </c>
      <c r="AY1466" t="s">
        <v>161</v>
      </c>
      <c r="AZ1466">
        <v>93.34</v>
      </c>
      <c r="BA1466">
        <v>75.430000000000007</v>
      </c>
      <c r="BB1466">
        <v>17.91</v>
      </c>
      <c r="BC1466" t="s">
        <v>168</v>
      </c>
      <c r="BD1466">
        <v>1509</v>
      </c>
      <c r="BE1466" t="s">
        <v>169</v>
      </c>
      <c r="BF1466" t="s">
        <v>163</v>
      </c>
      <c r="BG1466" t="s">
        <v>164</v>
      </c>
    </row>
    <row r="1467" spans="1:59">
      <c r="A1467">
        <v>1115</v>
      </c>
      <c r="B1467">
        <v>1115</v>
      </c>
      <c r="C1467">
        <v>10</v>
      </c>
      <c r="D1467">
        <v>2</v>
      </c>
      <c r="E1467" t="s">
        <v>152</v>
      </c>
      <c r="F1467" t="s">
        <v>153</v>
      </c>
      <c r="G1467" t="s">
        <v>154</v>
      </c>
      <c r="H1467">
        <v>1526007530</v>
      </c>
      <c r="I1467">
        <v>1000007831</v>
      </c>
      <c r="L1467" t="s">
        <v>367</v>
      </c>
      <c r="M1467">
        <v>5100001552</v>
      </c>
      <c r="N1467" t="s">
        <v>155</v>
      </c>
      <c r="O1467" t="s">
        <v>156</v>
      </c>
      <c r="P1467">
        <v>4110023205</v>
      </c>
      <c r="Q1467" t="s">
        <v>378</v>
      </c>
      <c r="R1467">
        <v>5000</v>
      </c>
      <c r="S1467" t="s">
        <v>166</v>
      </c>
      <c r="V1467" t="s">
        <v>167</v>
      </c>
      <c r="W1467">
        <v>1502040233</v>
      </c>
      <c r="X1467" t="s">
        <v>37</v>
      </c>
      <c r="Y1467" t="str">
        <f>VLOOKUP(W1467,Sheet4!$A$5:$B$72,2,0)</f>
        <v>FRONT MUDGAURD</v>
      </c>
      <c r="Z1467">
        <v>87082900</v>
      </c>
      <c r="AA1467">
        <v>500</v>
      </c>
      <c r="AB1467" t="s">
        <v>159</v>
      </c>
      <c r="AC1467">
        <v>317.45999999999998</v>
      </c>
      <c r="AD1467" t="s">
        <v>160</v>
      </c>
      <c r="AE1467" s="24">
        <v>158730</v>
      </c>
      <c r="AF1467">
        <v>0</v>
      </c>
      <c r="AG1467" s="24">
        <v>158730</v>
      </c>
      <c r="AH1467">
        <v>0</v>
      </c>
      <c r="AI1467">
        <v>0</v>
      </c>
      <c r="AJ1467">
        <v>0</v>
      </c>
      <c r="AK1467">
        <v>0</v>
      </c>
      <c r="AL1467" s="24">
        <v>158730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 s="24">
        <v>158730</v>
      </c>
      <c r="AV1467">
        <v>0</v>
      </c>
      <c r="AW1467">
        <v>0</v>
      </c>
      <c r="AX1467">
        <v>311000</v>
      </c>
      <c r="AY1467" t="s">
        <v>161</v>
      </c>
      <c r="AZ1467">
        <v>3.4</v>
      </c>
      <c r="BA1467">
        <v>2</v>
      </c>
      <c r="BB1467">
        <v>1.4</v>
      </c>
      <c r="BC1467" t="s">
        <v>238</v>
      </c>
      <c r="BD1467">
        <v>1511</v>
      </c>
      <c r="BE1467" t="s">
        <v>174</v>
      </c>
      <c r="BF1467" t="s">
        <v>163</v>
      </c>
      <c r="BG1467" t="s">
        <v>164</v>
      </c>
    </row>
    <row r="1468" spans="1:59">
      <c r="A1468">
        <v>1115</v>
      </c>
      <c r="B1468">
        <v>1115</v>
      </c>
      <c r="C1468">
        <v>10</v>
      </c>
      <c r="D1468">
        <v>2</v>
      </c>
      <c r="E1468" t="s">
        <v>152</v>
      </c>
      <c r="F1468" t="s">
        <v>153</v>
      </c>
      <c r="G1468" t="s">
        <v>154</v>
      </c>
      <c r="H1468">
        <v>1526007529</v>
      </c>
      <c r="I1468">
        <v>1000007830</v>
      </c>
      <c r="L1468" t="s">
        <v>367</v>
      </c>
      <c r="M1468">
        <v>5100001946</v>
      </c>
      <c r="N1468" t="s">
        <v>155</v>
      </c>
      <c r="O1468" t="s">
        <v>156</v>
      </c>
      <c r="P1468">
        <v>4110063010</v>
      </c>
      <c r="Q1468" t="s">
        <v>345</v>
      </c>
      <c r="R1468">
        <v>5000</v>
      </c>
      <c r="S1468" t="s">
        <v>166</v>
      </c>
      <c r="V1468" t="s">
        <v>167</v>
      </c>
      <c r="W1468">
        <v>1502040308</v>
      </c>
      <c r="X1468" t="s">
        <v>346</v>
      </c>
      <c r="Y1468" t="str">
        <f>VLOOKUP(W1468,Sheet4!$A$5:$B$72,2,0)</f>
        <v>FRONT MUDGAURD</v>
      </c>
      <c r="Z1468">
        <v>87082900</v>
      </c>
      <c r="AA1468">
        <v>65</v>
      </c>
      <c r="AB1468" t="s">
        <v>159</v>
      </c>
      <c r="AC1468">
        <v>427.17</v>
      </c>
      <c r="AD1468" t="s">
        <v>160</v>
      </c>
      <c r="AE1468" s="24">
        <v>27766.05</v>
      </c>
      <c r="AF1468">
        <v>0</v>
      </c>
      <c r="AG1468" s="24">
        <v>27766.05</v>
      </c>
      <c r="AH1468">
        <v>0</v>
      </c>
      <c r="AI1468">
        <v>0</v>
      </c>
      <c r="AJ1468">
        <v>0</v>
      </c>
      <c r="AK1468">
        <v>0</v>
      </c>
      <c r="AL1468" s="24">
        <v>27766.05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 s="24">
        <v>27766.05</v>
      </c>
      <c r="AV1468">
        <v>0</v>
      </c>
      <c r="AW1468">
        <v>0</v>
      </c>
      <c r="AX1468">
        <v>311000</v>
      </c>
      <c r="AY1468" t="s">
        <v>161</v>
      </c>
      <c r="AZ1468">
        <v>2.504</v>
      </c>
      <c r="BA1468">
        <v>2.5</v>
      </c>
      <c r="BB1468">
        <v>4.0000000000000001E-3</v>
      </c>
      <c r="BC1468" t="s">
        <v>347</v>
      </c>
      <c r="BD1468">
        <v>1511</v>
      </c>
      <c r="BE1468" t="s">
        <v>174</v>
      </c>
      <c r="BF1468" t="s">
        <v>163</v>
      </c>
      <c r="BG1468" t="s">
        <v>164</v>
      </c>
    </row>
    <row r="1469" spans="1:59">
      <c r="A1469">
        <v>1115</v>
      </c>
      <c r="B1469">
        <v>1115</v>
      </c>
      <c r="C1469">
        <v>10</v>
      </c>
      <c r="D1469">
        <v>2</v>
      </c>
      <c r="E1469" t="s">
        <v>152</v>
      </c>
      <c r="F1469" t="s">
        <v>153</v>
      </c>
      <c r="G1469" t="s">
        <v>154</v>
      </c>
      <c r="H1469">
        <v>1526007528</v>
      </c>
      <c r="I1469">
        <v>1000007829</v>
      </c>
      <c r="L1469" t="s">
        <v>367</v>
      </c>
      <c r="M1469">
        <v>5100001099</v>
      </c>
      <c r="N1469" t="s">
        <v>155</v>
      </c>
      <c r="O1469" t="s">
        <v>156</v>
      </c>
      <c r="P1469">
        <v>4110004650</v>
      </c>
      <c r="Q1469" t="s">
        <v>177</v>
      </c>
      <c r="R1469">
        <v>5000</v>
      </c>
      <c r="S1469" t="s">
        <v>166</v>
      </c>
      <c r="V1469" t="s">
        <v>167</v>
      </c>
      <c r="W1469">
        <v>1502040133</v>
      </c>
      <c r="X1469" t="s">
        <v>228</v>
      </c>
      <c r="Y1469" t="str">
        <f>VLOOKUP(W1469,Sheet4!$A$5:$B$72,2,0)</f>
        <v>REAR COVER</v>
      </c>
      <c r="Z1469">
        <v>87082900</v>
      </c>
      <c r="AA1469">
        <v>55</v>
      </c>
      <c r="AB1469" t="s">
        <v>159</v>
      </c>
      <c r="AC1469">
        <v>164.49</v>
      </c>
      <c r="AD1469" t="s">
        <v>160</v>
      </c>
      <c r="AE1469" s="24">
        <v>9046.9500000000007</v>
      </c>
      <c r="AF1469">
        <v>0</v>
      </c>
      <c r="AG1469" s="24">
        <v>9046.9500000000007</v>
      </c>
      <c r="AH1469">
        <v>0</v>
      </c>
      <c r="AI1469">
        <v>0</v>
      </c>
      <c r="AJ1469">
        <v>0</v>
      </c>
      <c r="AK1469">
        <v>0</v>
      </c>
      <c r="AL1469" s="24">
        <v>9046.9500000000007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 s="24">
        <v>9046.9500000000007</v>
      </c>
      <c r="AV1469">
        <v>0</v>
      </c>
      <c r="AW1469">
        <v>0</v>
      </c>
      <c r="AX1469">
        <v>311000</v>
      </c>
      <c r="AY1469" t="s">
        <v>161</v>
      </c>
      <c r="AZ1469">
        <v>1.248</v>
      </c>
      <c r="BA1469">
        <v>1.248</v>
      </c>
      <c r="BB1469">
        <v>0</v>
      </c>
      <c r="BC1469" t="s">
        <v>229</v>
      </c>
      <c r="BD1469">
        <v>1511</v>
      </c>
      <c r="BE1469" t="s">
        <v>174</v>
      </c>
      <c r="BF1469" t="s">
        <v>163</v>
      </c>
      <c r="BG1469" t="s">
        <v>164</v>
      </c>
    </row>
    <row r="1470" spans="1:59">
      <c r="A1470">
        <v>1115</v>
      </c>
      <c r="B1470">
        <v>1115</v>
      </c>
      <c r="C1470">
        <v>10</v>
      </c>
      <c r="D1470">
        <v>2</v>
      </c>
      <c r="E1470" t="s">
        <v>152</v>
      </c>
      <c r="F1470" t="s">
        <v>153</v>
      </c>
      <c r="G1470" t="s">
        <v>154</v>
      </c>
      <c r="H1470">
        <v>1526007527</v>
      </c>
      <c r="I1470">
        <v>1000007828</v>
      </c>
      <c r="L1470" t="s">
        <v>367</v>
      </c>
      <c r="M1470">
        <v>5100001099</v>
      </c>
      <c r="N1470" t="s">
        <v>155</v>
      </c>
      <c r="O1470" t="s">
        <v>156</v>
      </c>
      <c r="P1470">
        <v>4110004650</v>
      </c>
      <c r="Q1470" t="s">
        <v>177</v>
      </c>
      <c r="R1470">
        <v>5000</v>
      </c>
      <c r="S1470" t="s">
        <v>166</v>
      </c>
      <c r="V1470" t="s">
        <v>167</v>
      </c>
      <c r="W1470">
        <v>1502040132</v>
      </c>
      <c r="X1470" t="s">
        <v>230</v>
      </c>
      <c r="Y1470" t="str">
        <f>VLOOKUP(W1470,Sheet4!$A$5:$B$72,2,0)</f>
        <v>REAR COVER</v>
      </c>
      <c r="Z1470">
        <v>87082900</v>
      </c>
      <c r="AA1470">
        <v>55</v>
      </c>
      <c r="AB1470" t="s">
        <v>159</v>
      </c>
      <c r="AC1470">
        <v>159.41</v>
      </c>
      <c r="AD1470" t="s">
        <v>160</v>
      </c>
      <c r="AE1470" s="24">
        <v>8767.5499999999993</v>
      </c>
      <c r="AF1470">
        <v>0</v>
      </c>
      <c r="AG1470" s="24">
        <v>8767.5499999999993</v>
      </c>
      <c r="AH1470">
        <v>0</v>
      </c>
      <c r="AI1470">
        <v>0</v>
      </c>
      <c r="AJ1470">
        <v>0</v>
      </c>
      <c r="AK1470">
        <v>0</v>
      </c>
      <c r="AL1470" s="24">
        <v>8767.5499999999993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 s="24">
        <v>8767.5499999999993</v>
      </c>
      <c r="AV1470">
        <v>0</v>
      </c>
      <c r="AW1470">
        <v>0</v>
      </c>
      <c r="AX1470">
        <v>311000</v>
      </c>
      <c r="AY1470" t="s">
        <v>161</v>
      </c>
      <c r="AZ1470">
        <v>1.1659999999999999</v>
      </c>
      <c r="BA1470">
        <v>1.1659999999999999</v>
      </c>
      <c r="BB1470">
        <v>0</v>
      </c>
      <c r="BC1470" t="s">
        <v>231</v>
      </c>
      <c r="BD1470">
        <v>1511</v>
      </c>
      <c r="BE1470" t="s">
        <v>174</v>
      </c>
      <c r="BF1470" t="s">
        <v>163</v>
      </c>
      <c r="BG1470" t="s">
        <v>164</v>
      </c>
    </row>
    <row r="1471" spans="1:59">
      <c r="A1471">
        <v>1115</v>
      </c>
      <c r="B1471">
        <v>1115</v>
      </c>
      <c r="C1471">
        <v>10</v>
      </c>
      <c r="D1471">
        <v>2</v>
      </c>
      <c r="E1471" t="s">
        <v>152</v>
      </c>
      <c r="F1471" t="s">
        <v>153</v>
      </c>
      <c r="G1471" t="s">
        <v>154</v>
      </c>
      <c r="H1471">
        <v>1526007525</v>
      </c>
      <c r="I1471">
        <v>1000007826</v>
      </c>
      <c r="L1471" t="s">
        <v>367</v>
      </c>
      <c r="M1471">
        <v>5100001603</v>
      </c>
      <c r="N1471" t="s">
        <v>155</v>
      </c>
      <c r="O1471" t="s">
        <v>156</v>
      </c>
      <c r="P1471">
        <v>4110025468</v>
      </c>
      <c r="Q1471" t="s">
        <v>165</v>
      </c>
      <c r="R1471">
        <v>5000</v>
      </c>
      <c r="S1471" t="s">
        <v>166</v>
      </c>
      <c r="V1471" t="s">
        <v>167</v>
      </c>
      <c r="W1471">
        <v>1502020102</v>
      </c>
      <c r="X1471" t="s">
        <v>58</v>
      </c>
      <c r="Y1471" t="str">
        <f>VLOOKUP(W1471,Sheet4!$A$5:$B$72,2,0)</f>
        <v>MAXIMA HD</v>
      </c>
      <c r="Z1471">
        <v>87082900</v>
      </c>
      <c r="AA1471">
        <v>8</v>
      </c>
      <c r="AB1471" t="s">
        <v>159</v>
      </c>
      <c r="AC1471" s="24">
        <v>8593.51</v>
      </c>
      <c r="AD1471" t="s">
        <v>160</v>
      </c>
      <c r="AE1471" s="24">
        <v>68748.08</v>
      </c>
      <c r="AF1471">
        <v>0</v>
      </c>
      <c r="AG1471" s="24">
        <v>68748.08</v>
      </c>
      <c r="AH1471">
        <v>0</v>
      </c>
      <c r="AI1471">
        <v>0</v>
      </c>
      <c r="AJ1471">
        <v>0</v>
      </c>
      <c r="AK1471">
        <v>0</v>
      </c>
      <c r="AL1471" s="24">
        <v>68748.08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 s="24">
        <v>68748.08</v>
      </c>
      <c r="AV1471">
        <v>0</v>
      </c>
      <c r="AW1471">
        <v>0</v>
      </c>
      <c r="AX1471">
        <v>311000</v>
      </c>
      <c r="AY1471" t="s">
        <v>161</v>
      </c>
      <c r="AZ1471">
        <v>93.34</v>
      </c>
      <c r="BA1471">
        <v>75.430000000000007</v>
      </c>
      <c r="BB1471">
        <v>17.91</v>
      </c>
      <c r="BC1471" t="s">
        <v>168</v>
      </c>
      <c r="BD1471">
        <v>1509</v>
      </c>
      <c r="BE1471" t="s">
        <v>169</v>
      </c>
      <c r="BF1471" t="s">
        <v>163</v>
      </c>
      <c r="BG1471" t="s">
        <v>164</v>
      </c>
    </row>
    <row r="1472" spans="1:59">
      <c r="A1472">
        <v>1115</v>
      </c>
      <c r="B1472">
        <v>1115</v>
      </c>
      <c r="C1472">
        <v>10</v>
      </c>
      <c r="D1472">
        <v>2</v>
      </c>
      <c r="E1472" t="s">
        <v>152</v>
      </c>
      <c r="F1472" t="s">
        <v>153</v>
      </c>
      <c r="G1472" t="s">
        <v>154</v>
      </c>
      <c r="H1472">
        <v>1526007590</v>
      </c>
      <c r="I1472">
        <v>1000007893</v>
      </c>
      <c r="L1472" t="s">
        <v>367</v>
      </c>
      <c r="M1472">
        <v>5100001227</v>
      </c>
      <c r="N1472" t="s">
        <v>155</v>
      </c>
      <c r="O1472" t="s">
        <v>156</v>
      </c>
      <c r="P1472">
        <v>4110011319</v>
      </c>
      <c r="Q1472" t="s">
        <v>175</v>
      </c>
      <c r="R1472">
        <v>5000</v>
      </c>
      <c r="S1472" t="s">
        <v>166</v>
      </c>
      <c r="V1472" t="s">
        <v>167</v>
      </c>
      <c r="W1472">
        <v>1502020074</v>
      </c>
      <c r="X1472" t="s">
        <v>28</v>
      </c>
      <c r="Y1472" t="str">
        <f>VLOOKUP(W1472,Sheet4!$A$5:$B$72,2,0)</f>
        <v>MAX UG NEW</v>
      </c>
      <c r="Z1472">
        <v>87082900</v>
      </c>
      <c r="AA1472">
        <v>10</v>
      </c>
      <c r="AB1472" t="s">
        <v>159</v>
      </c>
      <c r="AC1472" s="24">
        <v>9397.5</v>
      </c>
      <c r="AD1472" t="s">
        <v>160</v>
      </c>
      <c r="AE1472" s="24">
        <v>93975</v>
      </c>
      <c r="AF1472">
        <v>0</v>
      </c>
      <c r="AG1472" s="24">
        <v>93975</v>
      </c>
      <c r="AH1472">
        <v>0</v>
      </c>
      <c r="AI1472">
        <v>0</v>
      </c>
      <c r="AJ1472">
        <v>0</v>
      </c>
      <c r="AK1472">
        <v>0</v>
      </c>
      <c r="AL1472" s="24">
        <v>93975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 s="24">
        <v>93975</v>
      </c>
      <c r="AV1472">
        <v>0</v>
      </c>
      <c r="AW1472">
        <v>0</v>
      </c>
      <c r="AX1472">
        <v>311000</v>
      </c>
      <c r="AY1472" t="s">
        <v>161</v>
      </c>
      <c r="AZ1472">
        <v>69.5</v>
      </c>
      <c r="BA1472">
        <v>69.5</v>
      </c>
      <c r="BB1472">
        <v>0</v>
      </c>
      <c r="BC1472" t="s">
        <v>176</v>
      </c>
      <c r="BD1472">
        <v>1509</v>
      </c>
      <c r="BE1472" t="s">
        <v>169</v>
      </c>
      <c r="BF1472" t="s">
        <v>163</v>
      </c>
      <c r="BG1472" t="s">
        <v>164</v>
      </c>
    </row>
    <row r="1473" spans="1:59">
      <c r="A1473">
        <v>1115</v>
      </c>
      <c r="B1473">
        <v>1115</v>
      </c>
      <c r="C1473">
        <v>10</v>
      </c>
      <c r="D1473">
        <v>2</v>
      </c>
      <c r="E1473" t="s">
        <v>152</v>
      </c>
      <c r="F1473" t="s">
        <v>153</v>
      </c>
      <c r="G1473" t="s">
        <v>154</v>
      </c>
      <c r="H1473">
        <v>1526007589</v>
      </c>
      <c r="I1473">
        <v>1000007892</v>
      </c>
      <c r="L1473" t="s">
        <v>367</v>
      </c>
      <c r="M1473">
        <v>5100001227</v>
      </c>
      <c r="N1473" t="s">
        <v>155</v>
      </c>
      <c r="O1473" t="s">
        <v>156</v>
      </c>
      <c r="P1473">
        <v>4110011319</v>
      </c>
      <c r="Q1473" t="s">
        <v>175</v>
      </c>
      <c r="R1473">
        <v>5000</v>
      </c>
      <c r="S1473" t="s">
        <v>166</v>
      </c>
      <c r="V1473" t="s">
        <v>167</v>
      </c>
      <c r="W1473">
        <v>1502020074</v>
      </c>
      <c r="X1473" t="s">
        <v>28</v>
      </c>
      <c r="Y1473" t="str">
        <f>VLOOKUP(W1473,Sheet4!$A$5:$B$72,2,0)</f>
        <v>MAX UG NEW</v>
      </c>
      <c r="Z1473">
        <v>87082900</v>
      </c>
      <c r="AA1473">
        <v>10</v>
      </c>
      <c r="AB1473" t="s">
        <v>159</v>
      </c>
      <c r="AC1473" s="24">
        <v>9397.5</v>
      </c>
      <c r="AD1473" t="s">
        <v>160</v>
      </c>
      <c r="AE1473" s="24">
        <v>93975</v>
      </c>
      <c r="AF1473">
        <v>0</v>
      </c>
      <c r="AG1473" s="24">
        <v>93975</v>
      </c>
      <c r="AH1473">
        <v>0</v>
      </c>
      <c r="AI1473">
        <v>0</v>
      </c>
      <c r="AJ1473">
        <v>0</v>
      </c>
      <c r="AK1473">
        <v>0</v>
      </c>
      <c r="AL1473" s="24">
        <v>93975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 s="24">
        <v>93975</v>
      </c>
      <c r="AV1473">
        <v>0</v>
      </c>
      <c r="AW1473">
        <v>0</v>
      </c>
      <c r="AX1473">
        <v>311000</v>
      </c>
      <c r="AY1473" t="s">
        <v>161</v>
      </c>
      <c r="AZ1473">
        <v>69.5</v>
      </c>
      <c r="BA1473">
        <v>69.5</v>
      </c>
      <c r="BB1473">
        <v>0</v>
      </c>
      <c r="BC1473" t="s">
        <v>176</v>
      </c>
      <c r="BD1473">
        <v>1509</v>
      </c>
      <c r="BE1473" t="s">
        <v>169</v>
      </c>
      <c r="BF1473" t="s">
        <v>163</v>
      </c>
      <c r="BG1473" t="s">
        <v>164</v>
      </c>
    </row>
    <row r="1474" spans="1:59">
      <c r="A1474">
        <v>1115</v>
      </c>
      <c r="B1474">
        <v>1115</v>
      </c>
      <c r="C1474">
        <v>10</v>
      </c>
      <c r="D1474">
        <v>2</v>
      </c>
      <c r="E1474" t="s">
        <v>152</v>
      </c>
      <c r="F1474" t="s">
        <v>153</v>
      </c>
      <c r="G1474" t="s">
        <v>154</v>
      </c>
      <c r="H1474">
        <v>1526007588</v>
      </c>
      <c r="I1474">
        <v>1000007891</v>
      </c>
      <c r="L1474" t="s">
        <v>367</v>
      </c>
      <c r="M1474">
        <v>5100001227</v>
      </c>
      <c r="N1474" t="s">
        <v>155</v>
      </c>
      <c r="O1474" t="s">
        <v>156</v>
      </c>
      <c r="P1474">
        <v>4110011319</v>
      </c>
      <c r="Q1474" t="s">
        <v>175</v>
      </c>
      <c r="R1474">
        <v>5000</v>
      </c>
      <c r="S1474" t="s">
        <v>166</v>
      </c>
      <c r="V1474" t="s">
        <v>167</v>
      </c>
      <c r="W1474">
        <v>1502020074</v>
      </c>
      <c r="X1474" t="s">
        <v>28</v>
      </c>
      <c r="Y1474" t="str">
        <f>VLOOKUP(W1474,Sheet4!$A$5:$B$72,2,0)</f>
        <v>MAX UG NEW</v>
      </c>
      <c r="Z1474">
        <v>87082900</v>
      </c>
      <c r="AA1474">
        <v>10</v>
      </c>
      <c r="AB1474" t="s">
        <v>159</v>
      </c>
      <c r="AC1474" s="24">
        <v>9397.5</v>
      </c>
      <c r="AD1474" t="s">
        <v>160</v>
      </c>
      <c r="AE1474" s="24">
        <v>93975</v>
      </c>
      <c r="AF1474">
        <v>0</v>
      </c>
      <c r="AG1474" s="24">
        <v>93975</v>
      </c>
      <c r="AH1474">
        <v>0</v>
      </c>
      <c r="AI1474">
        <v>0</v>
      </c>
      <c r="AJ1474">
        <v>0</v>
      </c>
      <c r="AK1474">
        <v>0</v>
      </c>
      <c r="AL1474" s="24">
        <v>93975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 s="24">
        <v>93975</v>
      </c>
      <c r="AV1474">
        <v>0</v>
      </c>
      <c r="AW1474">
        <v>0</v>
      </c>
      <c r="AX1474">
        <v>311000</v>
      </c>
      <c r="AY1474" t="s">
        <v>161</v>
      </c>
      <c r="AZ1474">
        <v>69.5</v>
      </c>
      <c r="BA1474">
        <v>69.5</v>
      </c>
      <c r="BB1474">
        <v>0</v>
      </c>
      <c r="BC1474" t="s">
        <v>176</v>
      </c>
      <c r="BD1474">
        <v>1509</v>
      </c>
      <c r="BE1474" t="s">
        <v>169</v>
      </c>
      <c r="BF1474" t="s">
        <v>163</v>
      </c>
      <c r="BG1474" t="s">
        <v>164</v>
      </c>
    </row>
    <row r="1475" spans="1:59">
      <c r="A1475">
        <v>1115</v>
      </c>
      <c r="B1475">
        <v>1115</v>
      </c>
      <c r="C1475">
        <v>10</v>
      </c>
      <c r="D1475">
        <v>2</v>
      </c>
      <c r="E1475" t="s">
        <v>152</v>
      </c>
      <c r="F1475" t="s">
        <v>153</v>
      </c>
      <c r="G1475" t="s">
        <v>154</v>
      </c>
      <c r="H1475">
        <v>1526007587</v>
      </c>
      <c r="I1475">
        <v>1000007890</v>
      </c>
      <c r="L1475" t="s">
        <v>367</v>
      </c>
      <c r="M1475">
        <v>5100001227</v>
      </c>
      <c r="N1475" t="s">
        <v>155</v>
      </c>
      <c r="O1475" t="s">
        <v>156</v>
      </c>
      <c r="P1475">
        <v>4110011319</v>
      </c>
      <c r="Q1475" t="s">
        <v>175</v>
      </c>
      <c r="R1475">
        <v>5000</v>
      </c>
      <c r="S1475" t="s">
        <v>166</v>
      </c>
      <c r="V1475" t="s">
        <v>167</v>
      </c>
      <c r="W1475">
        <v>1502020074</v>
      </c>
      <c r="X1475" t="s">
        <v>28</v>
      </c>
      <c r="Y1475" t="str">
        <f>VLOOKUP(W1475,Sheet4!$A$5:$B$72,2,0)</f>
        <v>MAX UG NEW</v>
      </c>
      <c r="Z1475">
        <v>87082900</v>
      </c>
      <c r="AA1475">
        <v>10</v>
      </c>
      <c r="AB1475" t="s">
        <v>159</v>
      </c>
      <c r="AC1475" s="24">
        <v>9397.5</v>
      </c>
      <c r="AD1475" t="s">
        <v>160</v>
      </c>
      <c r="AE1475" s="24">
        <v>93975</v>
      </c>
      <c r="AF1475">
        <v>0</v>
      </c>
      <c r="AG1475" s="24">
        <v>93975</v>
      </c>
      <c r="AH1475">
        <v>0</v>
      </c>
      <c r="AI1475">
        <v>0</v>
      </c>
      <c r="AJ1475">
        <v>0</v>
      </c>
      <c r="AK1475">
        <v>0</v>
      </c>
      <c r="AL1475" s="24">
        <v>93975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 s="24">
        <v>93975</v>
      </c>
      <c r="AV1475">
        <v>0</v>
      </c>
      <c r="AW1475">
        <v>0</v>
      </c>
      <c r="AX1475">
        <v>311000</v>
      </c>
      <c r="AY1475" t="s">
        <v>161</v>
      </c>
      <c r="AZ1475">
        <v>69.5</v>
      </c>
      <c r="BA1475">
        <v>69.5</v>
      </c>
      <c r="BB1475">
        <v>0</v>
      </c>
      <c r="BC1475" t="s">
        <v>176</v>
      </c>
      <c r="BD1475">
        <v>1509</v>
      </c>
      <c r="BE1475" t="s">
        <v>169</v>
      </c>
      <c r="BF1475" t="s">
        <v>163</v>
      </c>
      <c r="BG1475" t="s">
        <v>164</v>
      </c>
    </row>
    <row r="1476" spans="1:59">
      <c r="A1476">
        <v>1115</v>
      </c>
      <c r="B1476">
        <v>1115</v>
      </c>
      <c r="C1476">
        <v>10</v>
      </c>
      <c r="D1476">
        <v>2</v>
      </c>
      <c r="E1476" t="s">
        <v>152</v>
      </c>
      <c r="F1476" t="s">
        <v>153</v>
      </c>
      <c r="G1476" t="s">
        <v>154</v>
      </c>
      <c r="H1476">
        <v>1526007586</v>
      </c>
      <c r="I1476">
        <v>1000007889</v>
      </c>
      <c r="L1476" t="s">
        <v>367</v>
      </c>
      <c r="M1476">
        <v>5100001227</v>
      </c>
      <c r="N1476" t="s">
        <v>155</v>
      </c>
      <c r="O1476" t="s">
        <v>156</v>
      </c>
      <c r="P1476">
        <v>4110011319</v>
      </c>
      <c r="Q1476" t="s">
        <v>175</v>
      </c>
      <c r="R1476">
        <v>5000</v>
      </c>
      <c r="S1476" t="s">
        <v>166</v>
      </c>
      <c r="V1476" t="s">
        <v>167</v>
      </c>
      <c r="W1476">
        <v>1502020074</v>
      </c>
      <c r="X1476" t="s">
        <v>28</v>
      </c>
      <c r="Y1476" t="str">
        <f>VLOOKUP(W1476,Sheet4!$A$5:$B$72,2,0)</f>
        <v>MAX UG NEW</v>
      </c>
      <c r="Z1476">
        <v>87082900</v>
      </c>
      <c r="AA1476">
        <v>10</v>
      </c>
      <c r="AB1476" t="s">
        <v>159</v>
      </c>
      <c r="AC1476" s="24">
        <v>9397.5</v>
      </c>
      <c r="AD1476" t="s">
        <v>160</v>
      </c>
      <c r="AE1476" s="24">
        <v>93975</v>
      </c>
      <c r="AF1476">
        <v>0</v>
      </c>
      <c r="AG1476" s="24">
        <v>93975</v>
      </c>
      <c r="AH1476">
        <v>0</v>
      </c>
      <c r="AI1476">
        <v>0</v>
      </c>
      <c r="AJ1476">
        <v>0</v>
      </c>
      <c r="AK1476">
        <v>0</v>
      </c>
      <c r="AL1476" s="24">
        <v>93975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 s="24">
        <v>93975</v>
      </c>
      <c r="AV1476">
        <v>0</v>
      </c>
      <c r="AW1476">
        <v>0</v>
      </c>
      <c r="AX1476">
        <v>311000</v>
      </c>
      <c r="AY1476" t="s">
        <v>161</v>
      </c>
      <c r="AZ1476">
        <v>69.5</v>
      </c>
      <c r="BA1476">
        <v>69.5</v>
      </c>
      <c r="BB1476">
        <v>0</v>
      </c>
      <c r="BC1476" t="s">
        <v>176</v>
      </c>
      <c r="BD1476">
        <v>1509</v>
      </c>
      <c r="BE1476" t="s">
        <v>169</v>
      </c>
      <c r="BF1476" t="s">
        <v>163</v>
      </c>
      <c r="BG1476" t="s">
        <v>164</v>
      </c>
    </row>
    <row r="1477" spans="1:59">
      <c r="A1477">
        <v>1115</v>
      </c>
      <c r="B1477">
        <v>1115</v>
      </c>
      <c r="C1477">
        <v>10</v>
      </c>
      <c r="D1477">
        <v>2</v>
      </c>
      <c r="E1477" t="s">
        <v>152</v>
      </c>
      <c r="F1477" t="s">
        <v>153</v>
      </c>
      <c r="G1477" t="s">
        <v>154</v>
      </c>
      <c r="H1477">
        <v>1526007585</v>
      </c>
      <c r="I1477">
        <v>1000007888</v>
      </c>
      <c r="L1477" t="s">
        <v>367</v>
      </c>
      <c r="M1477">
        <v>5100001949</v>
      </c>
      <c r="N1477" t="s">
        <v>155</v>
      </c>
      <c r="O1477" t="s">
        <v>156</v>
      </c>
      <c r="P1477">
        <v>4110063766</v>
      </c>
      <c r="Q1477" t="s">
        <v>252</v>
      </c>
      <c r="R1477">
        <v>5000</v>
      </c>
      <c r="S1477" t="s">
        <v>166</v>
      </c>
      <c r="V1477" t="s">
        <v>167</v>
      </c>
      <c r="W1477">
        <v>1502040322</v>
      </c>
      <c r="X1477" t="s">
        <v>250</v>
      </c>
      <c r="Y1477" t="str">
        <f>VLOOKUP(W1477,Sheet4!$A$5:$B$72,2,0)</f>
        <v>DASH BOARD</v>
      </c>
      <c r="Z1477">
        <v>87082900</v>
      </c>
      <c r="AA1477">
        <v>90</v>
      </c>
      <c r="AB1477" t="s">
        <v>159</v>
      </c>
      <c r="AC1477">
        <v>291.27999999999997</v>
      </c>
      <c r="AD1477" t="s">
        <v>160</v>
      </c>
      <c r="AE1477" s="24">
        <v>26215.200000000001</v>
      </c>
      <c r="AF1477">
        <v>0</v>
      </c>
      <c r="AG1477" s="24">
        <v>26215.200000000001</v>
      </c>
      <c r="AH1477">
        <v>0</v>
      </c>
      <c r="AI1477">
        <v>0</v>
      </c>
      <c r="AJ1477">
        <v>0</v>
      </c>
      <c r="AK1477">
        <v>0</v>
      </c>
      <c r="AL1477" s="24">
        <v>26215.200000000001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 s="24">
        <v>26215.200000000001</v>
      </c>
      <c r="AV1477">
        <v>0</v>
      </c>
      <c r="AW1477">
        <v>0</v>
      </c>
      <c r="AX1477">
        <v>311000</v>
      </c>
      <c r="AY1477" t="s">
        <v>161</v>
      </c>
      <c r="AZ1477">
        <v>2.37</v>
      </c>
      <c r="BA1477">
        <v>2.37</v>
      </c>
      <c r="BB1477">
        <v>0</v>
      </c>
      <c r="BC1477" t="s">
        <v>251</v>
      </c>
      <c r="BD1477">
        <v>1511</v>
      </c>
      <c r="BE1477" t="s">
        <v>174</v>
      </c>
      <c r="BF1477" t="s">
        <v>163</v>
      </c>
      <c r="BG1477" t="s">
        <v>164</v>
      </c>
    </row>
    <row r="1478" spans="1:59">
      <c r="A1478">
        <v>1115</v>
      </c>
      <c r="B1478">
        <v>1115</v>
      </c>
      <c r="C1478">
        <v>10</v>
      </c>
      <c r="D1478">
        <v>2</v>
      </c>
      <c r="E1478" t="s">
        <v>152</v>
      </c>
      <c r="F1478" t="s">
        <v>153</v>
      </c>
      <c r="G1478" t="s">
        <v>154</v>
      </c>
      <c r="H1478">
        <v>1526007584</v>
      </c>
      <c r="I1478">
        <v>1000007887</v>
      </c>
      <c r="L1478" t="s">
        <v>367</v>
      </c>
      <c r="M1478">
        <v>5100001899</v>
      </c>
      <c r="N1478" t="s">
        <v>155</v>
      </c>
      <c r="O1478" t="s">
        <v>156</v>
      </c>
      <c r="P1478">
        <v>4110041854</v>
      </c>
      <c r="Q1478" t="s">
        <v>172</v>
      </c>
      <c r="R1478">
        <v>5000</v>
      </c>
      <c r="S1478" t="s">
        <v>166</v>
      </c>
      <c r="V1478" t="s">
        <v>167</v>
      </c>
      <c r="W1478">
        <v>1502040267</v>
      </c>
      <c r="X1478" t="s">
        <v>63</v>
      </c>
      <c r="Y1478" t="str">
        <f>VLOOKUP(W1478,Sheet4!$A$5:$B$72,2,0)</f>
        <v>DASH BOARD</v>
      </c>
      <c r="Z1478">
        <v>87082900</v>
      </c>
      <c r="AA1478">
        <v>416</v>
      </c>
      <c r="AB1478" t="s">
        <v>159</v>
      </c>
      <c r="AC1478">
        <v>290.89999999999998</v>
      </c>
      <c r="AD1478" t="s">
        <v>160</v>
      </c>
      <c r="AE1478" s="24">
        <v>121014.39999999999</v>
      </c>
      <c r="AF1478">
        <v>0</v>
      </c>
      <c r="AG1478" s="24">
        <v>121014.39999999999</v>
      </c>
      <c r="AH1478">
        <v>0</v>
      </c>
      <c r="AI1478">
        <v>0</v>
      </c>
      <c r="AJ1478">
        <v>0</v>
      </c>
      <c r="AK1478">
        <v>0</v>
      </c>
      <c r="AL1478" s="24">
        <v>121014.39999999999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 s="24">
        <v>121014.39999999999</v>
      </c>
      <c r="AV1478">
        <v>0</v>
      </c>
      <c r="AW1478">
        <v>0</v>
      </c>
      <c r="AX1478">
        <v>311000</v>
      </c>
      <c r="AY1478" t="s">
        <v>161</v>
      </c>
      <c r="AZ1478">
        <v>4.5</v>
      </c>
      <c r="BA1478">
        <v>4.5</v>
      </c>
      <c r="BB1478">
        <v>0</v>
      </c>
      <c r="BC1478" t="s">
        <v>173</v>
      </c>
      <c r="BD1478">
        <v>1511</v>
      </c>
      <c r="BE1478" t="s">
        <v>174</v>
      </c>
      <c r="BF1478" t="s">
        <v>163</v>
      </c>
      <c r="BG1478" t="s">
        <v>164</v>
      </c>
    </row>
    <row r="1479" spans="1:59">
      <c r="A1479">
        <v>1115</v>
      </c>
      <c r="B1479">
        <v>1115</v>
      </c>
      <c r="C1479">
        <v>10</v>
      </c>
      <c r="D1479">
        <v>2</v>
      </c>
      <c r="E1479" t="s">
        <v>152</v>
      </c>
      <c r="F1479" t="s">
        <v>153</v>
      </c>
      <c r="G1479" t="s">
        <v>154</v>
      </c>
      <c r="H1479">
        <v>1526007583</v>
      </c>
      <c r="I1479">
        <v>1000007886</v>
      </c>
      <c r="L1479" t="s">
        <v>367</v>
      </c>
      <c r="M1479">
        <v>5100001636</v>
      </c>
      <c r="N1479" t="s">
        <v>155</v>
      </c>
      <c r="O1479" t="s">
        <v>156</v>
      </c>
      <c r="P1479">
        <v>4110026445</v>
      </c>
      <c r="Q1479" t="s">
        <v>170</v>
      </c>
      <c r="R1479">
        <v>5000</v>
      </c>
      <c r="S1479" t="s">
        <v>166</v>
      </c>
      <c r="V1479" t="s">
        <v>167</v>
      </c>
      <c r="W1479">
        <v>1502020104</v>
      </c>
      <c r="X1479" t="s">
        <v>26</v>
      </c>
      <c r="Y1479" t="str">
        <f>VLOOKUP(W1479,Sheet4!$A$5:$B$72,2,0)</f>
        <v>RE STYLING</v>
      </c>
      <c r="Z1479">
        <v>87082900</v>
      </c>
      <c r="AA1479">
        <v>15</v>
      </c>
      <c r="AB1479" t="s">
        <v>159</v>
      </c>
      <c r="AC1479" s="24">
        <v>6585.55</v>
      </c>
      <c r="AD1479" t="s">
        <v>160</v>
      </c>
      <c r="AE1479" s="24">
        <v>98783.25</v>
      </c>
      <c r="AF1479">
        <v>0</v>
      </c>
      <c r="AG1479" s="24">
        <v>98783.25</v>
      </c>
      <c r="AH1479">
        <v>0</v>
      </c>
      <c r="AI1479">
        <v>0</v>
      </c>
      <c r="AJ1479">
        <v>0</v>
      </c>
      <c r="AK1479">
        <v>0</v>
      </c>
      <c r="AL1479" s="24">
        <v>98783.25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 s="24">
        <v>98783.25</v>
      </c>
      <c r="AV1479">
        <v>0</v>
      </c>
      <c r="AW1479">
        <v>0</v>
      </c>
      <c r="AX1479">
        <v>311000</v>
      </c>
      <c r="AY1479" t="s">
        <v>161</v>
      </c>
      <c r="AZ1479">
        <v>49.75</v>
      </c>
      <c r="BA1479">
        <v>49.75</v>
      </c>
      <c r="BB1479">
        <v>0</v>
      </c>
      <c r="BC1479" t="s">
        <v>171</v>
      </c>
      <c r="BD1479">
        <v>1509</v>
      </c>
      <c r="BE1479" t="s">
        <v>169</v>
      </c>
      <c r="BF1479" t="s">
        <v>163</v>
      </c>
      <c r="BG1479" t="s">
        <v>164</v>
      </c>
    </row>
    <row r="1480" spans="1:59">
      <c r="A1480">
        <v>1115</v>
      </c>
      <c r="B1480">
        <v>1115</v>
      </c>
      <c r="C1480">
        <v>10</v>
      </c>
      <c r="D1480">
        <v>2</v>
      </c>
      <c r="E1480" t="s">
        <v>152</v>
      </c>
      <c r="F1480" t="s">
        <v>153</v>
      </c>
      <c r="G1480" t="s">
        <v>154</v>
      </c>
      <c r="H1480">
        <v>1526007582</v>
      </c>
      <c r="I1480">
        <v>1000007885</v>
      </c>
      <c r="L1480" t="s">
        <v>367</v>
      </c>
      <c r="M1480">
        <v>5100001636</v>
      </c>
      <c r="N1480" t="s">
        <v>155</v>
      </c>
      <c r="O1480" t="s">
        <v>156</v>
      </c>
      <c r="P1480">
        <v>4110026445</v>
      </c>
      <c r="Q1480" t="s">
        <v>170</v>
      </c>
      <c r="R1480">
        <v>5000</v>
      </c>
      <c r="S1480" t="s">
        <v>166</v>
      </c>
      <c r="V1480" t="s">
        <v>167</v>
      </c>
      <c r="W1480">
        <v>1502020104</v>
      </c>
      <c r="X1480" t="s">
        <v>26</v>
      </c>
      <c r="Y1480" t="str">
        <f>VLOOKUP(W1480,Sheet4!$A$5:$B$72,2,0)</f>
        <v>RE STYLING</v>
      </c>
      <c r="Z1480">
        <v>87082900</v>
      </c>
      <c r="AA1480">
        <v>15</v>
      </c>
      <c r="AB1480" t="s">
        <v>159</v>
      </c>
      <c r="AC1480" s="24">
        <v>6585.55</v>
      </c>
      <c r="AD1480" t="s">
        <v>160</v>
      </c>
      <c r="AE1480" s="24">
        <v>98783.25</v>
      </c>
      <c r="AF1480">
        <v>0</v>
      </c>
      <c r="AG1480" s="24">
        <v>98783.25</v>
      </c>
      <c r="AH1480">
        <v>0</v>
      </c>
      <c r="AI1480">
        <v>0</v>
      </c>
      <c r="AJ1480">
        <v>0</v>
      </c>
      <c r="AK1480">
        <v>0</v>
      </c>
      <c r="AL1480" s="24">
        <v>98783.25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 s="24">
        <v>98783.25</v>
      </c>
      <c r="AV1480">
        <v>0</v>
      </c>
      <c r="AW1480">
        <v>0</v>
      </c>
      <c r="AX1480">
        <v>311000</v>
      </c>
      <c r="AY1480" t="s">
        <v>161</v>
      </c>
      <c r="AZ1480">
        <v>49.75</v>
      </c>
      <c r="BA1480">
        <v>49.75</v>
      </c>
      <c r="BB1480">
        <v>0</v>
      </c>
      <c r="BC1480" t="s">
        <v>171</v>
      </c>
      <c r="BD1480">
        <v>1509</v>
      </c>
      <c r="BE1480" t="s">
        <v>169</v>
      </c>
      <c r="BF1480" t="s">
        <v>163</v>
      </c>
      <c r="BG1480" t="s">
        <v>164</v>
      </c>
    </row>
    <row r="1481" spans="1:59">
      <c r="A1481">
        <v>1115</v>
      </c>
      <c r="B1481">
        <v>1115</v>
      </c>
      <c r="C1481">
        <v>10</v>
      </c>
      <c r="D1481">
        <v>2</v>
      </c>
      <c r="E1481" t="s">
        <v>152</v>
      </c>
      <c r="F1481" t="s">
        <v>153</v>
      </c>
      <c r="G1481" t="s">
        <v>154</v>
      </c>
      <c r="H1481">
        <v>1526007581</v>
      </c>
      <c r="I1481">
        <v>1000007884</v>
      </c>
      <c r="L1481" t="s">
        <v>367</v>
      </c>
      <c r="M1481">
        <v>5100001636</v>
      </c>
      <c r="N1481" t="s">
        <v>155</v>
      </c>
      <c r="O1481" t="s">
        <v>156</v>
      </c>
      <c r="P1481">
        <v>4110026445</v>
      </c>
      <c r="Q1481" t="s">
        <v>170</v>
      </c>
      <c r="R1481">
        <v>5000</v>
      </c>
      <c r="S1481" t="s">
        <v>166</v>
      </c>
      <c r="V1481" t="s">
        <v>167</v>
      </c>
      <c r="W1481">
        <v>1502020104</v>
      </c>
      <c r="X1481" t="s">
        <v>26</v>
      </c>
      <c r="Y1481" t="str">
        <f>VLOOKUP(W1481,Sheet4!$A$5:$B$72,2,0)</f>
        <v>RE STYLING</v>
      </c>
      <c r="Z1481">
        <v>87082900</v>
      </c>
      <c r="AA1481">
        <v>15</v>
      </c>
      <c r="AB1481" t="s">
        <v>159</v>
      </c>
      <c r="AC1481" s="24">
        <v>6585.55</v>
      </c>
      <c r="AD1481" t="s">
        <v>160</v>
      </c>
      <c r="AE1481" s="24">
        <v>98783.25</v>
      </c>
      <c r="AF1481">
        <v>0</v>
      </c>
      <c r="AG1481" s="24">
        <v>98783.25</v>
      </c>
      <c r="AH1481">
        <v>0</v>
      </c>
      <c r="AI1481">
        <v>0</v>
      </c>
      <c r="AJ1481">
        <v>0</v>
      </c>
      <c r="AK1481">
        <v>0</v>
      </c>
      <c r="AL1481" s="24">
        <v>98783.25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 s="24">
        <v>98783.25</v>
      </c>
      <c r="AV1481">
        <v>0</v>
      </c>
      <c r="AW1481">
        <v>0</v>
      </c>
      <c r="AX1481">
        <v>311000</v>
      </c>
      <c r="AY1481" t="s">
        <v>161</v>
      </c>
      <c r="AZ1481">
        <v>49.75</v>
      </c>
      <c r="BA1481">
        <v>49.75</v>
      </c>
      <c r="BB1481">
        <v>0</v>
      </c>
      <c r="BC1481" t="s">
        <v>171</v>
      </c>
      <c r="BD1481">
        <v>1509</v>
      </c>
      <c r="BE1481" t="s">
        <v>169</v>
      </c>
      <c r="BF1481" t="s">
        <v>163</v>
      </c>
      <c r="BG1481" t="s">
        <v>164</v>
      </c>
    </row>
    <row r="1482" spans="1:59">
      <c r="A1482">
        <v>1115</v>
      </c>
      <c r="B1482">
        <v>1115</v>
      </c>
      <c r="C1482">
        <v>10</v>
      </c>
      <c r="D1482">
        <v>2</v>
      </c>
      <c r="E1482" t="s">
        <v>152</v>
      </c>
      <c r="F1482" t="s">
        <v>153</v>
      </c>
      <c r="G1482" t="s">
        <v>154</v>
      </c>
      <c r="H1482">
        <v>1526007580</v>
      </c>
      <c r="I1482">
        <v>1000007883</v>
      </c>
      <c r="L1482" t="s">
        <v>367</v>
      </c>
      <c r="M1482">
        <v>5100001636</v>
      </c>
      <c r="N1482" t="s">
        <v>155</v>
      </c>
      <c r="O1482" t="s">
        <v>156</v>
      </c>
      <c r="P1482">
        <v>4110026445</v>
      </c>
      <c r="Q1482" t="s">
        <v>170</v>
      </c>
      <c r="R1482">
        <v>5000</v>
      </c>
      <c r="S1482" t="s">
        <v>166</v>
      </c>
      <c r="V1482" t="s">
        <v>167</v>
      </c>
      <c r="W1482">
        <v>1502020104</v>
      </c>
      <c r="X1482" t="s">
        <v>26</v>
      </c>
      <c r="Y1482" t="str">
        <f>VLOOKUP(W1482,Sheet4!$A$5:$B$72,2,0)</f>
        <v>RE STYLING</v>
      </c>
      <c r="Z1482">
        <v>87082900</v>
      </c>
      <c r="AA1482">
        <v>15</v>
      </c>
      <c r="AB1482" t="s">
        <v>159</v>
      </c>
      <c r="AC1482" s="24">
        <v>6585.55</v>
      </c>
      <c r="AD1482" t="s">
        <v>160</v>
      </c>
      <c r="AE1482" s="24">
        <v>98783.25</v>
      </c>
      <c r="AF1482">
        <v>0</v>
      </c>
      <c r="AG1482" s="24">
        <v>98783.25</v>
      </c>
      <c r="AH1482">
        <v>0</v>
      </c>
      <c r="AI1482">
        <v>0</v>
      </c>
      <c r="AJ1482">
        <v>0</v>
      </c>
      <c r="AK1482">
        <v>0</v>
      </c>
      <c r="AL1482" s="24">
        <v>98783.25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 s="24">
        <v>98783.25</v>
      </c>
      <c r="AV1482">
        <v>0</v>
      </c>
      <c r="AW1482">
        <v>0</v>
      </c>
      <c r="AX1482">
        <v>311000</v>
      </c>
      <c r="AY1482" t="s">
        <v>161</v>
      </c>
      <c r="AZ1482">
        <v>49.75</v>
      </c>
      <c r="BA1482">
        <v>49.75</v>
      </c>
      <c r="BB1482">
        <v>0</v>
      </c>
      <c r="BC1482" t="s">
        <v>171</v>
      </c>
      <c r="BD1482">
        <v>1509</v>
      </c>
      <c r="BE1482" t="s">
        <v>169</v>
      </c>
      <c r="BF1482" t="s">
        <v>163</v>
      </c>
      <c r="BG1482" t="s">
        <v>164</v>
      </c>
    </row>
    <row r="1483" spans="1:59">
      <c r="A1483">
        <v>1115</v>
      </c>
      <c r="B1483">
        <v>1115</v>
      </c>
      <c r="C1483">
        <v>10</v>
      </c>
      <c r="D1483">
        <v>2</v>
      </c>
      <c r="E1483" t="s">
        <v>152</v>
      </c>
      <c r="F1483" t="s">
        <v>153</v>
      </c>
      <c r="G1483" t="s">
        <v>154</v>
      </c>
      <c r="H1483">
        <v>1526007579</v>
      </c>
      <c r="I1483">
        <v>1000007882</v>
      </c>
      <c r="L1483" t="s">
        <v>367</v>
      </c>
      <c r="M1483">
        <v>5100001636</v>
      </c>
      <c r="N1483" t="s">
        <v>155</v>
      </c>
      <c r="O1483" t="s">
        <v>156</v>
      </c>
      <c r="P1483">
        <v>4110026445</v>
      </c>
      <c r="Q1483" t="s">
        <v>170</v>
      </c>
      <c r="R1483">
        <v>5000</v>
      </c>
      <c r="S1483" t="s">
        <v>166</v>
      </c>
      <c r="V1483" t="s">
        <v>167</v>
      </c>
      <c r="W1483">
        <v>1502020104</v>
      </c>
      <c r="X1483" t="s">
        <v>26</v>
      </c>
      <c r="Y1483" t="str">
        <f>VLOOKUP(W1483,Sheet4!$A$5:$B$72,2,0)</f>
        <v>RE STYLING</v>
      </c>
      <c r="Z1483">
        <v>87082900</v>
      </c>
      <c r="AA1483">
        <v>15</v>
      </c>
      <c r="AB1483" t="s">
        <v>159</v>
      </c>
      <c r="AC1483" s="24">
        <v>6585.55</v>
      </c>
      <c r="AD1483" t="s">
        <v>160</v>
      </c>
      <c r="AE1483" s="24">
        <v>98783.25</v>
      </c>
      <c r="AF1483">
        <v>0</v>
      </c>
      <c r="AG1483" s="24">
        <v>98783.25</v>
      </c>
      <c r="AH1483">
        <v>0</v>
      </c>
      <c r="AI1483">
        <v>0</v>
      </c>
      <c r="AJ1483">
        <v>0</v>
      </c>
      <c r="AK1483">
        <v>0</v>
      </c>
      <c r="AL1483" s="24">
        <v>98783.25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 s="24">
        <v>98783.25</v>
      </c>
      <c r="AV1483">
        <v>0</v>
      </c>
      <c r="AW1483">
        <v>0</v>
      </c>
      <c r="AX1483">
        <v>311000</v>
      </c>
      <c r="AY1483" t="s">
        <v>161</v>
      </c>
      <c r="AZ1483">
        <v>49.75</v>
      </c>
      <c r="BA1483">
        <v>49.75</v>
      </c>
      <c r="BB1483">
        <v>0</v>
      </c>
      <c r="BC1483" t="s">
        <v>171</v>
      </c>
      <c r="BD1483">
        <v>1509</v>
      </c>
      <c r="BE1483" t="s">
        <v>169</v>
      </c>
      <c r="BF1483" t="s">
        <v>163</v>
      </c>
      <c r="BG1483" t="s">
        <v>164</v>
      </c>
    </row>
    <row r="1484" spans="1:59">
      <c r="A1484">
        <v>1115</v>
      </c>
      <c r="B1484">
        <v>1115</v>
      </c>
      <c r="C1484">
        <v>10</v>
      </c>
      <c r="D1484">
        <v>2</v>
      </c>
      <c r="E1484" t="s">
        <v>152</v>
      </c>
      <c r="F1484" t="s">
        <v>153</v>
      </c>
      <c r="G1484" t="s">
        <v>154</v>
      </c>
      <c r="H1484">
        <v>1526007578</v>
      </c>
      <c r="I1484">
        <v>1000007881</v>
      </c>
      <c r="L1484" t="s">
        <v>367</v>
      </c>
      <c r="M1484">
        <v>5100001636</v>
      </c>
      <c r="N1484" t="s">
        <v>155</v>
      </c>
      <c r="O1484" t="s">
        <v>156</v>
      </c>
      <c r="P1484">
        <v>4110026445</v>
      </c>
      <c r="Q1484" t="s">
        <v>170</v>
      </c>
      <c r="R1484">
        <v>5000</v>
      </c>
      <c r="S1484" t="s">
        <v>166</v>
      </c>
      <c r="V1484" t="s">
        <v>167</v>
      </c>
      <c r="W1484">
        <v>1502020104</v>
      </c>
      <c r="X1484" t="s">
        <v>26</v>
      </c>
      <c r="Y1484" t="str">
        <f>VLOOKUP(W1484,Sheet4!$A$5:$B$72,2,0)</f>
        <v>RE STYLING</v>
      </c>
      <c r="Z1484">
        <v>87082900</v>
      </c>
      <c r="AA1484">
        <v>15</v>
      </c>
      <c r="AB1484" t="s">
        <v>159</v>
      </c>
      <c r="AC1484" s="24">
        <v>6585.55</v>
      </c>
      <c r="AD1484" t="s">
        <v>160</v>
      </c>
      <c r="AE1484" s="24">
        <v>98783.25</v>
      </c>
      <c r="AF1484">
        <v>0</v>
      </c>
      <c r="AG1484" s="24">
        <v>98783.25</v>
      </c>
      <c r="AH1484">
        <v>0</v>
      </c>
      <c r="AI1484">
        <v>0</v>
      </c>
      <c r="AJ1484">
        <v>0</v>
      </c>
      <c r="AK1484">
        <v>0</v>
      </c>
      <c r="AL1484" s="24">
        <v>98783.25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 s="24">
        <v>98783.25</v>
      </c>
      <c r="AV1484">
        <v>0</v>
      </c>
      <c r="AW1484">
        <v>0</v>
      </c>
      <c r="AX1484">
        <v>311000</v>
      </c>
      <c r="AY1484" t="s">
        <v>161</v>
      </c>
      <c r="AZ1484">
        <v>49.75</v>
      </c>
      <c r="BA1484">
        <v>49.75</v>
      </c>
      <c r="BB1484">
        <v>0</v>
      </c>
      <c r="BC1484" t="s">
        <v>171</v>
      </c>
      <c r="BD1484">
        <v>1509</v>
      </c>
      <c r="BE1484" t="s">
        <v>169</v>
      </c>
      <c r="BF1484" t="s">
        <v>163</v>
      </c>
      <c r="BG1484" t="s">
        <v>164</v>
      </c>
    </row>
    <row r="1485" spans="1:59">
      <c r="A1485">
        <v>1115</v>
      </c>
      <c r="B1485">
        <v>1115</v>
      </c>
      <c r="C1485">
        <v>10</v>
      </c>
      <c r="D1485">
        <v>2</v>
      </c>
      <c r="E1485" t="s">
        <v>152</v>
      </c>
      <c r="F1485" t="s">
        <v>153</v>
      </c>
      <c r="G1485" t="s">
        <v>154</v>
      </c>
      <c r="H1485">
        <v>1526007577</v>
      </c>
      <c r="I1485">
        <v>1000007880</v>
      </c>
      <c r="L1485" t="s">
        <v>367</v>
      </c>
      <c r="M1485">
        <v>5100001636</v>
      </c>
      <c r="N1485" t="s">
        <v>155</v>
      </c>
      <c r="O1485" t="s">
        <v>156</v>
      </c>
      <c r="P1485">
        <v>4110026445</v>
      </c>
      <c r="Q1485" t="s">
        <v>170</v>
      </c>
      <c r="R1485">
        <v>5000</v>
      </c>
      <c r="S1485" t="s">
        <v>166</v>
      </c>
      <c r="V1485" t="s">
        <v>167</v>
      </c>
      <c r="W1485">
        <v>1502020104</v>
      </c>
      <c r="X1485" t="s">
        <v>26</v>
      </c>
      <c r="Y1485" t="str">
        <f>VLOOKUP(W1485,Sheet4!$A$5:$B$72,2,0)</f>
        <v>RE STYLING</v>
      </c>
      <c r="Z1485">
        <v>87082900</v>
      </c>
      <c r="AA1485">
        <v>15</v>
      </c>
      <c r="AB1485" t="s">
        <v>159</v>
      </c>
      <c r="AC1485" s="24">
        <v>6585.55</v>
      </c>
      <c r="AD1485" t="s">
        <v>160</v>
      </c>
      <c r="AE1485" s="24">
        <v>98783.25</v>
      </c>
      <c r="AF1485">
        <v>0</v>
      </c>
      <c r="AG1485" s="24">
        <v>98783.25</v>
      </c>
      <c r="AH1485">
        <v>0</v>
      </c>
      <c r="AI1485">
        <v>0</v>
      </c>
      <c r="AJ1485">
        <v>0</v>
      </c>
      <c r="AK1485">
        <v>0</v>
      </c>
      <c r="AL1485" s="24">
        <v>98783.25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 s="24">
        <v>98783.25</v>
      </c>
      <c r="AV1485">
        <v>0</v>
      </c>
      <c r="AW1485">
        <v>0</v>
      </c>
      <c r="AX1485">
        <v>311000</v>
      </c>
      <c r="AY1485" t="s">
        <v>161</v>
      </c>
      <c r="AZ1485">
        <v>49.75</v>
      </c>
      <c r="BA1485">
        <v>49.75</v>
      </c>
      <c r="BB1485">
        <v>0</v>
      </c>
      <c r="BC1485" t="s">
        <v>171</v>
      </c>
      <c r="BD1485">
        <v>1509</v>
      </c>
      <c r="BE1485" t="s">
        <v>169</v>
      </c>
      <c r="BF1485" t="s">
        <v>163</v>
      </c>
      <c r="BG1485" t="s">
        <v>164</v>
      </c>
    </row>
    <row r="1486" spans="1:59">
      <c r="A1486">
        <v>1115</v>
      </c>
      <c r="B1486">
        <v>1115</v>
      </c>
      <c r="C1486">
        <v>10</v>
      </c>
      <c r="D1486">
        <v>2</v>
      </c>
      <c r="E1486" t="s">
        <v>152</v>
      </c>
      <c r="F1486" t="s">
        <v>153</v>
      </c>
      <c r="G1486" t="s">
        <v>154</v>
      </c>
      <c r="H1486">
        <v>1526007576</v>
      </c>
      <c r="I1486">
        <v>1000007879</v>
      </c>
      <c r="L1486" t="s">
        <v>367</v>
      </c>
      <c r="M1486">
        <v>5100001227</v>
      </c>
      <c r="N1486" t="s">
        <v>155</v>
      </c>
      <c r="O1486" t="s">
        <v>156</v>
      </c>
      <c r="P1486">
        <v>4110011319</v>
      </c>
      <c r="Q1486" t="s">
        <v>175</v>
      </c>
      <c r="R1486">
        <v>5000</v>
      </c>
      <c r="S1486" t="s">
        <v>166</v>
      </c>
      <c r="V1486" t="s">
        <v>167</v>
      </c>
      <c r="W1486">
        <v>1502020074</v>
      </c>
      <c r="X1486" t="s">
        <v>28</v>
      </c>
      <c r="Y1486" t="str">
        <f>VLOOKUP(W1486,Sheet4!$A$5:$B$72,2,0)</f>
        <v>MAX UG NEW</v>
      </c>
      <c r="Z1486">
        <v>87082900</v>
      </c>
      <c r="AA1486">
        <v>10</v>
      </c>
      <c r="AB1486" t="s">
        <v>159</v>
      </c>
      <c r="AC1486" s="24">
        <v>9397.5</v>
      </c>
      <c r="AD1486" t="s">
        <v>160</v>
      </c>
      <c r="AE1486" s="24">
        <v>93975</v>
      </c>
      <c r="AF1486">
        <v>0</v>
      </c>
      <c r="AG1486" s="24">
        <v>93975</v>
      </c>
      <c r="AH1486">
        <v>0</v>
      </c>
      <c r="AI1486">
        <v>0</v>
      </c>
      <c r="AJ1486">
        <v>0</v>
      </c>
      <c r="AK1486">
        <v>0</v>
      </c>
      <c r="AL1486" s="24">
        <v>93975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 s="24">
        <v>93975</v>
      </c>
      <c r="AV1486">
        <v>0</v>
      </c>
      <c r="AW1486">
        <v>0</v>
      </c>
      <c r="AX1486">
        <v>311000</v>
      </c>
      <c r="AY1486" t="s">
        <v>161</v>
      </c>
      <c r="AZ1486">
        <v>69.5</v>
      </c>
      <c r="BA1486">
        <v>69.5</v>
      </c>
      <c r="BB1486">
        <v>0</v>
      </c>
      <c r="BC1486" t="s">
        <v>176</v>
      </c>
      <c r="BD1486">
        <v>1509</v>
      </c>
      <c r="BE1486" t="s">
        <v>169</v>
      </c>
      <c r="BF1486" t="s">
        <v>163</v>
      </c>
      <c r="BG1486" t="s">
        <v>164</v>
      </c>
    </row>
    <row r="1487" spans="1:59">
      <c r="A1487">
        <v>1115</v>
      </c>
      <c r="B1487">
        <v>1115</v>
      </c>
      <c r="C1487">
        <v>10</v>
      </c>
      <c r="D1487">
        <v>2</v>
      </c>
      <c r="E1487" t="s">
        <v>152</v>
      </c>
      <c r="F1487" t="s">
        <v>153</v>
      </c>
      <c r="G1487" t="s">
        <v>154</v>
      </c>
      <c r="H1487">
        <v>1526007575</v>
      </c>
      <c r="I1487">
        <v>1000007878</v>
      </c>
      <c r="L1487" t="s">
        <v>367</v>
      </c>
      <c r="M1487">
        <v>5100001227</v>
      </c>
      <c r="N1487" t="s">
        <v>155</v>
      </c>
      <c r="O1487" t="s">
        <v>156</v>
      </c>
      <c r="P1487">
        <v>4110011319</v>
      </c>
      <c r="Q1487" t="s">
        <v>175</v>
      </c>
      <c r="R1487">
        <v>5000</v>
      </c>
      <c r="S1487" t="s">
        <v>166</v>
      </c>
      <c r="V1487" t="s">
        <v>167</v>
      </c>
      <c r="W1487">
        <v>1502020074</v>
      </c>
      <c r="X1487" t="s">
        <v>28</v>
      </c>
      <c r="Y1487" t="str">
        <f>VLOOKUP(W1487,Sheet4!$A$5:$B$72,2,0)</f>
        <v>MAX UG NEW</v>
      </c>
      <c r="Z1487">
        <v>87082900</v>
      </c>
      <c r="AA1487">
        <v>10</v>
      </c>
      <c r="AB1487" t="s">
        <v>159</v>
      </c>
      <c r="AC1487" s="24">
        <v>9397.5</v>
      </c>
      <c r="AD1487" t="s">
        <v>160</v>
      </c>
      <c r="AE1487" s="24">
        <v>93975</v>
      </c>
      <c r="AF1487">
        <v>0</v>
      </c>
      <c r="AG1487" s="24">
        <v>93975</v>
      </c>
      <c r="AH1487">
        <v>0</v>
      </c>
      <c r="AI1487">
        <v>0</v>
      </c>
      <c r="AJ1487">
        <v>0</v>
      </c>
      <c r="AK1487">
        <v>0</v>
      </c>
      <c r="AL1487" s="24">
        <v>93975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 s="24">
        <v>93975</v>
      </c>
      <c r="AV1487">
        <v>0</v>
      </c>
      <c r="AW1487">
        <v>0</v>
      </c>
      <c r="AX1487">
        <v>311000</v>
      </c>
      <c r="AY1487" t="s">
        <v>161</v>
      </c>
      <c r="AZ1487">
        <v>69.5</v>
      </c>
      <c r="BA1487">
        <v>69.5</v>
      </c>
      <c r="BB1487">
        <v>0</v>
      </c>
      <c r="BC1487" t="s">
        <v>176</v>
      </c>
      <c r="BD1487">
        <v>1509</v>
      </c>
      <c r="BE1487" t="s">
        <v>169</v>
      </c>
      <c r="BF1487" t="s">
        <v>163</v>
      </c>
      <c r="BG1487" t="s">
        <v>164</v>
      </c>
    </row>
    <row r="1488" spans="1:59">
      <c r="A1488">
        <v>1115</v>
      </c>
      <c r="B1488">
        <v>1115</v>
      </c>
      <c r="C1488">
        <v>10</v>
      </c>
      <c r="D1488">
        <v>2</v>
      </c>
      <c r="E1488" t="s">
        <v>152</v>
      </c>
      <c r="F1488" t="s">
        <v>153</v>
      </c>
      <c r="G1488" t="s">
        <v>154</v>
      </c>
      <c r="H1488">
        <v>1526007574</v>
      </c>
      <c r="I1488">
        <v>1000007877</v>
      </c>
      <c r="L1488" t="s">
        <v>367</v>
      </c>
      <c r="M1488">
        <v>5100001227</v>
      </c>
      <c r="N1488" t="s">
        <v>155</v>
      </c>
      <c r="O1488" t="s">
        <v>156</v>
      </c>
      <c r="P1488">
        <v>4110011319</v>
      </c>
      <c r="Q1488" t="s">
        <v>175</v>
      </c>
      <c r="R1488">
        <v>5000</v>
      </c>
      <c r="S1488" t="s">
        <v>166</v>
      </c>
      <c r="V1488" t="s">
        <v>167</v>
      </c>
      <c r="W1488">
        <v>1502020074</v>
      </c>
      <c r="X1488" t="s">
        <v>28</v>
      </c>
      <c r="Y1488" t="str">
        <f>VLOOKUP(W1488,Sheet4!$A$5:$B$72,2,0)</f>
        <v>MAX UG NEW</v>
      </c>
      <c r="Z1488">
        <v>87082900</v>
      </c>
      <c r="AA1488">
        <v>10</v>
      </c>
      <c r="AB1488" t="s">
        <v>159</v>
      </c>
      <c r="AC1488" s="24">
        <v>9397.5</v>
      </c>
      <c r="AD1488" t="s">
        <v>160</v>
      </c>
      <c r="AE1488" s="24">
        <v>93975</v>
      </c>
      <c r="AF1488">
        <v>0</v>
      </c>
      <c r="AG1488" s="24">
        <v>93975</v>
      </c>
      <c r="AH1488">
        <v>0</v>
      </c>
      <c r="AI1488">
        <v>0</v>
      </c>
      <c r="AJ1488">
        <v>0</v>
      </c>
      <c r="AK1488">
        <v>0</v>
      </c>
      <c r="AL1488" s="24">
        <v>93975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 s="24">
        <v>93975</v>
      </c>
      <c r="AV1488">
        <v>0</v>
      </c>
      <c r="AW1488">
        <v>0</v>
      </c>
      <c r="AX1488">
        <v>311000</v>
      </c>
      <c r="AY1488" t="s">
        <v>161</v>
      </c>
      <c r="AZ1488">
        <v>69.5</v>
      </c>
      <c r="BA1488">
        <v>69.5</v>
      </c>
      <c r="BB1488">
        <v>0</v>
      </c>
      <c r="BC1488" t="s">
        <v>176</v>
      </c>
      <c r="BD1488">
        <v>1509</v>
      </c>
      <c r="BE1488" t="s">
        <v>169</v>
      </c>
      <c r="BF1488" t="s">
        <v>163</v>
      </c>
      <c r="BG1488" t="s">
        <v>164</v>
      </c>
    </row>
    <row r="1489" spans="1:59">
      <c r="A1489">
        <v>1115</v>
      </c>
      <c r="B1489">
        <v>1115</v>
      </c>
      <c r="C1489">
        <v>10</v>
      </c>
      <c r="D1489">
        <v>2</v>
      </c>
      <c r="E1489" t="s">
        <v>152</v>
      </c>
      <c r="F1489" t="s">
        <v>153</v>
      </c>
      <c r="G1489" t="s">
        <v>154</v>
      </c>
      <c r="H1489">
        <v>1526007573</v>
      </c>
      <c r="I1489">
        <v>1000007876</v>
      </c>
      <c r="L1489" t="s">
        <v>367</v>
      </c>
      <c r="M1489">
        <v>5100001227</v>
      </c>
      <c r="N1489" t="s">
        <v>155</v>
      </c>
      <c r="O1489" t="s">
        <v>156</v>
      </c>
      <c r="P1489">
        <v>4110011319</v>
      </c>
      <c r="Q1489" t="s">
        <v>175</v>
      </c>
      <c r="R1489">
        <v>5000</v>
      </c>
      <c r="S1489" t="s">
        <v>166</v>
      </c>
      <c r="V1489" t="s">
        <v>167</v>
      </c>
      <c r="W1489">
        <v>1502020074</v>
      </c>
      <c r="X1489" t="s">
        <v>28</v>
      </c>
      <c r="Y1489" t="str">
        <f>VLOOKUP(W1489,Sheet4!$A$5:$B$72,2,0)</f>
        <v>MAX UG NEW</v>
      </c>
      <c r="Z1489">
        <v>87082900</v>
      </c>
      <c r="AA1489">
        <v>10</v>
      </c>
      <c r="AB1489" t="s">
        <v>159</v>
      </c>
      <c r="AC1489" s="24">
        <v>9397.5</v>
      </c>
      <c r="AD1489" t="s">
        <v>160</v>
      </c>
      <c r="AE1489" s="24">
        <v>93975</v>
      </c>
      <c r="AF1489">
        <v>0</v>
      </c>
      <c r="AG1489" s="24">
        <v>93975</v>
      </c>
      <c r="AH1489">
        <v>0</v>
      </c>
      <c r="AI1489">
        <v>0</v>
      </c>
      <c r="AJ1489">
        <v>0</v>
      </c>
      <c r="AK1489">
        <v>0</v>
      </c>
      <c r="AL1489" s="24">
        <v>93975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 s="24">
        <v>93975</v>
      </c>
      <c r="AV1489">
        <v>0</v>
      </c>
      <c r="AW1489">
        <v>0</v>
      </c>
      <c r="AX1489">
        <v>311000</v>
      </c>
      <c r="AY1489" t="s">
        <v>161</v>
      </c>
      <c r="AZ1489">
        <v>69.5</v>
      </c>
      <c r="BA1489">
        <v>69.5</v>
      </c>
      <c r="BB1489">
        <v>0</v>
      </c>
      <c r="BC1489" t="s">
        <v>176</v>
      </c>
      <c r="BD1489">
        <v>1509</v>
      </c>
      <c r="BE1489" t="s">
        <v>169</v>
      </c>
      <c r="BF1489" t="s">
        <v>163</v>
      </c>
      <c r="BG1489" t="s">
        <v>164</v>
      </c>
    </row>
    <row r="1490" spans="1:59">
      <c r="A1490">
        <v>1115</v>
      </c>
      <c r="B1490">
        <v>1115</v>
      </c>
      <c r="C1490">
        <v>10</v>
      </c>
      <c r="D1490">
        <v>2</v>
      </c>
      <c r="E1490" t="s">
        <v>152</v>
      </c>
      <c r="F1490" t="s">
        <v>153</v>
      </c>
      <c r="G1490" t="s">
        <v>154</v>
      </c>
      <c r="H1490">
        <v>1526007572</v>
      </c>
      <c r="I1490">
        <v>1000007875</v>
      </c>
      <c r="L1490" t="s">
        <v>367</v>
      </c>
      <c r="M1490">
        <v>5100001227</v>
      </c>
      <c r="N1490" t="s">
        <v>155</v>
      </c>
      <c r="O1490" t="s">
        <v>156</v>
      </c>
      <c r="P1490">
        <v>4110011319</v>
      </c>
      <c r="Q1490" t="s">
        <v>175</v>
      </c>
      <c r="R1490">
        <v>5000</v>
      </c>
      <c r="S1490" t="s">
        <v>166</v>
      </c>
      <c r="V1490" t="s">
        <v>167</v>
      </c>
      <c r="W1490">
        <v>1502020074</v>
      </c>
      <c r="X1490" t="s">
        <v>28</v>
      </c>
      <c r="Y1490" t="str">
        <f>VLOOKUP(W1490,Sheet4!$A$5:$B$72,2,0)</f>
        <v>MAX UG NEW</v>
      </c>
      <c r="Z1490">
        <v>87082900</v>
      </c>
      <c r="AA1490">
        <v>10</v>
      </c>
      <c r="AB1490" t="s">
        <v>159</v>
      </c>
      <c r="AC1490" s="24">
        <v>9397.5</v>
      </c>
      <c r="AD1490" t="s">
        <v>160</v>
      </c>
      <c r="AE1490" s="24">
        <v>93975</v>
      </c>
      <c r="AF1490">
        <v>0</v>
      </c>
      <c r="AG1490" s="24">
        <v>93975</v>
      </c>
      <c r="AH1490">
        <v>0</v>
      </c>
      <c r="AI1490">
        <v>0</v>
      </c>
      <c r="AJ1490">
        <v>0</v>
      </c>
      <c r="AK1490">
        <v>0</v>
      </c>
      <c r="AL1490" s="24">
        <v>93975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 s="24">
        <v>93975</v>
      </c>
      <c r="AV1490">
        <v>0</v>
      </c>
      <c r="AW1490">
        <v>0</v>
      </c>
      <c r="AX1490">
        <v>311000</v>
      </c>
      <c r="AY1490" t="s">
        <v>161</v>
      </c>
      <c r="AZ1490">
        <v>69.5</v>
      </c>
      <c r="BA1490">
        <v>69.5</v>
      </c>
      <c r="BB1490">
        <v>0</v>
      </c>
      <c r="BC1490" t="s">
        <v>176</v>
      </c>
      <c r="BD1490">
        <v>1509</v>
      </c>
      <c r="BE1490" t="s">
        <v>169</v>
      </c>
      <c r="BF1490" t="s">
        <v>163</v>
      </c>
      <c r="BG1490" t="s">
        <v>164</v>
      </c>
    </row>
    <row r="1491" spans="1:59">
      <c r="A1491">
        <v>1115</v>
      </c>
      <c r="B1491">
        <v>1115</v>
      </c>
      <c r="C1491">
        <v>10</v>
      </c>
      <c r="D1491">
        <v>2</v>
      </c>
      <c r="E1491" t="s">
        <v>152</v>
      </c>
      <c r="F1491" t="s">
        <v>153</v>
      </c>
      <c r="G1491" t="s">
        <v>154</v>
      </c>
      <c r="H1491">
        <v>1526007571</v>
      </c>
      <c r="I1491">
        <v>1000007874</v>
      </c>
      <c r="L1491" t="s">
        <v>367</v>
      </c>
      <c r="M1491">
        <v>5100001227</v>
      </c>
      <c r="N1491" t="s">
        <v>155</v>
      </c>
      <c r="O1491" t="s">
        <v>156</v>
      </c>
      <c r="P1491">
        <v>4110011319</v>
      </c>
      <c r="Q1491" t="s">
        <v>175</v>
      </c>
      <c r="R1491">
        <v>5000</v>
      </c>
      <c r="S1491" t="s">
        <v>166</v>
      </c>
      <c r="V1491" t="s">
        <v>167</v>
      </c>
      <c r="W1491">
        <v>1502020074</v>
      </c>
      <c r="X1491" t="s">
        <v>28</v>
      </c>
      <c r="Y1491" t="str">
        <f>VLOOKUP(W1491,Sheet4!$A$5:$B$72,2,0)</f>
        <v>MAX UG NEW</v>
      </c>
      <c r="Z1491">
        <v>87082900</v>
      </c>
      <c r="AA1491">
        <v>10</v>
      </c>
      <c r="AB1491" t="s">
        <v>159</v>
      </c>
      <c r="AC1491" s="24">
        <v>9397.5</v>
      </c>
      <c r="AD1491" t="s">
        <v>160</v>
      </c>
      <c r="AE1491" s="24">
        <v>93975</v>
      </c>
      <c r="AF1491">
        <v>0</v>
      </c>
      <c r="AG1491" s="24">
        <v>93975</v>
      </c>
      <c r="AH1491">
        <v>0</v>
      </c>
      <c r="AI1491">
        <v>0</v>
      </c>
      <c r="AJ1491">
        <v>0</v>
      </c>
      <c r="AK1491">
        <v>0</v>
      </c>
      <c r="AL1491" s="24">
        <v>93975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 s="24">
        <v>93975</v>
      </c>
      <c r="AV1491">
        <v>0</v>
      </c>
      <c r="AW1491">
        <v>0</v>
      </c>
      <c r="AX1491">
        <v>311000</v>
      </c>
      <c r="AY1491" t="s">
        <v>161</v>
      </c>
      <c r="AZ1491">
        <v>69.5</v>
      </c>
      <c r="BA1491">
        <v>69.5</v>
      </c>
      <c r="BB1491">
        <v>0</v>
      </c>
      <c r="BC1491" t="s">
        <v>176</v>
      </c>
      <c r="BD1491">
        <v>1509</v>
      </c>
      <c r="BE1491" t="s">
        <v>169</v>
      </c>
      <c r="BF1491" t="s">
        <v>163</v>
      </c>
      <c r="BG1491" t="s">
        <v>164</v>
      </c>
    </row>
    <row r="1492" spans="1:59">
      <c r="A1492">
        <v>1115</v>
      </c>
      <c r="B1492">
        <v>1115</v>
      </c>
      <c r="C1492">
        <v>10</v>
      </c>
      <c r="D1492">
        <v>2</v>
      </c>
      <c r="E1492" t="s">
        <v>152</v>
      </c>
      <c r="F1492" t="s">
        <v>153</v>
      </c>
      <c r="G1492" t="s">
        <v>154</v>
      </c>
      <c r="H1492">
        <v>1526007570</v>
      </c>
      <c r="I1492">
        <v>1000007873</v>
      </c>
      <c r="L1492" t="s">
        <v>367</v>
      </c>
      <c r="M1492">
        <v>5100001636</v>
      </c>
      <c r="N1492" t="s">
        <v>155</v>
      </c>
      <c r="O1492" t="s">
        <v>156</v>
      </c>
      <c r="P1492">
        <v>4110026445</v>
      </c>
      <c r="Q1492" t="s">
        <v>170</v>
      </c>
      <c r="R1492">
        <v>5000</v>
      </c>
      <c r="S1492" t="s">
        <v>166</v>
      </c>
      <c r="V1492" t="s">
        <v>167</v>
      </c>
      <c r="W1492">
        <v>1502020104</v>
      </c>
      <c r="X1492" t="s">
        <v>26</v>
      </c>
      <c r="Y1492" t="str">
        <f>VLOOKUP(W1492,Sheet4!$A$5:$B$72,2,0)</f>
        <v>RE STYLING</v>
      </c>
      <c r="Z1492">
        <v>87082900</v>
      </c>
      <c r="AA1492">
        <v>15</v>
      </c>
      <c r="AB1492" t="s">
        <v>159</v>
      </c>
      <c r="AC1492" s="24">
        <v>6585.55</v>
      </c>
      <c r="AD1492" t="s">
        <v>160</v>
      </c>
      <c r="AE1492" s="24">
        <v>98783.25</v>
      </c>
      <c r="AF1492">
        <v>0</v>
      </c>
      <c r="AG1492" s="24">
        <v>98783.25</v>
      </c>
      <c r="AH1492">
        <v>0</v>
      </c>
      <c r="AI1492">
        <v>0</v>
      </c>
      <c r="AJ1492">
        <v>0</v>
      </c>
      <c r="AK1492">
        <v>0</v>
      </c>
      <c r="AL1492" s="24">
        <v>98783.25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 s="24">
        <v>98783.25</v>
      </c>
      <c r="AV1492">
        <v>0</v>
      </c>
      <c r="AW1492">
        <v>0</v>
      </c>
      <c r="AX1492">
        <v>311000</v>
      </c>
      <c r="AY1492" t="s">
        <v>161</v>
      </c>
      <c r="AZ1492">
        <v>49.75</v>
      </c>
      <c r="BA1492">
        <v>49.75</v>
      </c>
      <c r="BB1492">
        <v>0</v>
      </c>
      <c r="BC1492" t="s">
        <v>171</v>
      </c>
      <c r="BD1492">
        <v>1509</v>
      </c>
      <c r="BE1492" t="s">
        <v>169</v>
      </c>
      <c r="BF1492" t="s">
        <v>163</v>
      </c>
      <c r="BG1492" t="s">
        <v>164</v>
      </c>
    </row>
    <row r="1493" spans="1:59">
      <c r="A1493">
        <v>1115</v>
      </c>
      <c r="B1493">
        <v>1115</v>
      </c>
      <c r="C1493">
        <v>10</v>
      </c>
      <c r="D1493">
        <v>2</v>
      </c>
      <c r="E1493" t="s">
        <v>152</v>
      </c>
      <c r="F1493" t="s">
        <v>153</v>
      </c>
      <c r="G1493" t="s">
        <v>154</v>
      </c>
      <c r="H1493">
        <v>1526007569</v>
      </c>
      <c r="I1493">
        <v>1000007872</v>
      </c>
      <c r="L1493" t="s">
        <v>367</v>
      </c>
      <c r="M1493">
        <v>5100001636</v>
      </c>
      <c r="N1493" t="s">
        <v>155</v>
      </c>
      <c r="O1493" t="s">
        <v>156</v>
      </c>
      <c r="P1493">
        <v>4110026445</v>
      </c>
      <c r="Q1493" t="s">
        <v>170</v>
      </c>
      <c r="R1493">
        <v>5000</v>
      </c>
      <c r="S1493" t="s">
        <v>166</v>
      </c>
      <c r="V1493" t="s">
        <v>167</v>
      </c>
      <c r="W1493">
        <v>1502020104</v>
      </c>
      <c r="X1493" t="s">
        <v>26</v>
      </c>
      <c r="Y1493" t="str">
        <f>VLOOKUP(W1493,Sheet4!$A$5:$B$72,2,0)</f>
        <v>RE STYLING</v>
      </c>
      <c r="Z1493">
        <v>87082900</v>
      </c>
      <c r="AA1493">
        <v>15</v>
      </c>
      <c r="AB1493" t="s">
        <v>159</v>
      </c>
      <c r="AC1493" s="24">
        <v>6585.55</v>
      </c>
      <c r="AD1493" t="s">
        <v>160</v>
      </c>
      <c r="AE1493" s="24">
        <v>98783.25</v>
      </c>
      <c r="AF1493">
        <v>0</v>
      </c>
      <c r="AG1493" s="24">
        <v>98783.25</v>
      </c>
      <c r="AH1493">
        <v>0</v>
      </c>
      <c r="AI1493">
        <v>0</v>
      </c>
      <c r="AJ1493">
        <v>0</v>
      </c>
      <c r="AK1493">
        <v>0</v>
      </c>
      <c r="AL1493" s="24">
        <v>98783.25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 s="24">
        <v>98783.25</v>
      </c>
      <c r="AV1493">
        <v>0</v>
      </c>
      <c r="AW1493">
        <v>0</v>
      </c>
      <c r="AX1493">
        <v>311000</v>
      </c>
      <c r="AY1493" t="s">
        <v>161</v>
      </c>
      <c r="AZ1493">
        <v>49.75</v>
      </c>
      <c r="BA1493">
        <v>49.75</v>
      </c>
      <c r="BB1493">
        <v>0</v>
      </c>
      <c r="BC1493" t="s">
        <v>171</v>
      </c>
      <c r="BD1493">
        <v>1509</v>
      </c>
      <c r="BE1493" t="s">
        <v>169</v>
      </c>
      <c r="BF1493" t="s">
        <v>163</v>
      </c>
      <c r="BG1493" t="s">
        <v>164</v>
      </c>
    </row>
    <row r="1494" spans="1:59">
      <c r="A1494">
        <v>1115</v>
      </c>
      <c r="B1494">
        <v>1115</v>
      </c>
      <c r="C1494">
        <v>10</v>
      </c>
      <c r="D1494">
        <v>2</v>
      </c>
      <c r="E1494" t="s">
        <v>152</v>
      </c>
      <c r="F1494" t="s">
        <v>153</v>
      </c>
      <c r="G1494" t="s">
        <v>154</v>
      </c>
      <c r="H1494">
        <v>1526007568</v>
      </c>
      <c r="I1494">
        <v>1000007871</v>
      </c>
      <c r="L1494" t="s">
        <v>367</v>
      </c>
      <c r="M1494">
        <v>5100001636</v>
      </c>
      <c r="N1494" t="s">
        <v>155</v>
      </c>
      <c r="O1494" t="s">
        <v>156</v>
      </c>
      <c r="P1494">
        <v>4110026445</v>
      </c>
      <c r="Q1494" t="s">
        <v>170</v>
      </c>
      <c r="R1494">
        <v>5000</v>
      </c>
      <c r="S1494" t="s">
        <v>166</v>
      </c>
      <c r="V1494" t="s">
        <v>167</v>
      </c>
      <c r="W1494">
        <v>1502020104</v>
      </c>
      <c r="X1494" t="s">
        <v>26</v>
      </c>
      <c r="Y1494" t="str">
        <f>VLOOKUP(W1494,Sheet4!$A$5:$B$72,2,0)</f>
        <v>RE STYLING</v>
      </c>
      <c r="Z1494">
        <v>87082900</v>
      </c>
      <c r="AA1494">
        <v>15</v>
      </c>
      <c r="AB1494" t="s">
        <v>159</v>
      </c>
      <c r="AC1494" s="24">
        <v>6585.55</v>
      </c>
      <c r="AD1494" t="s">
        <v>160</v>
      </c>
      <c r="AE1494" s="24">
        <v>98783.25</v>
      </c>
      <c r="AF1494">
        <v>0</v>
      </c>
      <c r="AG1494" s="24">
        <v>98783.25</v>
      </c>
      <c r="AH1494">
        <v>0</v>
      </c>
      <c r="AI1494">
        <v>0</v>
      </c>
      <c r="AJ1494">
        <v>0</v>
      </c>
      <c r="AK1494">
        <v>0</v>
      </c>
      <c r="AL1494" s="24">
        <v>98783.25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 s="24">
        <v>98783.25</v>
      </c>
      <c r="AV1494">
        <v>0</v>
      </c>
      <c r="AW1494">
        <v>0</v>
      </c>
      <c r="AX1494">
        <v>311000</v>
      </c>
      <c r="AY1494" t="s">
        <v>161</v>
      </c>
      <c r="AZ1494">
        <v>49.75</v>
      </c>
      <c r="BA1494">
        <v>49.75</v>
      </c>
      <c r="BB1494">
        <v>0</v>
      </c>
      <c r="BC1494" t="s">
        <v>171</v>
      </c>
      <c r="BD1494">
        <v>1509</v>
      </c>
      <c r="BE1494" t="s">
        <v>169</v>
      </c>
      <c r="BF1494" t="s">
        <v>163</v>
      </c>
      <c r="BG1494" t="s">
        <v>164</v>
      </c>
    </row>
    <row r="1495" spans="1:59">
      <c r="A1495">
        <v>1115</v>
      </c>
      <c r="B1495">
        <v>1115</v>
      </c>
      <c r="C1495">
        <v>10</v>
      </c>
      <c r="D1495">
        <v>2</v>
      </c>
      <c r="E1495" t="s">
        <v>152</v>
      </c>
      <c r="F1495" t="s">
        <v>153</v>
      </c>
      <c r="G1495" t="s">
        <v>154</v>
      </c>
      <c r="H1495">
        <v>1526007567</v>
      </c>
      <c r="I1495">
        <v>1000007870</v>
      </c>
      <c r="L1495" t="s">
        <v>367</v>
      </c>
      <c r="M1495">
        <v>5100001636</v>
      </c>
      <c r="N1495" t="s">
        <v>155</v>
      </c>
      <c r="O1495" t="s">
        <v>156</v>
      </c>
      <c r="P1495">
        <v>4110026445</v>
      </c>
      <c r="Q1495" t="s">
        <v>170</v>
      </c>
      <c r="R1495">
        <v>5000</v>
      </c>
      <c r="S1495" t="s">
        <v>166</v>
      </c>
      <c r="V1495" t="s">
        <v>167</v>
      </c>
      <c r="W1495">
        <v>1502020104</v>
      </c>
      <c r="X1495" t="s">
        <v>26</v>
      </c>
      <c r="Y1495" t="str">
        <f>VLOOKUP(W1495,Sheet4!$A$5:$B$72,2,0)</f>
        <v>RE STYLING</v>
      </c>
      <c r="Z1495">
        <v>87082900</v>
      </c>
      <c r="AA1495">
        <v>15</v>
      </c>
      <c r="AB1495" t="s">
        <v>159</v>
      </c>
      <c r="AC1495" s="24">
        <v>6585.55</v>
      </c>
      <c r="AD1495" t="s">
        <v>160</v>
      </c>
      <c r="AE1495" s="24">
        <v>98783.25</v>
      </c>
      <c r="AF1495">
        <v>0</v>
      </c>
      <c r="AG1495" s="24">
        <v>98783.25</v>
      </c>
      <c r="AH1495">
        <v>0</v>
      </c>
      <c r="AI1495">
        <v>0</v>
      </c>
      <c r="AJ1495">
        <v>0</v>
      </c>
      <c r="AK1495">
        <v>0</v>
      </c>
      <c r="AL1495" s="24">
        <v>98783.25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 s="24">
        <v>98783.25</v>
      </c>
      <c r="AV1495">
        <v>0</v>
      </c>
      <c r="AW1495">
        <v>0</v>
      </c>
      <c r="AX1495">
        <v>311000</v>
      </c>
      <c r="AY1495" t="s">
        <v>161</v>
      </c>
      <c r="AZ1495">
        <v>49.75</v>
      </c>
      <c r="BA1495">
        <v>49.75</v>
      </c>
      <c r="BB1495">
        <v>0</v>
      </c>
      <c r="BC1495" t="s">
        <v>171</v>
      </c>
      <c r="BD1495">
        <v>1509</v>
      </c>
      <c r="BE1495" t="s">
        <v>169</v>
      </c>
      <c r="BF1495" t="s">
        <v>163</v>
      </c>
      <c r="BG1495" t="s">
        <v>164</v>
      </c>
    </row>
    <row r="1496" spans="1:59">
      <c r="A1496">
        <v>1115</v>
      </c>
      <c r="B1496">
        <v>1115</v>
      </c>
      <c r="C1496">
        <v>10</v>
      </c>
      <c r="D1496">
        <v>2</v>
      </c>
      <c r="E1496" t="s">
        <v>152</v>
      </c>
      <c r="F1496" t="s">
        <v>153</v>
      </c>
      <c r="G1496" t="s">
        <v>154</v>
      </c>
      <c r="H1496">
        <v>1526007566</v>
      </c>
      <c r="I1496">
        <v>1000007869</v>
      </c>
      <c r="L1496" t="s">
        <v>367</v>
      </c>
      <c r="M1496">
        <v>5100001636</v>
      </c>
      <c r="N1496" t="s">
        <v>155</v>
      </c>
      <c r="O1496" t="s">
        <v>156</v>
      </c>
      <c r="P1496">
        <v>4110026445</v>
      </c>
      <c r="Q1496" t="s">
        <v>170</v>
      </c>
      <c r="R1496">
        <v>5000</v>
      </c>
      <c r="S1496" t="s">
        <v>166</v>
      </c>
      <c r="V1496" t="s">
        <v>167</v>
      </c>
      <c r="W1496">
        <v>1502020104</v>
      </c>
      <c r="X1496" t="s">
        <v>26</v>
      </c>
      <c r="Y1496" t="str">
        <f>VLOOKUP(W1496,Sheet4!$A$5:$B$72,2,0)</f>
        <v>RE STYLING</v>
      </c>
      <c r="Z1496">
        <v>87082900</v>
      </c>
      <c r="AA1496">
        <v>15</v>
      </c>
      <c r="AB1496" t="s">
        <v>159</v>
      </c>
      <c r="AC1496" s="24">
        <v>6585.55</v>
      </c>
      <c r="AD1496" t="s">
        <v>160</v>
      </c>
      <c r="AE1496" s="24">
        <v>98783.25</v>
      </c>
      <c r="AF1496">
        <v>0</v>
      </c>
      <c r="AG1496" s="24">
        <v>98783.25</v>
      </c>
      <c r="AH1496">
        <v>0</v>
      </c>
      <c r="AI1496">
        <v>0</v>
      </c>
      <c r="AJ1496">
        <v>0</v>
      </c>
      <c r="AK1496">
        <v>0</v>
      </c>
      <c r="AL1496" s="24">
        <v>98783.25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 s="24">
        <v>98783.25</v>
      </c>
      <c r="AV1496">
        <v>0</v>
      </c>
      <c r="AW1496">
        <v>0</v>
      </c>
      <c r="AX1496">
        <v>311000</v>
      </c>
      <c r="AY1496" t="s">
        <v>161</v>
      </c>
      <c r="AZ1496">
        <v>49.75</v>
      </c>
      <c r="BA1496">
        <v>49.75</v>
      </c>
      <c r="BB1496">
        <v>0</v>
      </c>
      <c r="BC1496" t="s">
        <v>171</v>
      </c>
      <c r="BD1496">
        <v>1509</v>
      </c>
      <c r="BE1496" t="s">
        <v>169</v>
      </c>
      <c r="BF1496" t="s">
        <v>163</v>
      </c>
      <c r="BG1496" t="s">
        <v>164</v>
      </c>
    </row>
    <row r="1497" spans="1:59">
      <c r="A1497">
        <v>1115</v>
      </c>
      <c r="B1497">
        <v>1115</v>
      </c>
      <c r="C1497">
        <v>10</v>
      </c>
      <c r="D1497">
        <v>2</v>
      </c>
      <c r="E1497" t="s">
        <v>152</v>
      </c>
      <c r="F1497" t="s">
        <v>153</v>
      </c>
      <c r="G1497" t="s">
        <v>154</v>
      </c>
      <c r="H1497">
        <v>1526007565</v>
      </c>
      <c r="I1497">
        <v>1000007868</v>
      </c>
      <c r="L1497" t="s">
        <v>367</v>
      </c>
      <c r="M1497">
        <v>5100001636</v>
      </c>
      <c r="N1497" t="s">
        <v>155</v>
      </c>
      <c r="O1497" t="s">
        <v>156</v>
      </c>
      <c r="P1497">
        <v>4110026445</v>
      </c>
      <c r="Q1497" t="s">
        <v>170</v>
      </c>
      <c r="R1497">
        <v>5000</v>
      </c>
      <c r="S1497" t="s">
        <v>166</v>
      </c>
      <c r="V1497" t="s">
        <v>167</v>
      </c>
      <c r="W1497">
        <v>1502020104</v>
      </c>
      <c r="X1497" t="s">
        <v>26</v>
      </c>
      <c r="Y1497" t="str">
        <f>VLOOKUP(W1497,Sheet4!$A$5:$B$72,2,0)</f>
        <v>RE STYLING</v>
      </c>
      <c r="Z1497">
        <v>87082900</v>
      </c>
      <c r="AA1497">
        <v>15</v>
      </c>
      <c r="AB1497" t="s">
        <v>159</v>
      </c>
      <c r="AC1497" s="24">
        <v>6585.55</v>
      </c>
      <c r="AD1497" t="s">
        <v>160</v>
      </c>
      <c r="AE1497" s="24">
        <v>98783.25</v>
      </c>
      <c r="AF1497">
        <v>0</v>
      </c>
      <c r="AG1497" s="24">
        <v>98783.25</v>
      </c>
      <c r="AH1497">
        <v>0</v>
      </c>
      <c r="AI1497">
        <v>0</v>
      </c>
      <c r="AJ1497">
        <v>0</v>
      </c>
      <c r="AK1497">
        <v>0</v>
      </c>
      <c r="AL1497" s="24">
        <v>98783.25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 s="24">
        <v>98783.25</v>
      </c>
      <c r="AV1497">
        <v>0</v>
      </c>
      <c r="AW1497">
        <v>0</v>
      </c>
      <c r="AX1497">
        <v>311000</v>
      </c>
      <c r="AY1497" t="s">
        <v>161</v>
      </c>
      <c r="AZ1497">
        <v>49.75</v>
      </c>
      <c r="BA1497">
        <v>49.75</v>
      </c>
      <c r="BB1497">
        <v>0</v>
      </c>
      <c r="BC1497" t="s">
        <v>171</v>
      </c>
      <c r="BD1497">
        <v>1509</v>
      </c>
      <c r="BE1497" t="s">
        <v>169</v>
      </c>
      <c r="BF1497" t="s">
        <v>163</v>
      </c>
      <c r="BG1497" t="s">
        <v>164</v>
      </c>
    </row>
    <row r="1498" spans="1:59">
      <c r="A1498">
        <v>1115</v>
      </c>
      <c r="B1498">
        <v>1115</v>
      </c>
      <c r="C1498">
        <v>10</v>
      </c>
      <c r="D1498">
        <v>2</v>
      </c>
      <c r="E1498" t="s">
        <v>152</v>
      </c>
      <c r="F1498" t="s">
        <v>153</v>
      </c>
      <c r="G1498" t="s">
        <v>154</v>
      </c>
      <c r="H1498">
        <v>1526007564</v>
      </c>
      <c r="I1498">
        <v>1000007867</v>
      </c>
      <c r="L1498" t="s">
        <v>367</v>
      </c>
      <c r="M1498">
        <v>5100001227</v>
      </c>
      <c r="N1498" t="s">
        <v>155</v>
      </c>
      <c r="O1498" t="s">
        <v>156</v>
      </c>
      <c r="P1498">
        <v>4110011319</v>
      </c>
      <c r="Q1498" t="s">
        <v>175</v>
      </c>
      <c r="R1498">
        <v>5000</v>
      </c>
      <c r="S1498" t="s">
        <v>166</v>
      </c>
      <c r="V1498" t="s">
        <v>167</v>
      </c>
      <c r="W1498">
        <v>1502020074</v>
      </c>
      <c r="X1498" t="s">
        <v>28</v>
      </c>
      <c r="Y1498" t="str">
        <f>VLOOKUP(W1498,Sheet4!$A$5:$B$72,2,0)</f>
        <v>MAX UG NEW</v>
      </c>
      <c r="Z1498">
        <v>87082900</v>
      </c>
      <c r="AA1498">
        <v>10</v>
      </c>
      <c r="AB1498" t="s">
        <v>159</v>
      </c>
      <c r="AC1498" s="24">
        <v>9397.5</v>
      </c>
      <c r="AD1498" t="s">
        <v>160</v>
      </c>
      <c r="AE1498" s="24">
        <v>93975</v>
      </c>
      <c r="AF1498">
        <v>0</v>
      </c>
      <c r="AG1498" s="24">
        <v>93975</v>
      </c>
      <c r="AH1498">
        <v>0</v>
      </c>
      <c r="AI1498">
        <v>0</v>
      </c>
      <c r="AJ1498">
        <v>0</v>
      </c>
      <c r="AK1498">
        <v>0</v>
      </c>
      <c r="AL1498" s="24">
        <v>93975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 s="24">
        <v>93975</v>
      </c>
      <c r="AV1498">
        <v>0</v>
      </c>
      <c r="AW1498">
        <v>0</v>
      </c>
      <c r="AX1498">
        <v>311000</v>
      </c>
      <c r="AY1498" t="s">
        <v>161</v>
      </c>
      <c r="AZ1498">
        <v>69.5</v>
      </c>
      <c r="BA1498">
        <v>69.5</v>
      </c>
      <c r="BB1498">
        <v>0</v>
      </c>
      <c r="BC1498" t="s">
        <v>176</v>
      </c>
      <c r="BD1498">
        <v>1509</v>
      </c>
      <c r="BE1498" t="s">
        <v>169</v>
      </c>
      <c r="BF1498" t="s">
        <v>163</v>
      </c>
      <c r="BG1498" t="s">
        <v>164</v>
      </c>
    </row>
    <row r="1499" spans="1:59">
      <c r="A1499">
        <v>1115</v>
      </c>
      <c r="B1499">
        <v>1115</v>
      </c>
      <c r="C1499">
        <v>10</v>
      </c>
      <c r="D1499">
        <v>2</v>
      </c>
      <c r="E1499" t="s">
        <v>152</v>
      </c>
      <c r="F1499" t="s">
        <v>153</v>
      </c>
      <c r="G1499" t="s">
        <v>154</v>
      </c>
      <c r="H1499">
        <v>1526007563</v>
      </c>
      <c r="I1499">
        <v>1000007866</v>
      </c>
      <c r="L1499" t="s">
        <v>367</v>
      </c>
      <c r="M1499">
        <v>5100001227</v>
      </c>
      <c r="N1499" t="s">
        <v>155</v>
      </c>
      <c r="O1499" t="s">
        <v>156</v>
      </c>
      <c r="P1499">
        <v>4110011319</v>
      </c>
      <c r="Q1499" t="s">
        <v>175</v>
      </c>
      <c r="R1499">
        <v>5000</v>
      </c>
      <c r="S1499" t="s">
        <v>166</v>
      </c>
      <c r="V1499" t="s">
        <v>167</v>
      </c>
      <c r="W1499">
        <v>1502020074</v>
      </c>
      <c r="X1499" t="s">
        <v>28</v>
      </c>
      <c r="Y1499" t="str">
        <f>VLOOKUP(W1499,Sheet4!$A$5:$B$72,2,0)</f>
        <v>MAX UG NEW</v>
      </c>
      <c r="Z1499">
        <v>87082900</v>
      </c>
      <c r="AA1499">
        <v>10</v>
      </c>
      <c r="AB1499" t="s">
        <v>159</v>
      </c>
      <c r="AC1499" s="24">
        <v>9397.5</v>
      </c>
      <c r="AD1499" t="s">
        <v>160</v>
      </c>
      <c r="AE1499" s="24">
        <v>93975</v>
      </c>
      <c r="AF1499">
        <v>0</v>
      </c>
      <c r="AG1499" s="24">
        <v>93975</v>
      </c>
      <c r="AH1499">
        <v>0</v>
      </c>
      <c r="AI1499">
        <v>0</v>
      </c>
      <c r="AJ1499">
        <v>0</v>
      </c>
      <c r="AK1499">
        <v>0</v>
      </c>
      <c r="AL1499" s="24">
        <v>93975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 s="24">
        <v>93975</v>
      </c>
      <c r="AV1499">
        <v>0</v>
      </c>
      <c r="AW1499">
        <v>0</v>
      </c>
      <c r="AX1499">
        <v>311000</v>
      </c>
      <c r="AY1499" t="s">
        <v>161</v>
      </c>
      <c r="AZ1499">
        <v>69.5</v>
      </c>
      <c r="BA1499">
        <v>69.5</v>
      </c>
      <c r="BB1499">
        <v>0</v>
      </c>
      <c r="BC1499" t="s">
        <v>176</v>
      </c>
      <c r="BD1499">
        <v>1509</v>
      </c>
      <c r="BE1499" t="s">
        <v>169</v>
      </c>
      <c r="BF1499" t="s">
        <v>163</v>
      </c>
      <c r="BG1499" t="s">
        <v>164</v>
      </c>
    </row>
    <row r="1500" spans="1:59">
      <c r="A1500">
        <v>1115</v>
      </c>
      <c r="B1500">
        <v>1115</v>
      </c>
      <c r="C1500">
        <v>10</v>
      </c>
      <c r="D1500">
        <v>2</v>
      </c>
      <c r="E1500" t="s">
        <v>152</v>
      </c>
      <c r="F1500" t="s">
        <v>153</v>
      </c>
      <c r="G1500" t="s">
        <v>154</v>
      </c>
      <c r="H1500">
        <v>1526007562</v>
      </c>
      <c r="I1500">
        <v>1000007865</v>
      </c>
      <c r="L1500" t="s">
        <v>367</v>
      </c>
      <c r="M1500">
        <v>5100001919</v>
      </c>
      <c r="N1500" t="s">
        <v>155</v>
      </c>
      <c r="O1500" t="s">
        <v>156</v>
      </c>
      <c r="P1500">
        <v>5500000930</v>
      </c>
      <c r="Q1500" t="s">
        <v>157</v>
      </c>
      <c r="R1500">
        <v>5356</v>
      </c>
      <c r="S1500" t="s">
        <v>158</v>
      </c>
      <c r="W1500">
        <v>1402010547</v>
      </c>
      <c r="X1500" t="s">
        <v>369</v>
      </c>
      <c r="Y1500" t="str">
        <f>VLOOKUP(W1500,Sheet4!$A$5:$B$72,2,0)</f>
        <v>FRONT MUDGAURD</v>
      </c>
      <c r="Z1500">
        <v>87082900</v>
      </c>
      <c r="AA1500">
        <v>140</v>
      </c>
      <c r="AB1500" t="s">
        <v>159</v>
      </c>
      <c r="AC1500">
        <v>108.65</v>
      </c>
      <c r="AD1500" t="s">
        <v>160</v>
      </c>
      <c r="AE1500" s="24">
        <v>15211</v>
      </c>
      <c r="AF1500">
        <v>0</v>
      </c>
      <c r="AG1500" s="24">
        <v>15211</v>
      </c>
      <c r="AH1500">
        <v>0</v>
      </c>
      <c r="AI1500">
        <v>0</v>
      </c>
      <c r="AJ1500">
        <v>0</v>
      </c>
      <c r="AK1500">
        <v>0</v>
      </c>
      <c r="AL1500" s="24">
        <v>15211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 s="24">
        <v>15211</v>
      </c>
      <c r="AV1500">
        <v>0</v>
      </c>
      <c r="AW1500">
        <v>0</v>
      </c>
      <c r="AX1500">
        <v>311001</v>
      </c>
      <c r="AY1500" t="s">
        <v>370</v>
      </c>
      <c r="AZ1500">
        <v>1.75</v>
      </c>
      <c r="BA1500">
        <v>1.75</v>
      </c>
      <c r="BB1500">
        <v>0</v>
      </c>
      <c r="BC1500">
        <v>2000001019</v>
      </c>
      <c r="BD1500">
        <v>1402</v>
      </c>
      <c r="BE1500" t="s">
        <v>371</v>
      </c>
      <c r="BF1500" t="s">
        <v>163</v>
      </c>
      <c r="BG1500" t="s">
        <v>164</v>
      </c>
    </row>
    <row r="1501" spans="1:59">
      <c r="A1501">
        <v>1115</v>
      </c>
      <c r="B1501">
        <v>1115</v>
      </c>
      <c r="C1501">
        <v>10</v>
      </c>
      <c r="D1501">
        <v>2</v>
      </c>
      <c r="E1501" t="s">
        <v>152</v>
      </c>
      <c r="F1501" t="s">
        <v>153</v>
      </c>
      <c r="G1501" t="s">
        <v>154</v>
      </c>
      <c r="H1501">
        <v>1526007561</v>
      </c>
      <c r="I1501">
        <v>1000007864</v>
      </c>
      <c r="L1501" t="s">
        <v>367</v>
      </c>
      <c r="M1501">
        <v>5100001919</v>
      </c>
      <c r="N1501" t="s">
        <v>155</v>
      </c>
      <c r="O1501" t="s">
        <v>156</v>
      </c>
      <c r="P1501">
        <v>5500000930</v>
      </c>
      <c r="Q1501" t="s">
        <v>157</v>
      </c>
      <c r="R1501">
        <v>5356</v>
      </c>
      <c r="S1501" t="s">
        <v>158</v>
      </c>
      <c r="W1501">
        <v>1402010546</v>
      </c>
      <c r="X1501" t="s">
        <v>372</v>
      </c>
      <c r="Y1501" t="str">
        <f>VLOOKUP(W1501,Sheet4!$A$5:$B$72,2,0)</f>
        <v>FRONT MUDGAURD</v>
      </c>
      <c r="Z1501">
        <v>87082900</v>
      </c>
      <c r="AA1501">
        <v>140</v>
      </c>
      <c r="AB1501" t="s">
        <v>159</v>
      </c>
      <c r="AC1501">
        <v>108.65</v>
      </c>
      <c r="AD1501" t="s">
        <v>160</v>
      </c>
      <c r="AE1501" s="24">
        <v>15211</v>
      </c>
      <c r="AF1501">
        <v>0</v>
      </c>
      <c r="AG1501" s="24">
        <v>15211</v>
      </c>
      <c r="AH1501">
        <v>0</v>
      </c>
      <c r="AI1501">
        <v>0</v>
      </c>
      <c r="AJ1501">
        <v>0</v>
      </c>
      <c r="AK1501">
        <v>0</v>
      </c>
      <c r="AL1501" s="24">
        <v>15211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 s="24">
        <v>15211</v>
      </c>
      <c r="AV1501">
        <v>0</v>
      </c>
      <c r="AW1501">
        <v>0</v>
      </c>
      <c r="AX1501">
        <v>311001</v>
      </c>
      <c r="AY1501" t="s">
        <v>370</v>
      </c>
      <c r="AZ1501">
        <v>1.75</v>
      </c>
      <c r="BA1501">
        <v>1.75</v>
      </c>
      <c r="BB1501">
        <v>0</v>
      </c>
      <c r="BC1501">
        <v>2000001018</v>
      </c>
      <c r="BD1501">
        <v>1402</v>
      </c>
      <c r="BE1501" t="s">
        <v>371</v>
      </c>
      <c r="BF1501" t="s">
        <v>163</v>
      </c>
      <c r="BG1501" t="s">
        <v>164</v>
      </c>
    </row>
    <row r="1502" spans="1:59">
      <c r="A1502">
        <v>1115</v>
      </c>
      <c r="B1502">
        <v>1115</v>
      </c>
      <c r="C1502">
        <v>10</v>
      </c>
      <c r="D1502">
        <v>2</v>
      </c>
      <c r="E1502" t="s">
        <v>152</v>
      </c>
      <c r="F1502" t="s">
        <v>153</v>
      </c>
      <c r="G1502" t="s">
        <v>154</v>
      </c>
      <c r="H1502">
        <v>1526007560</v>
      </c>
      <c r="I1502">
        <v>1000007863</v>
      </c>
      <c r="L1502" t="s">
        <v>367</v>
      </c>
      <c r="M1502">
        <v>5100001603</v>
      </c>
      <c r="N1502" t="s">
        <v>155</v>
      </c>
      <c r="O1502" t="s">
        <v>156</v>
      </c>
      <c r="P1502">
        <v>4110025468</v>
      </c>
      <c r="Q1502" t="s">
        <v>165</v>
      </c>
      <c r="R1502">
        <v>5000</v>
      </c>
      <c r="S1502" t="s">
        <v>166</v>
      </c>
      <c r="V1502" t="s">
        <v>167</v>
      </c>
      <c r="W1502">
        <v>1502020102</v>
      </c>
      <c r="X1502" t="s">
        <v>58</v>
      </c>
      <c r="Y1502" t="str">
        <f>VLOOKUP(W1502,Sheet4!$A$5:$B$72,2,0)</f>
        <v>MAXIMA HD</v>
      </c>
      <c r="Z1502">
        <v>87082900</v>
      </c>
      <c r="AA1502">
        <v>8</v>
      </c>
      <c r="AB1502" t="s">
        <v>159</v>
      </c>
      <c r="AC1502" s="24">
        <v>8593.51</v>
      </c>
      <c r="AD1502" t="s">
        <v>160</v>
      </c>
      <c r="AE1502" s="24">
        <v>68748.08</v>
      </c>
      <c r="AF1502">
        <v>0</v>
      </c>
      <c r="AG1502" s="24">
        <v>68748.08</v>
      </c>
      <c r="AH1502">
        <v>0</v>
      </c>
      <c r="AI1502">
        <v>0</v>
      </c>
      <c r="AJ1502">
        <v>0</v>
      </c>
      <c r="AK1502">
        <v>0</v>
      </c>
      <c r="AL1502" s="24">
        <v>68748.08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 s="24">
        <v>68748.08</v>
      </c>
      <c r="AV1502">
        <v>0</v>
      </c>
      <c r="AW1502">
        <v>0</v>
      </c>
      <c r="AX1502">
        <v>311000</v>
      </c>
      <c r="AY1502" t="s">
        <v>161</v>
      </c>
      <c r="AZ1502">
        <v>93.34</v>
      </c>
      <c r="BA1502">
        <v>75.430000000000007</v>
      </c>
      <c r="BB1502">
        <v>17.91</v>
      </c>
      <c r="BC1502" t="s">
        <v>168</v>
      </c>
      <c r="BD1502">
        <v>1509</v>
      </c>
      <c r="BE1502" t="s">
        <v>169</v>
      </c>
      <c r="BF1502" t="s">
        <v>163</v>
      </c>
      <c r="BG1502" t="s">
        <v>164</v>
      </c>
    </row>
    <row r="1503" spans="1:59">
      <c r="A1503">
        <v>1115</v>
      </c>
      <c r="B1503">
        <v>1115</v>
      </c>
      <c r="C1503">
        <v>10</v>
      </c>
      <c r="D1503">
        <v>2</v>
      </c>
      <c r="E1503" t="s">
        <v>152</v>
      </c>
      <c r="F1503" t="s">
        <v>153</v>
      </c>
      <c r="G1503" t="s">
        <v>154</v>
      </c>
      <c r="H1503">
        <v>1526007524</v>
      </c>
      <c r="I1503">
        <v>1000007823</v>
      </c>
      <c r="L1503" t="s">
        <v>367</v>
      </c>
      <c r="M1503">
        <v>5100001913</v>
      </c>
      <c r="N1503" t="s">
        <v>155</v>
      </c>
      <c r="O1503" t="s">
        <v>156</v>
      </c>
      <c r="P1503">
        <v>4110050475</v>
      </c>
      <c r="Q1503" t="s">
        <v>178</v>
      </c>
      <c r="R1503">
        <v>5000</v>
      </c>
      <c r="S1503" t="s">
        <v>166</v>
      </c>
      <c r="V1503" t="s">
        <v>167</v>
      </c>
      <c r="W1503">
        <v>1502040289</v>
      </c>
      <c r="X1503" t="s">
        <v>49</v>
      </c>
      <c r="Y1503" t="str">
        <f>VLOOKUP(W1503,Sheet4!$A$5:$B$72,2,0)</f>
        <v>SUPPORT TOP</v>
      </c>
      <c r="Z1503">
        <v>87082900</v>
      </c>
      <c r="AA1503">
        <v>192</v>
      </c>
      <c r="AB1503" t="s">
        <v>159</v>
      </c>
      <c r="AC1503">
        <v>174.61</v>
      </c>
      <c r="AD1503" t="s">
        <v>160</v>
      </c>
      <c r="AE1503" s="24">
        <v>33525.120000000003</v>
      </c>
      <c r="AF1503">
        <v>0</v>
      </c>
      <c r="AG1503" s="24">
        <v>33525.120000000003</v>
      </c>
      <c r="AH1503">
        <v>0</v>
      </c>
      <c r="AI1503">
        <v>0</v>
      </c>
      <c r="AJ1503">
        <v>0</v>
      </c>
      <c r="AK1503">
        <v>0</v>
      </c>
      <c r="AL1503" s="24">
        <v>33525.120000000003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 s="24">
        <v>33525.120000000003</v>
      </c>
      <c r="AV1503">
        <v>0</v>
      </c>
      <c r="AW1503">
        <v>0</v>
      </c>
      <c r="AX1503">
        <v>311000</v>
      </c>
      <c r="AY1503" t="s">
        <v>161</v>
      </c>
      <c r="AZ1503">
        <v>0</v>
      </c>
      <c r="BA1503">
        <v>0</v>
      </c>
      <c r="BB1503">
        <v>0</v>
      </c>
      <c r="BC1503" t="s">
        <v>179</v>
      </c>
      <c r="BD1503">
        <v>1511</v>
      </c>
      <c r="BE1503" t="s">
        <v>174</v>
      </c>
      <c r="BF1503" t="s">
        <v>163</v>
      </c>
      <c r="BG1503" t="s">
        <v>164</v>
      </c>
    </row>
    <row r="1504" spans="1:59">
      <c r="A1504">
        <v>1115</v>
      </c>
      <c r="B1504">
        <v>1115</v>
      </c>
      <c r="C1504">
        <v>10</v>
      </c>
      <c r="D1504">
        <v>2</v>
      </c>
      <c r="E1504" t="s">
        <v>152</v>
      </c>
      <c r="F1504" t="s">
        <v>153</v>
      </c>
      <c r="G1504" t="s">
        <v>154</v>
      </c>
      <c r="H1504">
        <v>1526007485</v>
      </c>
      <c r="I1504">
        <v>1000007780</v>
      </c>
      <c r="L1504" t="s">
        <v>367</v>
      </c>
      <c r="M1504">
        <v>5100001603</v>
      </c>
      <c r="N1504" t="s">
        <v>155</v>
      </c>
      <c r="O1504" t="s">
        <v>156</v>
      </c>
      <c r="P1504">
        <v>4110025468</v>
      </c>
      <c r="Q1504" t="s">
        <v>165</v>
      </c>
      <c r="R1504">
        <v>5000</v>
      </c>
      <c r="S1504" t="s">
        <v>166</v>
      </c>
      <c r="V1504" t="s">
        <v>167</v>
      </c>
      <c r="W1504">
        <v>1502020102</v>
      </c>
      <c r="X1504" t="s">
        <v>58</v>
      </c>
      <c r="Y1504" t="str">
        <f>VLOOKUP(W1504,Sheet4!$A$5:$B$72,2,0)</f>
        <v>MAXIMA HD</v>
      </c>
      <c r="Z1504">
        <v>87082900</v>
      </c>
      <c r="AA1504">
        <v>8</v>
      </c>
      <c r="AB1504" t="s">
        <v>159</v>
      </c>
      <c r="AC1504" s="24">
        <v>8593.51</v>
      </c>
      <c r="AD1504" t="s">
        <v>160</v>
      </c>
      <c r="AE1504" s="24">
        <v>68748.08</v>
      </c>
      <c r="AF1504">
        <v>0</v>
      </c>
      <c r="AG1504" s="24">
        <v>68748.08</v>
      </c>
      <c r="AH1504">
        <v>0</v>
      </c>
      <c r="AI1504">
        <v>0</v>
      </c>
      <c r="AJ1504">
        <v>0</v>
      </c>
      <c r="AK1504">
        <v>0</v>
      </c>
      <c r="AL1504" s="24">
        <v>68748.08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 s="24">
        <v>68748.08</v>
      </c>
      <c r="AV1504">
        <v>0</v>
      </c>
      <c r="AW1504">
        <v>0</v>
      </c>
      <c r="AX1504">
        <v>311000</v>
      </c>
      <c r="AY1504" t="s">
        <v>161</v>
      </c>
      <c r="AZ1504">
        <v>93.34</v>
      </c>
      <c r="BA1504">
        <v>75.430000000000007</v>
      </c>
      <c r="BB1504">
        <v>17.91</v>
      </c>
      <c r="BC1504" t="s">
        <v>168</v>
      </c>
      <c r="BD1504">
        <v>1509</v>
      </c>
      <c r="BE1504" t="s">
        <v>169</v>
      </c>
      <c r="BF1504" t="s">
        <v>163</v>
      </c>
      <c r="BG1504" t="s">
        <v>164</v>
      </c>
    </row>
    <row r="1505" spans="1:59">
      <c r="A1505">
        <v>1115</v>
      </c>
      <c r="B1505">
        <v>1115</v>
      </c>
      <c r="C1505">
        <v>10</v>
      </c>
      <c r="D1505">
        <v>2</v>
      </c>
      <c r="E1505" t="s">
        <v>152</v>
      </c>
      <c r="F1505" t="s">
        <v>153</v>
      </c>
      <c r="G1505" t="s">
        <v>154</v>
      </c>
      <c r="H1505">
        <v>1526007484</v>
      </c>
      <c r="I1505">
        <v>1000007779</v>
      </c>
      <c r="L1505" t="s">
        <v>367</v>
      </c>
      <c r="M1505">
        <v>5100001603</v>
      </c>
      <c r="N1505" t="s">
        <v>155</v>
      </c>
      <c r="O1505" t="s">
        <v>156</v>
      </c>
      <c r="P1505">
        <v>4110025468</v>
      </c>
      <c r="Q1505" t="s">
        <v>165</v>
      </c>
      <c r="R1505">
        <v>5000</v>
      </c>
      <c r="S1505" t="s">
        <v>166</v>
      </c>
      <c r="V1505" t="s">
        <v>167</v>
      </c>
      <c r="W1505">
        <v>1502020102</v>
      </c>
      <c r="X1505" t="s">
        <v>58</v>
      </c>
      <c r="Y1505" t="str">
        <f>VLOOKUP(W1505,Sheet4!$A$5:$B$72,2,0)</f>
        <v>MAXIMA HD</v>
      </c>
      <c r="Z1505">
        <v>87082900</v>
      </c>
      <c r="AA1505">
        <v>8</v>
      </c>
      <c r="AB1505" t="s">
        <v>159</v>
      </c>
      <c r="AC1505" s="24">
        <v>8593.51</v>
      </c>
      <c r="AD1505" t="s">
        <v>160</v>
      </c>
      <c r="AE1505" s="24">
        <v>68748.08</v>
      </c>
      <c r="AF1505">
        <v>0</v>
      </c>
      <c r="AG1505" s="24">
        <v>68748.08</v>
      </c>
      <c r="AH1505">
        <v>0</v>
      </c>
      <c r="AI1505">
        <v>0</v>
      </c>
      <c r="AJ1505">
        <v>0</v>
      </c>
      <c r="AK1505">
        <v>0</v>
      </c>
      <c r="AL1505" s="24">
        <v>68748.08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 s="24">
        <v>68748.08</v>
      </c>
      <c r="AV1505">
        <v>0</v>
      </c>
      <c r="AW1505">
        <v>0</v>
      </c>
      <c r="AX1505">
        <v>311000</v>
      </c>
      <c r="AY1505" t="s">
        <v>161</v>
      </c>
      <c r="AZ1505">
        <v>93.34</v>
      </c>
      <c r="BA1505">
        <v>75.430000000000007</v>
      </c>
      <c r="BB1505">
        <v>17.91</v>
      </c>
      <c r="BC1505" t="s">
        <v>168</v>
      </c>
      <c r="BD1505">
        <v>1509</v>
      </c>
      <c r="BE1505" t="s">
        <v>169</v>
      </c>
      <c r="BF1505" t="s">
        <v>163</v>
      </c>
      <c r="BG1505" t="s">
        <v>164</v>
      </c>
    </row>
    <row r="1506" spans="1:59">
      <c r="A1506">
        <v>1115</v>
      </c>
      <c r="B1506">
        <v>1115</v>
      </c>
      <c r="C1506">
        <v>10</v>
      </c>
      <c r="D1506">
        <v>2</v>
      </c>
      <c r="E1506" t="s">
        <v>152</v>
      </c>
      <c r="F1506" t="s">
        <v>153</v>
      </c>
      <c r="G1506" t="s">
        <v>154</v>
      </c>
      <c r="H1506">
        <v>1526007482</v>
      </c>
      <c r="I1506">
        <v>1000007776</v>
      </c>
      <c r="L1506" t="s">
        <v>367</v>
      </c>
      <c r="M1506">
        <v>5100001636</v>
      </c>
      <c r="N1506" t="s">
        <v>155</v>
      </c>
      <c r="O1506" t="s">
        <v>156</v>
      </c>
      <c r="P1506">
        <v>4110026445</v>
      </c>
      <c r="Q1506" t="s">
        <v>170</v>
      </c>
      <c r="R1506">
        <v>5000</v>
      </c>
      <c r="S1506" t="s">
        <v>166</v>
      </c>
      <c r="V1506" t="s">
        <v>167</v>
      </c>
      <c r="W1506">
        <v>1502020104</v>
      </c>
      <c r="X1506" t="s">
        <v>26</v>
      </c>
      <c r="Y1506" t="str">
        <f>VLOOKUP(W1506,Sheet4!$A$5:$B$72,2,0)</f>
        <v>RE STYLING</v>
      </c>
      <c r="Z1506">
        <v>87082900</v>
      </c>
      <c r="AA1506">
        <v>15</v>
      </c>
      <c r="AB1506" t="s">
        <v>159</v>
      </c>
      <c r="AC1506" s="24">
        <v>6585.55</v>
      </c>
      <c r="AD1506" t="s">
        <v>160</v>
      </c>
      <c r="AE1506" s="24">
        <v>98783.25</v>
      </c>
      <c r="AF1506">
        <v>0</v>
      </c>
      <c r="AG1506" s="24">
        <v>98783.25</v>
      </c>
      <c r="AH1506">
        <v>0</v>
      </c>
      <c r="AI1506">
        <v>0</v>
      </c>
      <c r="AJ1506">
        <v>0</v>
      </c>
      <c r="AK1506">
        <v>0</v>
      </c>
      <c r="AL1506" s="24">
        <v>98783.25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 s="24">
        <v>98783.25</v>
      </c>
      <c r="AV1506">
        <v>0</v>
      </c>
      <c r="AW1506">
        <v>0</v>
      </c>
      <c r="AX1506">
        <v>311000</v>
      </c>
      <c r="AY1506" t="s">
        <v>161</v>
      </c>
      <c r="AZ1506">
        <v>49.75</v>
      </c>
      <c r="BA1506">
        <v>49.75</v>
      </c>
      <c r="BB1506">
        <v>0</v>
      </c>
      <c r="BC1506" t="s">
        <v>171</v>
      </c>
      <c r="BD1506">
        <v>1509</v>
      </c>
      <c r="BE1506" t="s">
        <v>169</v>
      </c>
      <c r="BF1506" t="s">
        <v>163</v>
      </c>
      <c r="BG1506" t="s">
        <v>164</v>
      </c>
    </row>
    <row r="1507" spans="1:59">
      <c r="A1507">
        <v>1115</v>
      </c>
      <c r="B1507">
        <v>1115</v>
      </c>
      <c r="C1507">
        <v>10</v>
      </c>
      <c r="D1507">
        <v>2</v>
      </c>
      <c r="E1507" t="s">
        <v>152</v>
      </c>
      <c r="F1507" t="s">
        <v>153</v>
      </c>
      <c r="G1507" t="s">
        <v>154</v>
      </c>
      <c r="H1507">
        <v>1526007480</v>
      </c>
      <c r="I1507">
        <v>1000007775</v>
      </c>
      <c r="L1507" t="s">
        <v>367</v>
      </c>
      <c r="M1507">
        <v>5200000345</v>
      </c>
      <c r="N1507" t="s">
        <v>304</v>
      </c>
      <c r="O1507" t="s">
        <v>305</v>
      </c>
      <c r="P1507">
        <v>4310004528</v>
      </c>
      <c r="Q1507" t="s">
        <v>379</v>
      </c>
      <c r="R1507">
        <v>5000</v>
      </c>
      <c r="S1507" t="s">
        <v>166</v>
      </c>
      <c r="V1507" t="s">
        <v>167</v>
      </c>
      <c r="W1507">
        <v>1502040214</v>
      </c>
      <c r="X1507" t="s">
        <v>380</v>
      </c>
      <c r="Y1507" t="str">
        <f>VLOOKUP(W1507,Sheet4!$A$5:$B$72,2,0)</f>
        <v>LOGISTICS</v>
      </c>
      <c r="Z1507">
        <v>87082900</v>
      </c>
      <c r="AA1507">
        <v>270</v>
      </c>
      <c r="AB1507" t="s">
        <v>159</v>
      </c>
      <c r="AC1507">
        <v>7.72</v>
      </c>
      <c r="AD1507" t="s">
        <v>160</v>
      </c>
      <c r="AE1507" s="24">
        <v>2084.4</v>
      </c>
      <c r="AF1507">
        <v>0</v>
      </c>
      <c r="AG1507" s="24">
        <v>2084.4</v>
      </c>
      <c r="AH1507">
        <v>0</v>
      </c>
      <c r="AI1507">
        <v>0</v>
      </c>
      <c r="AJ1507">
        <v>0</v>
      </c>
      <c r="AK1507">
        <v>0</v>
      </c>
      <c r="AL1507" s="24">
        <v>2084.4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 s="24">
        <v>2084.4</v>
      </c>
      <c r="AV1507">
        <v>0</v>
      </c>
      <c r="AW1507">
        <v>0</v>
      </c>
      <c r="AX1507">
        <v>311000</v>
      </c>
      <c r="AY1507" t="s">
        <v>161</v>
      </c>
      <c r="AZ1507">
        <v>0.125</v>
      </c>
      <c r="BA1507">
        <v>0.125</v>
      </c>
      <c r="BB1507">
        <v>0</v>
      </c>
      <c r="BC1507">
        <v>24231713</v>
      </c>
      <c r="BD1507">
        <v>1511</v>
      </c>
      <c r="BE1507" t="s">
        <v>174</v>
      </c>
      <c r="BF1507" t="s">
        <v>163</v>
      </c>
      <c r="BG1507" t="s">
        <v>164</v>
      </c>
    </row>
    <row r="1508" spans="1:59">
      <c r="A1508">
        <v>1115</v>
      </c>
      <c r="B1508">
        <v>1115</v>
      </c>
      <c r="C1508">
        <v>10</v>
      </c>
      <c r="D1508">
        <v>2</v>
      </c>
      <c r="E1508" t="s">
        <v>152</v>
      </c>
      <c r="F1508" t="s">
        <v>153</v>
      </c>
      <c r="G1508" t="s">
        <v>154</v>
      </c>
      <c r="H1508">
        <v>1526007479</v>
      </c>
      <c r="I1508">
        <v>1000007774</v>
      </c>
      <c r="L1508" t="s">
        <v>367</v>
      </c>
      <c r="M1508">
        <v>5200000433</v>
      </c>
      <c r="N1508" t="s">
        <v>304</v>
      </c>
      <c r="O1508" t="s">
        <v>305</v>
      </c>
      <c r="P1508">
        <v>4310040987</v>
      </c>
      <c r="Q1508" t="s">
        <v>311</v>
      </c>
      <c r="R1508">
        <v>5000</v>
      </c>
      <c r="S1508" t="s">
        <v>166</v>
      </c>
      <c r="V1508" t="s">
        <v>167</v>
      </c>
      <c r="W1508">
        <v>1502040236</v>
      </c>
      <c r="X1508" t="s">
        <v>50</v>
      </c>
      <c r="Y1508" t="str">
        <f>VLOOKUP(W1508,Sheet4!$A$5:$B$72,2,0)</f>
        <v>SUPPORT TOP</v>
      </c>
      <c r="Z1508">
        <v>87082900</v>
      </c>
      <c r="AA1508">
        <v>225</v>
      </c>
      <c r="AB1508" t="s">
        <v>159</v>
      </c>
      <c r="AC1508">
        <v>134.19999999999999</v>
      </c>
      <c r="AD1508" t="s">
        <v>160</v>
      </c>
      <c r="AE1508" s="24">
        <v>30195</v>
      </c>
      <c r="AF1508">
        <v>0</v>
      </c>
      <c r="AG1508" s="24">
        <v>30195</v>
      </c>
      <c r="AH1508">
        <v>0</v>
      </c>
      <c r="AI1508">
        <v>0</v>
      </c>
      <c r="AJ1508">
        <v>0</v>
      </c>
      <c r="AK1508">
        <v>0</v>
      </c>
      <c r="AL1508" s="24">
        <v>30195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 s="24">
        <v>30195</v>
      </c>
      <c r="AV1508">
        <v>0</v>
      </c>
      <c r="AW1508">
        <v>0</v>
      </c>
      <c r="AX1508">
        <v>311000</v>
      </c>
      <c r="AY1508" t="s">
        <v>161</v>
      </c>
      <c r="AZ1508">
        <v>1.19</v>
      </c>
      <c r="BA1508">
        <v>1.19</v>
      </c>
      <c r="BB1508">
        <v>0</v>
      </c>
      <c r="BC1508" t="s">
        <v>183</v>
      </c>
      <c r="BD1508">
        <v>1511</v>
      </c>
      <c r="BE1508" t="s">
        <v>174</v>
      </c>
      <c r="BF1508" t="s">
        <v>163</v>
      </c>
      <c r="BG1508" t="s">
        <v>164</v>
      </c>
    </row>
    <row r="1509" spans="1:59">
      <c r="A1509">
        <v>1115</v>
      </c>
      <c r="B1509">
        <v>1115</v>
      </c>
      <c r="C1509">
        <v>10</v>
      </c>
      <c r="D1509">
        <v>2</v>
      </c>
      <c r="E1509" t="s">
        <v>152</v>
      </c>
      <c r="F1509" t="s">
        <v>153</v>
      </c>
      <c r="G1509" t="s">
        <v>154</v>
      </c>
      <c r="H1509">
        <v>1526007478</v>
      </c>
      <c r="I1509">
        <v>1000007773</v>
      </c>
      <c r="L1509" t="s">
        <v>367</v>
      </c>
      <c r="M1509">
        <v>5200000328</v>
      </c>
      <c r="N1509" t="s">
        <v>304</v>
      </c>
      <c r="O1509" t="s">
        <v>305</v>
      </c>
      <c r="P1509">
        <v>4310001699</v>
      </c>
      <c r="Q1509" t="s">
        <v>177</v>
      </c>
      <c r="R1509">
        <v>5000</v>
      </c>
      <c r="S1509" t="s">
        <v>166</v>
      </c>
      <c r="V1509" t="s">
        <v>167</v>
      </c>
      <c r="W1509">
        <v>1502010019</v>
      </c>
      <c r="X1509" t="s">
        <v>309</v>
      </c>
      <c r="Y1509" t="str">
        <f>VLOOKUP(W1509,Sheet4!$A$5:$B$72,2,0)</f>
        <v>LOGISTICS</v>
      </c>
      <c r="Z1509">
        <v>87082900</v>
      </c>
      <c r="AA1509" s="24">
        <v>13000</v>
      </c>
      <c r="AB1509" t="s">
        <v>159</v>
      </c>
      <c r="AC1509">
        <v>13.37</v>
      </c>
      <c r="AD1509" t="s">
        <v>160</v>
      </c>
      <c r="AE1509" s="24">
        <v>173810</v>
      </c>
      <c r="AF1509">
        <v>0</v>
      </c>
      <c r="AG1509" s="24">
        <v>173810</v>
      </c>
      <c r="AH1509">
        <v>0</v>
      </c>
      <c r="AI1509">
        <v>0</v>
      </c>
      <c r="AJ1509">
        <v>0</v>
      </c>
      <c r="AK1509">
        <v>0</v>
      </c>
      <c r="AL1509" s="24">
        <v>173810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 s="24">
        <v>173810</v>
      </c>
      <c r="AV1509">
        <v>0</v>
      </c>
      <c r="AW1509">
        <v>0</v>
      </c>
      <c r="AX1509">
        <v>311000</v>
      </c>
      <c r="AY1509" t="s">
        <v>161</v>
      </c>
      <c r="AZ1509">
        <v>7.0000000000000007E-2</v>
      </c>
      <c r="BA1509">
        <v>4.2000000000000003E-2</v>
      </c>
      <c r="BB1509">
        <v>2.8000000000000001E-2</v>
      </c>
      <c r="BC1509" t="s">
        <v>310</v>
      </c>
      <c r="BD1509">
        <v>1508</v>
      </c>
      <c r="BE1509" t="s">
        <v>162</v>
      </c>
      <c r="BF1509" t="s">
        <v>163</v>
      </c>
      <c r="BG1509" t="s">
        <v>164</v>
      </c>
    </row>
    <row r="1510" spans="1:59">
      <c r="A1510">
        <v>1115</v>
      </c>
      <c r="B1510">
        <v>1115</v>
      </c>
      <c r="C1510">
        <v>10</v>
      </c>
      <c r="D1510">
        <v>2</v>
      </c>
      <c r="E1510" t="s">
        <v>152</v>
      </c>
      <c r="F1510" t="s">
        <v>153</v>
      </c>
      <c r="G1510" t="s">
        <v>154</v>
      </c>
      <c r="H1510">
        <v>1526007477</v>
      </c>
      <c r="I1510">
        <v>1000007772</v>
      </c>
      <c r="L1510" t="s">
        <v>367</v>
      </c>
      <c r="M1510">
        <v>5100001568</v>
      </c>
      <c r="N1510" t="s">
        <v>155</v>
      </c>
      <c r="O1510" t="s">
        <v>156</v>
      </c>
      <c r="P1510">
        <v>4110023868</v>
      </c>
      <c r="Q1510" t="s">
        <v>182</v>
      </c>
      <c r="R1510">
        <v>5000</v>
      </c>
      <c r="S1510" t="s">
        <v>166</v>
      </c>
      <c r="V1510" t="s">
        <v>167</v>
      </c>
      <c r="W1510">
        <v>1502040236</v>
      </c>
      <c r="X1510" t="s">
        <v>50</v>
      </c>
      <c r="Y1510" t="str">
        <f>VLOOKUP(W1510,Sheet4!$A$5:$B$72,2,0)</f>
        <v>SUPPORT TOP</v>
      </c>
      <c r="Z1510">
        <v>87082900</v>
      </c>
      <c r="AA1510">
        <v>288</v>
      </c>
      <c r="AB1510" t="s">
        <v>159</v>
      </c>
      <c r="AC1510">
        <v>134.19999999999999</v>
      </c>
      <c r="AD1510" t="s">
        <v>160</v>
      </c>
      <c r="AE1510" s="24">
        <v>38649.599999999999</v>
      </c>
      <c r="AF1510">
        <v>0</v>
      </c>
      <c r="AG1510" s="24">
        <v>38649.599999999999</v>
      </c>
      <c r="AH1510">
        <v>0</v>
      </c>
      <c r="AI1510">
        <v>0</v>
      </c>
      <c r="AJ1510">
        <v>0</v>
      </c>
      <c r="AK1510">
        <v>0</v>
      </c>
      <c r="AL1510" s="24">
        <v>38649.599999999999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 s="24">
        <v>38649.599999999999</v>
      </c>
      <c r="AV1510">
        <v>0</v>
      </c>
      <c r="AW1510">
        <v>0</v>
      </c>
      <c r="AX1510">
        <v>311000</v>
      </c>
      <c r="AY1510" t="s">
        <v>161</v>
      </c>
      <c r="AZ1510">
        <v>1.19</v>
      </c>
      <c r="BA1510">
        <v>1.19</v>
      </c>
      <c r="BB1510">
        <v>0</v>
      </c>
      <c r="BC1510" t="s">
        <v>183</v>
      </c>
      <c r="BD1510">
        <v>1511</v>
      </c>
      <c r="BE1510" t="s">
        <v>174</v>
      </c>
      <c r="BF1510" t="s">
        <v>163</v>
      </c>
      <c r="BG1510" t="s">
        <v>164</v>
      </c>
    </row>
    <row r="1511" spans="1:59">
      <c r="A1511">
        <v>1115</v>
      </c>
      <c r="B1511">
        <v>1115</v>
      </c>
      <c r="C1511">
        <v>10</v>
      </c>
      <c r="D1511">
        <v>2</v>
      </c>
      <c r="E1511" t="s">
        <v>152</v>
      </c>
      <c r="F1511" t="s">
        <v>153</v>
      </c>
      <c r="G1511" t="s">
        <v>154</v>
      </c>
      <c r="H1511">
        <v>1526007476</v>
      </c>
      <c r="I1511">
        <v>1000007771</v>
      </c>
      <c r="L1511" t="s">
        <v>367</v>
      </c>
      <c r="M1511">
        <v>5100001913</v>
      </c>
      <c r="N1511" t="s">
        <v>155</v>
      </c>
      <c r="O1511" t="s">
        <v>156</v>
      </c>
      <c r="P1511">
        <v>4110050475</v>
      </c>
      <c r="Q1511" t="s">
        <v>178</v>
      </c>
      <c r="R1511">
        <v>5000</v>
      </c>
      <c r="S1511" t="s">
        <v>166</v>
      </c>
      <c r="V1511" t="s">
        <v>167</v>
      </c>
      <c r="W1511">
        <v>1502040289</v>
      </c>
      <c r="X1511" t="s">
        <v>49</v>
      </c>
      <c r="Y1511" t="str">
        <f>VLOOKUP(W1511,Sheet4!$A$5:$B$72,2,0)</f>
        <v>SUPPORT TOP</v>
      </c>
      <c r="Z1511">
        <v>87082900</v>
      </c>
      <c r="AA1511">
        <v>288</v>
      </c>
      <c r="AB1511" t="s">
        <v>159</v>
      </c>
      <c r="AC1511">
        <v>174.61</v>
      </c>
      <c r="AD1511" t="s">
        <v>160</v>
      </c>
      <c r="AE1511" s="24">
        <v>50287.68</v>
      </c>
      <c r="AF1511">
        <v>0</v>
      </c>
      <c r="AG1511" s="24">
        <v>50287.68</v>
      </c>
      <c r="AH1511">
        <v>0</v>
      </c>
      <c r="AI1511">
        <v>0</v>
      </c>
      <c r="AJ1511">
        <v>0</v>
      </c>
      <c r="AK1511">
        <v>0</v>
      </c>
      <c r="AL1511" s="24">
        <v>50287.68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 s="24">
        <v>50287.68</v>
      </c>
      <c r="AV1511">
        <v>0</v>
      </c>
      <c r="AW1511">
        <v>0</v>
      </c>
      <c r="AX1511">
        <v>311000</v>
      </c>
      <c r="AY1511" t="s">
        <v>161</v>
      </c>
      <c r="AZ1511">
        <v>0</v>
      </c>
      <c r="BA1511">
        <v>0</v>
      </c>
      <c r="BB1511">
        <v>0</v>
      </c>
      <c r="BC1511" t="s">
        <v>179</v>
      </c>
      <c r="BD1511">
        <v>1511</v>
      </c>
      <c r="BE1511" t="s">
        <v>174</v>
      </c>
      <c r="BF1511" t="s">
        <v>163</v>
      </c>
      <c r="BG1511" t="s">
        <v>164</v>
      </c>
    </row>
    <row r="1512" spans="1:59">
      <c r="A1512">
        <v>1115</v>
      </c>
      <c r="B1512">
        <v>1115</v>
      </c>
      <c r="C1512">
        <v>10</v>
      </c>
      <c r="D1512">
        <v>2</v>
      </c>
      <c r="E1512" t="s">
        <v>152</v>
      </c>
      <c r="F1512" t="s">
        <v>153</v>
      </c>
      <c r="G1512" t="s">
        <v>154</v>
      </c>
      <c r="H1512">
        <v>1526007475</v>
      </c>
      <c r="I1512">
        <v>1000007770</v>
      </c>
      <c r="L1512" t="s">
        <v>367</v>
      </c>
      <c r="M1512">
        <v>5100001588</v>
      </c>
      <c r="N1512" t="s">
        <v>155</v>
      </c>
      <c r="O1512" t="s">
        <v>156</v>
      </c>
      <c r="P1512">
        <v>4110025058</v>
      </c>
      <c r="Q1512" t="s">
        <v>180</v>
      </c>
      <c r="R1512">
        <v>5000</v>
      </c>
      <c r="S1512" t="s">
        <v>166</v>
      </c>
      <c r="V1512" t="s">
        <v>167</v>
      </c>
      <c r="W1512">
        <v>1502040235</v>
      </c>
      <c r="X1512" t="s">
        <v>47</v>
      </c>
      <c r="Y1512" t="str">
        <f>VLOOKUP(W1512,Sheet4!$A$5:$B$72,2,0)</f>
        <v>STARTING HANDLE</v>
      </c>
      <c r="Z1512">
        <v>87082900</v>
      </c>
      <c r="AA1512">
        <v>540</v>
      </c>
      <c r="AB1512" t="s">
        <v>159</v>
      </c>
      <c r="AC1512">
        <v>217.33</v>
      </c>
      <c r="AD1512" t="s">
        <v>160</v>
      </c>
      <c r="AE1512" s="24">
        <v>117358.2</v>
      </c>
      <c r="AF1512">
        <v>0</v>
      </c>
      <c r="AG1512" s="24">
        <v>117358.2</v>
      </c>
      <c r="AH1512">
        <v>0</v>
      </c>
      <c r="AI1512">
        <v>0</v>
      </c>
      <c r="AJ1512">
        <v>0</v>
      </c>
      <c r="AK1512">
        <v>0</v>
      </c>
      <c r="AL1512" s="24">
        <v>117358.2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 s="24">
        <v>117358.2</v>
      </c>
      <c r="AV1512">
        <v>0</v>
      </c>
      <c r="AW1512">
        <v>0</v>
      </c>
      <c r="AX1512">
        <v>311000</v>
      </c>
      <c r="AY1512" t="s">
        <v>161</v>
      </c>
      <c r="AZ1512">
        <v>1.19</v>
      </c>
      <c r="BA1512">
        <v>1.19</v>
      </c>
      <c r="BB1512">
        <v>0</v>
      </c>
      <c r="BC1512" t="s">
        <v>181</v>
      </c>
      <c r="BD1512">
        <v>1511</v>
      </c>
      <c r="BE1512" t="s">
        <v>174</v>
      </c>
      <c r="BF1512" t="s">
        <v>163</v>
      </c>
      <c r="BG1512" t="s">
        <v>164</v>
      </c>
    </row>
    <row r="1513" spans="1:59">
      <c r="A1513">
        <v>1115</v>
      </c>
      <c r="B1513">
        <v>1115</v>
      </c>
      <c r="C1513">
        <v>10</v>
      </c>
      <c r="D1513">
        <v>2</v>
      </c>
      <c r="E1513" t="s">
        <v>152</v>
      </c>
      <c r="F1513" t="s">
        <v>153</v>
      </c>
      <c r="G1513" t="s">
        <v>154</v>
      </c>
      <c r="H1513">
        <v>1526007474</v>
      </c>
      <c r="I1513">
        <v>1000007769</v>
      </c>
      <c r="L1513" t="s">
        <v>367</v>
      </c>
      <c r="M1513">
        <v>5100001939</v>
      </c>
      <c r="N1513" t="s">
        <v>155</v>
      </c>
      <c r="O1513" t="s">
        <v>156</v>
      </c>
      <c r="P1513">
        <v>4110059608</v>
      </c>
      <c r="Q1513" t="s">
        <v>240</v>
      </c>
      <c r="R1513">
        <v>5000</v>
      </c>
      <c r="S1513" t="s">
        <v>166</v>
      </c>
      <c r="V1513" t="s">
        <v>167</v>
      </c>
      <c r="W1513">
        <v>1502020129</v>
      </c>
      <c r="X1513" t="s">
        <v>241</v>
      </c>
      <c r="Y1513" t="str">
        <f>VLOOKUP(W1513,Sheet4!$A$5:$B$72,2,0)</f>
        <v>RE STYLING</v>
      </c>
      <c r="Z1513">
        <v>87082900</v>
      </c>
      <c r="AA1513">
        <v>15</v>
      </c>
      <c r="AB1513" t="s">
        <v>159</v>
      </c>
      <c r="AC1513" s="24">
        <v>6500.18</v>
      </c>
      <c r="AD1513" t="s">
        <v>160</v>
      </c>
      <c r="AE1513" s="24">
        <v>97502.7</v>
      </c>
      <c r="AF1513">
        <v>0</v>
      </c>
      <c r="AG1513" s="24">
        <v>97502.7</v>
      </c>
      <c r="AH1513">
        <v>0</v>
      </c>
      <c r="AI1513">
        <v>0</v>
      </c>
      <c r="AJ1513">
        <v>0</v>
      </c>
      <c r="AK1513">
        <v>0</v>
      </c>
      <c r="AL1513" s="24">
        <v>97502.7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 s="24">
        <v>97502.7</v>
      </c>
      <c r="AV1513">
        <v>0</v>
      </c>
      <c r="AW1513">
        <v>0</v>
      </c>
      <c r="AX1513">
        <v>311000</v>
      </c>
      <c r="AY1513" t="s">
        <v>161</v>
      </c>
      <c r="AZ1513">
        <v>0</v>
      </c>
      <c r="BA1513">
        <v>0</v>
      </c>
      <c r="BB1513">
        <v>0</v>
      </c>
      <c r="BC1513" t="s">
        <v>242</v>
      </c>
      <c r="BD1513">
        <v>1509</v>
      </c>
      <c r="BE1513" t="s">
        <v>169</v>
      </c>
      <c r="BF1513" t="s">
        <v>163</v>
      </c>
      <c r="BG1513" t="s">
        <v>164</v>
      </c>
    </row>
    <row r="1514" spans="1:59">
      <c r="A1514">
        <v>1115</v>
      </c>
      <c r="B1514">
        <v>1115</v>
      </c>
      <c r="C1514">
        <v>10</v>
      </c>
      <c r="D1514">
        <v>2</v>
      </c>
      <c r="E1514" t="s">
        <v>152</v>
      </c>
      <c r="F1514" t="s">
        <v>153</v>
      </c>
      <c r="G1514" t="s">
        <v>154</v>
      </c>
      <c r="H1514">
        <v>1526007473</v>
      </c>
      <c r="I1514">
        <v>1000007768</v>
      </c>
      <c r="L1514" t="s">
        <v>367</v>
      </c>
      <c r="M1514">
        <v>5100001939</v>
      </c>
      <c r="N1514" t="s">
        <v>155</v>
      </c>
      <c r="O1514" t="s">
        <v>156</v>
      </c>
      <c r="P1514">
        <v>4110059608</v>
      </c>
      <c r="Q1514" t="s">
        <v>240</v>
      </c>
      <c r="R1514">
        <v>5000</v>
      </c>
      <c r="S1514" t="s">
        <v>166</v>
      </c>
      <c r="V1514" t="s">
        <v>167</v>
      </c>
      <c r="W1514">
        <v>1502020129</v>
      </c>
      <c r="X1514" t="s">
        <v>241</v>
      </c>
      <c r="Y1514" t="str">
        <f>VLOOKUP(W1514,Sheet4!$A$5:$B$72,2,0)</f>
        <v>RE STYLING</v>
      </c>
      <c r="Z1514">
        <v>87082900</v>
      </c>
      <c r="AA1514">
        <v>15</v>
      </c>
      <c r="AB1514" t="s">
        <v>159</v>
      </c>
      <c r="AC1514" s="24">
        <v>6500.18</v>
      </c>
      <c r="AD1514" t="s">
        <v>160</v>
      </c>
      <c r="AE1514" s="24">
        <v>97502.7</v>
      </c>
      <c r="AF1514">
        <v>0</v>
      </c>
      <c r="AG1514" s="24">
        <v>97502.7</v>
      </c>
      <c r="AH1514">
        <v>0</v>
      </c>
      <c r="AI1514">
        <v>0</v>
      </c>
      <c r="AJ1514">
        <v>0</v>
      </c>
      <c r="AK1514">
        <v>0</v>
      </c>
      <c r="AL1514" s="24">
        <v>97502.7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 s="24">
        <v>97502.7</v>
      </c>
      <c r="AV1514">
        <v>0</v>
      </c>
      <c r="AW1514">
        <v>0</v>
      </c>
      <c r="AX1514">
        <v>311000</v>
      </c>
      <c r="AY1514" t="s">
        <v>161</v>
      </c>
      <c r="AZ1514">
        <v>0</v>
      </c>
      <c r="BA1514">
        <v>0</v>
      </c>
      <c r="BB1514">
        <v>0</v>
      </c>
      <c r="BC1514" t="s">
        <v>242</v>
      </c>
      <c r="BD1514">
        <v>1509</v>
      </c>
      <c r="BE1514" t="s">
        <v>169</v>
      </c>
      <c r="BF1514" t="s">
        <v>163</v>
      </c>
      <c r="BG1514" t="s">
        <v>164</v>
      </c>
    </row>
    <row r="1515" spans="1:59">
      <c r="A1515">
        <v>1115</v>
      </c>
      <c r="B1515">
        <v>1115</v>
      </c>
      <c r="C1515">
        <v>10</v>
      </c>
      <c r="D1515">
        <v>2</v>
      </c>
      <c r="E1515" t="s">
        <v>152</v>
      </c>
      <c r="F1515" t="s">
        <v>153</v>
      </c>
      <c r="G1515" t="s">
        <v>154</v>
      </c>
      <c r="H1515">
        <v>1526007472</v>
      </c>
      <c r="I1515">
        <v>1000007767</v>
      </c>
      <c r="L1515" t="s">
        <v>367</v>
      </c>
      <c r="M1515">
        <v>5100001939</v>
      </c>
      <c r="N1515" t="s">
        <v>155</v>
      </c>
      <c r="O1515" t="s">
        <v>156</v>
      </c>
      <c r="P1515">
        <v>4110059608</v>
      </c>
      <c r="Q1515" t="s">
        <v>240</v>
      </c>
      <c r="R1515">
        <v>5000</v>
      </c>
      <c r="S1515" t="s">
        <v>166</v>
      </c>
      <c r="V1515" t="s">
        <v>167</v>
      </c>
      <c r="W1515">
        <v>1502020129</v>
      </c>
      <c r="X1515" t="s">
        <v>241</v>
      </c>
      <c r="Y1515" t="str">
        <f>VLOOKUP(W1515,Sheet4!$A$5:$B$72,2,0)</f>
        <v>RE STYLING</v>
      </c>
      <c r="Z1515">
        <v>87082900</v>
      </c>
      <c r="AA1515">
        <v>15</v>
      </c>
      <c r="AB1515" t="s">
        <v>159</v>
      </c>
      <c r="AC1515" s="24">
        <v>6500.18</v>
      </c>
      <c r="AD1515" t="s">
        <v>160</v>
      </c>
      <c r="AE1515" s="24">
        <v>97502.7</v>
      </c>
      <c r="AF1515">
        <v>0</v>
      </c>
      <c r="AG1515" s="24">
        <v>97502.7</v>
      </c>
      <c r="AH1515">
        <v>0</v>
      </c>
      <c r="AI1515">
        <v>0</v>
      </c>
      <c r="AJ1515">
        <v>0</v>
      </c>
      <c r="AK1515">
        <v>0</v>
      </c>
      <c r="AL1515" s="24">
        <v>97502.7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 s="24">
        <v>97502.7</v>
      </c>
      <c r="AV1515">
        <v>0</v>
      </c>
      <c r="AW1515">
        <v>0</v>
      </c>
      <c r="AX1515">
        <v>311000</v>
      </c>
      <c r="AY1515" t="s">
        <v>161</v>
      </c>
      <c r="AZ1515">
        <v>0</v>
      </c>
      <c r="BA1515">
        <v>0</v>
      </c>
      <c r="BB1515">
        <v>0</v>
      </c>
      <c r="BC1515" t="s">
        <v>242</v>
      </c>
      <c r="BD1515">
        <v>1509</v>
      </c>
      <c r="BE1515" t="s">
        <v>169</v>
      </c>
      <c r="BF1515" t="s">
        <v>163</v>
      </c>
      <c r="BG1515" t="s">
        <v>164</v>
      </c>
    </row>
    <row r="1516" spans="1:59">
      <c r="A1516">
        <v>1115</v>
      </c>
      <c r="B1516">
        <v>1115</v>
      </c>
      <c r="C1516">
        <v>10</v>
      </c>
      <c r="D1516">
        <v>2</v>
      </c>
      <c r="E1516" t="s">
        <v>152</v>
      </c>
      <c r="F1516" t="s">
        <v>153</v>
      </c>
      <c r="G1516" t="s">
        <v>154</v>
      </c>
      <c r="H1516">
        <v>1526007471</v>
      </c>
      <c r="I1516">
        <v>1000007766</v>
      </c>
      <c r="L1516" t="s">
        <v>367</v>
      </c>
      <c r="M1516">
        <v>5100001928</v>
      </c>
      <c r="N1516" t="s">
        <v>155</v>
      </c>
      <c r="O1516" t="s">
        <v>156</v>
      </c>
      <c r="P1516">
        <v>4110057393</v>
      </c>
      <c r="Q1516" t="s">
        <v>192</v>
      </c>
      <c r="R1516">
        <v>5000</v>
      </c>
      <c r="S1516" t="s">
        <v>166</v>
      </c>
      <c r="V1516" t="s">
        <v>167</v>
      </c>
      <c r="W1516">
        <v>1502020122</v>
      </c>
      <c r="X1516" t="s">
        <v>70</v>
      </c>
      <c r="Y1516" t="str">
        <f>VLOOKUP(W1516,Sheet4!$A$5:$B$72,2,0)</f>
        <v>MAX UG NEW EV</v>
      </c>
      <c r="Z1516">
        <v>87082900</v>
      </c>
      <c r="AA1516">
        <v>10</v>
      </c>
      <c r="AB1516" t="s">
        <v>159</v>
      </c>
      <c r="AC1516" s="24">
        <v>9566.51</v>
      </c>
      <c r="AD1516" t="s">
        <v>160</v>
      </c>
      <c r="AE1516" s="24">
        <v>95665.1</v>
      </c>
      <c r="AF1516">
        <v>0</v>
      </c>
      <c r="AG1516" s="24">
        <v>95665.1</v>
      </c>
      <c r="AH1516">
        <v>0</v>
      </c>
      <c r="AI1516">
        <v>0</v>
      </c>
      <c r="AJ1516">
        <v>0</v>
      </c>
      <c r="AK1516">
        <v>0</v>
      </c>
      <c r="AL1516" s="24">
        <v>95665.1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 s="24">
        <v>95665.1</v>
      </c>
      <c r="AV1516">
        <v>0</v>
      </c>
      <c r="AW1516">
        <v>0</v>
      </c>
      <c r="AX1516">
        <v>311000</v>
      </c>
      <c r="AY1516" t="s">
        <v>161</v>
      </c>
      <c r="AZ1516">
        <v>0</v>
      </c>
      <c r="BA1516">
        <v>61</v>
      </c>
      <c r="BB1516">
        <v>-61</v>
      </c>
      <c r="BC1516" t="s">
        <v>193</v>
      </c>
      <c r="BD1516">
        <v>1509</v>
      </c>
      <c r="BE1516" t="s">
        <v>169</v>
      </c>
      <c r="BF1516" t="s">
        <v>163</v>
      </c>
      <c r="BG1516" t="s">
        <v>164</v>
      </c>
    </row>
    <row r="1517" spans="1:59">
      <c r="A1517">
        <v>1115</v>
      </c>
      <c r="B1517">
        <v>1115</v>
      </c>
      <c r="C1517">
        <v>10</v>
      </c>
      <c r="D1517">
        <v>2</v>
      </c>
      <c r="E1517" t="s">
        <v>152</v>
      </c>
      <c r="F1517" t="s">
        <v>153</v>
      </c>
      <c r="G1517" t="s">
        <v>154</v>
      </c>
      <c r="H1517">
        <v>1526007470</v>
      </c>
      <c r="I1517">
        <v>1000007765</v>
      </c>
      <c r="L1517" t="s">
        <v>367</v>
      </c>
      <c r="M1517">
        <v>5100001939</v>
      </c>
      <c r="N1517" t="s">
        <v>155</v>
      </c>
      <c r="O1517" t="s">
        <v>156</v>
      </c>
      <c r="P1517">
        <v>4110059608</v>
      </c>
      <c r="Q1517" t="s">
        <v>240</v>
      </c>
      <c r="R1517">
        <v>5000</v>
      </c>
      <c r="S1517" t="s">
        <v>166</v>
      </c>
      <c r="V1517" t="s">
        <v>167</v>
      </c>
      <c r="W1517">
        <v>1502020129</v>
      </c>
      <c r="X1517" t="s">
        <v>241</v>
      </c>
      <c r="Y1517" t="str">
        <f>VLOOKUP(W1517,Sheet4!$A$5:$B$72,2,0)</f>
        <v>RE STYLING</v>
      </c>
      <c r="Z1517">
        <v>87082900</v>
      </c>
      <c r="AA1517">
        <v>15</v>
      </c>
      <c r="AB1517" t="s">
        <v>159</v>
      </c>
      <c r="AC1517" s="24">
        <v>6500.18</v>
      </c>
      <c r="AD1517" t="s">
        <v>160</v>
      </c>
      <c r="AE1517" s="24">
        <v>97502.7</v>
      </c>
      <c r="AF1517">
        <v>0</v>
      </c>
      <c r="AG1517" s="24">
        <v>97502.7</v>
      </c>
      <c r="AH1517">
        <v>0</v>
      </c>
      <c r="AI1517">
        <v>0</v>
      </c>
      <c r="AJ1517">
        <v>0</v>
      </c>
      <c r="AK1517">
        <v>0</v>
      </c>
      <c r="AL1517" s="24">
        <v>97502.7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 s="24">
        <v>97502.7</v>
      </c>
      <c r="AV1517">
        <v>0</v>
      </c>
      <c r="AW1517">
        <v>0</v>
      </c>
      <c r="AX1517">
        <v>311000</v>
      </c>
      <c r="AY1517" t="s">
        <v>161</v>
      </c>
      <c r="AZ1517">
        <v>0</v>
      </c>
      <c r="BA1517">
        <v>0</v>
      </c>
      <c r="BB1517">
        <v>0</v>
      </c>
      <c r="BC1517" t="s">
        <v>242</v>
      </c>
      <c r="BD1517">
        <v>1509</v>
      </c>
      <c r="BE1517" t="s">
        <v>169</v>
      </c>
      <c r="BF1517" t="s">
        <v>163</v>
      </c>
      <c r="BG1517" t="s">
        <v>164</v>
      </c>
    </row>
    <row r="1518" spans="1:59">
      <c r="A1518">
        <v>1115</v>
      </c>
      <c r="B1518">
        <v>1115</v>
      </c>
      <c r="C1518">
        <v>10</v>
      </c>
      <c r="D1518">
        <v>2</v>
      </c>
      <c r="E1518" t="s">
        <v>152</v>
      </c>
      <c r="F1518" t="s">
        <v>153</v>
      </c>
      <c r="G1518" t="s">
        <v>154</v>
      </c>
      <c r="H1518">
        <v>1526007469</v>
      </c>
      <c r="I1518">
        <v>1000007764</v>
      </c>
      <c r="L1518" t="s">
        <v>367</v>
      </c>
      <c r="M1518">
        <v>5100001939</v>
      </c>
      <c r="N1518" t="s">
        <v>155</v>
      </c>
      <c r="O1518" t="s">
        <v>156</v>
      </c>
      <c r="P1518">
        <v>4110059608</v>
      </c>
      <c r="Q1518" t="s">
        <v>240</v>
      </c>
      <c r="R1518">
        <v>5000</v>
      </c>
      <c r="S1518" t="s">
        <v>166</v>
      </c>
      <c r="V1518" t="s">
        <v>167</v>
      </c>
      <c r="W1518">
        <v>1502020129</v>
      </c>
      <c r="X1518" t="s">
        <v>241</v>
      </c>
      <c r="Y1518" t="str">
        <f>VLOOKUP(W1518,Sheet4!$A$5:$B$72,2,0)</f>
        <v>RE STYLING</v>
      </c>
      <c r="Z1518">
        <v>87082900</v>
      </c>
      <c r="AA1518">
        <v>15</v>
      </c>
      <c r="AB1518" t="s">
        <v>159</v>
      </c>
      <c r="AC1518" s="24">
        <v>6500.18</v>
      </c>
      <c r="AD1518" t="s">
        <v>160</v>
      </c>
      <c r="AE1518" s="24">
        <v>97502.7</v>
      </c>
      <c r="AF1518">
        <v>0</v>
      </c>
      <c r="AG1518" s="24">
        <v>97502.7</v>
      </c>
      <c r="AH1518">
        <v>0</v>
      </c>
      <c r="AI1518">
        <v>0</v>
      </c>
      <c r="AJ1518">
        <v>0</v>
      </c>
      <c r="AK1518">
        <v>0</v>
      </c>
      <c r="AL1518" s="24">
        <v>97502.7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 s="24">
        <v>97502.7</v>
      </c>
      <c r="AV1518">
        <v>0</v>
      </c>
      <c r="AW1518">
        <v>0</v>
      </c>
      <c r="AX1518">
        <v>311000</v>
      </c>
      <c r="AY1518" t="s">
        <v>161</v>
      </c>
      <c r="AZ1518">
        <v>0</v>
      </c>
      <c r="BA1518">
        <v>0</v>
      </c>
      <c r="BB1518">
        <v>0</v>
      </c>
      <c r="BC1518" t="s">
        <v>242</v>
      </c>
      <c r="BD1518">
        <v>1509</v>
      </c>
      <c r="BE1518" t="s">
        <v>169</v>
      </c>
      <c r="BF1518" t="s">
        <v>163</v>
      </c>
      <c r="BG1518" t="s">
        <v>164</v>
      </c>
    </row>
    <row r="1519" spans="1:59">
      <c r="A1519">
        <v>1115</v>
      </c>
      <c r="B1519">
        <v>1115</v>
      </c>
      <c r="C1519">
        <v>10</v>
      </c>
      <c r="D1519">
        <v>2</v>
      </c>
      <c r="E1519" t="s">
        <v>152</v>
      </c>
      <c r="F1519" t="s">
        <v>153</v>
      </c>
      <c r="G1519" t="s">
        <v>154</v>
      </c>
      <c r="H1519">
        <v>1526007468</v>
      </c>
      <c r="I1519">
        <v>1000007763</v>
      </c>
      <c r="L1519" t="s">
        <v>367</v>
      </c>
      <c r="M1519">
        <v>5100001939</v>
      </c>
      <c r="N1519" t="s">
        <v>155</v>
      </c>
      <c r="O1519" t="s">
        <v>156</v>
      </c>
      <c r="P1519">
        <v>4110059608</v>
      </c>
      <c r="Q1519" t="s">
        <v>240</v>
      </c>
      <c r="R1519">
        <v>5000</v>
      </c>
      <c r="S1519" t="s">
        <v>166</v>
      </c>
      <c r="V1519" t="s">
        <v>167</v>
      </c>
      <c r="W1519">
        <v>1502020129</v>
      </c>
      <c r="X1519" t="s">
        <v>241</v>
      </c>
      <c r="Y1519" t="str">
        <f>VLOOKUP(W1519,Sheet4!$A$5:$B$72,2,0)</f>
        <v>RE STYLING</v>
      </c>
      <c r="Z1519">
        <v>87082900</v>
      </c>
      <c r="AA1519">
        <v>15</v>
      </c>
      <c r="AB1519" t="s">
        <v>159</v>
      </c>
      <c r="AC1519" s="24">
        <v>6500.18</v>
      </c>
      <c r="AD1519" t="s">
        <v>160</v>
      </c>
      <c r="AE1519" s="24">
        <v>97502.7</v>
      </c>
      <c r="AF1519">
        <v>0</v>
      </c>
      <c r="AG1519" s="24">
        <v>97502.7</v>
      </c>
      <c r="AH1519">
        <v>0</v>
      </c>
      <c r="AI1519">
        <v>0</v>
      </c>
      <c r="AJ1519">
        <v>0</v>
      </c>
      <c r="AK1519">
        <v>0</v>
      </c>
      <c r="AL1519" s="24">
        <v>97502.7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 s="24">
        <v>97502.7</v>
      </c>
      <c r="AV1519">
        <v>0</v>
      </c>
      <c r="AW1519">
        <v>0</v>
      </c>
      <c r="AX1519">
        <v>311000</v>
      </c>
      <c r="AY1519" t="s">
        <v>161</v>
      </c>
      <c r="AZ1519">
        <v>0</v>
      </c>
      <c r="BA1519">
        <v>0</v>
      </c>
      <c r="BB1519">
        <v>0</v>
      </c>
      <c r="BC1519" t="s">
        <v>242</v>
      </c>
      <c r="BD1519">
        <v>1509</v>
      </c>
      <c r="BE1519" t="s">
        <v>169</v>
      </c>
      <c r="BF1519" t="s">
        <v>163</v>
      </c>
      <c r="BG1519" t="s">
        <v>164</v>
      </c>
    </row>
    <row r="1520" spans="1:59">
      <c r="A1520">
        <v>1115</v>
      </c>
      <c r="B1520">
        <v>1115</v>
      </c>
      <c r="C1520">
        <v>10</v>
      </c>
      <c r="D1520">
        <v>2</v>
      </c>
      <c r="E1520" t="s">
        <v>152</v>
      </c>
      <c r="F1520" t="s">
        <v>153</v>
      </c>
      <c r="G1520" t="s">
        <v>154</v>
      </c>
      <c r="H1520">
        <v>1526007467</v>
      </c>
      <c r="I1520">
        <v>1000007762</v>
      </c>
      <c r="L1520" t="s">
        <v>367</v>
      </c>
      <c r="M1520">
        <v>5100001939</v>
      </c>
      <c r="N1520" t="s">
        <v>155</v>
      </c>
      <c r="O1520" t="s">
        <v>156</v>
      </c>
      <c r="P1520">
        <v>4110059608</v>
      </c>
      <c r="Q1520" t="s">
        <v>240</v>
      </c>
      <c r="R1520">
        <v>5000</v>
      </c>
      <c r="S1520" t="s">
        <v>166</v>
      </c>
      <c r="V1520" t="s">
        <v>167</v>
      </c>
      <c r="W1520">
        <v>1502020129</v>
      </c>
      <c r="X1520" t="s">
        <v>241</v>
      </c>
      <c r="Y1520" t="str">
        <f>VLOOKUP(W1520,Sheet4!$A$5:$B$72,2,0)</f>
        <v>RE STYLING</v>
      </c>
      <c r="Z1520">
        <v>87082900</v>
      </c>
      <c r="AA1520">
        <v>15</v>
      </c>
      <c r="AB1520" t="s">
        <v>159</v>
      </c>
      <c r="AC1520" s="24">
        <v>6500.18</v>
      </c>
      <c r="AD1520" t="s">
        <v>160</v>
      </c>
      <c r="AE1520" s="24">
        <v>97502.7</v>
      </c>
      <c r="AF1520">
        <v>0</v>
      </c>
      <c r="AG1520" s="24">
        <v>97502.7</v>
      </c>
      <c r="AH1520">
        <v>0</v>
      </c>
      <c r="AI1520">
        <v>0</v>
      </c>
      <c r="AJ1520">
        <v>0</v>
      </c>
      <c r="AK1520">
        <v>0</v>
      </c>
      <c r="AL1520" s="24">
        <v>97502.7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 s="24">
        <v>97502.7</v>
      </c>
      <c r="AV1520">
        <v>0</v>
      </c>
      <c r="AW1520">
        <v>0</v>
      </c>
      <c r="AX1520">
        <v>311000</v>
      </c>
      <c r="AY1520" t="s">
        <v>161</v>
      </c>
      <c r="AZ1520">
        <v>0</v>
      </c>
      <c r="BA1520">
        <v>0</v>
      </c>
      <c r="BB1520">
        <v>0</v>
      </c>
      <c r="BC1520" t="s">
        <v>242</v>
      </c>
      <c r="BD1520">
        <v>1509</v>
      </c>
      <c r="BE1520" t="s">
        <v>169</v>
      </c>
      <c r="BF1520" t="s">
        <v>163</v>
      </c>
      <c r="BG1520" t="s">
        <v>164</v>
      </c>
    </row>
    <row r="1521" spans="1:59">
      <c r="A1521">
        <v>1115</v>
      </c>
      <c r="B1521">
        <v>1115</v>
      </c>
      <c r="C1521">
        <v>10</v>
      </c>
      <c r="D1521">
        <v>2</v>
      </c>
      <c r="E1521" t="s">
        <v>152</v>
      </c>
      <c r="F1521" t="s">
        <v>153</v>
      </c>
      <c r="G1521" t="s">
        <v>154</v>
      </c>
      <c r="H1521">
        <v>1526007466</v>
      </c>
      <c r="I1521">
        <v>1000007761</v>
      </c>
      <c r="L1521" t="s">
        <v>367</v>
      </c>
      <c r="M1521">
        <v>5100001939</v>
      </c>
      <c r="N1521" t="s">
        <v>155</v>
      </c>
      <c r="O1521" t="s">
        <v>156</v>
      </c>
      <c r="P1521">
        <v>4110059608</v>
      </c>
      <c r="Q1521" t="s">
        <v>240</v>
      </c>
      <c r="R1521">
        <v>5000</v>
      </c>
      <c r="S1521" t="s">
        <v>166</v>
      </c>
      <c r="V1521" t="s">
        <v>167</v>
      </c>
      <c r="W1521">
        <v>1502020129</v>
      </c>
      <c r="X1521" t="s">
        <v>241</v>
      </c>
      <c r="Y1521" t="str">
        <f>VLOOKUP(W1521,Sheet4!$A$5:$B$72,2,0)</f>
        <v>RE STYLING</v>
      </c>
      <c r="Z1521">
        <v>87082900</v>
      </c>
      <c r="AA1521">
        <v>15</v>
      </c>
      <c r="AB1521" t="s">
        <v>159</v>
      </c>
      <c r="AC1521" s="24">
        <v>6500.18</v>
      </c>
      <c r="AD1521" t="s">
        <v>160</v>
      </c>
      <c r="AE1521" s="24">
        <v>97502.7</v>
      </c>
      <c r="AF1521">
        <v>0</v>
      </c>
      <c r="AG1521" s="24">
        <v>97502.7</v>
      </c>
      <c r="AH1521">
        <v>0</v>
      </c>
      <c r="AI1521">
        <v>0</v>
      </c>
      <c r="AJ1521">
        <v>0</v>
      </c>
      <c r="AK1521">
        <v>0</v>
      </c>
      <c r="AL1521" s="24">
        <v>97502.7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 s="24">
        <v>97502.7</v>
      </c>
      <c r="AV1521">
        <v>0</v>
      </c>
      <c r="AW1521">
        <v>0</v>
      </c>
      <c r="AX1521">
        <v>311000</v>
      </c>
      <c r="AY1521" t="s">
        <v>161</v>
      </c>
      <c r="AZ1521">
        <v>0</v>
      </c>
      <c r="BA1521">
        <v>0</v>
      </c>
      <c r="BB1521">
        <v>0</v>
      </c>
      <c r="BC1521" t="s">
        <v>242</v>
      </c>
      <c r="BD1521">
        <v>1509</v>
      </c>
      <c r="BE1521" t="s">
        <v>169</v>
      </c>
      <c r="BF1521" t="s">
        <v>163</v>
      </c>
      <c r="BG1521" t="s">
        <v>164</v>
      </c>
    </row>
    <row r="1522" spans="1:59">
      <c r="A1522">
        <v>1115</v>
      </c>
      <c r="B1522">
        <v>1115</v>
      </c>
      <c r="C1522">
        <v>10</v>
      </c>
      <c r="D1522">
        <v>2</v>
      </c>
      <c r="E1522" t="s">
        <v>152</v>
      </c>
      <c r="F1522" t="s">
        <v>153</v>
      </c>
      <c r="G1522" t="s">
        <v>154</v>
      </c>
      <c r="H1522">
        <v>1526007465</v>
      </c>
      <c r="I1522">
        <v>1000007760</v>
      </c>
      <c r="L1522" t="s">
        <v>367</v>
      </c>
      <c r="M1522">
        <v>5100001939</v>
      </c>
      <c r="N1522" t="s">
        <v>155</v>
      </c>
      <c r="O1522" t="s">
        <v>156</v>
      </c>
      <c r="P1522">
        <v>4110059608</v>
      </c>
      <c r="Q1522" t="s">
        <v>240</v>
      </c>
      <c r="R1522">
        <v>5000</v>
      </c>
      <c r="S1522" t="s">
        <v>166</v>
      </c>
      <c r="V1522" t="s">
        <v>167</v>
      </c>
      <c r="W1522">
        <v>1502020129</v>
      </c>
      <c r="X1522" t="s">
        <v>241</v>
      </c>
      <c r="Y1522" t="str">
        <f>VLOOKUP(W1522,Sheet4!$A$5:$B$72,2,0)</f>
        <v>RE STYLING</v>
      </c>
      <c r="Z1522">
        <v>87082900</v>
      </c>
      <c r="AA1522">
        <v>15</v>
      </c>
      <c r="AB1522" t="s">
        <v>159</v>
      </c>
      <c r="AC1522" s="24">
        <v>6500.18</v>
      </c>
      <c r="AD1522" t="s">
        <v>160</v>
      </c>
      <c r="AE1522" s="24">
        <v>97502.7</v>
      </c>
      <c r="AF1522">
        <v>0</v>
      </c>
      <c r="AG1522" s="24">
        <v>97502.7</v>
      </c>
      <c r="AH1522">
        <v>0</v>
      </c>
      <c r="AI1522">
        <v>0</v>
      </c>
      <c r="AJ1522">
        <v>0</v>
      </c>
      <c r="AK1522">
        <v>0</v>
      </c>
      <c r="AL1522" s="24">
        <v>97502.7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 s="24">
        <v>97502.7</v>
      </c>
      <c r="AV1522">
        <v>0</v>
      </c>
      <c r="AW1522">
        <v>0</v>
      </c>
      <c r="AX1522">
        <v>311000</v>
      </c>
      <c r="AY1522" t="s">
        <v>161</v>
      </c>
      <c r="AZ1522">
        <v>0</v>
      </c>
      <c r="BA1522">
        <v>0</v>
      </c>
      <c r="BB1522">
        <v>0</v>
      </c>
      <c r="BC1522" t="s">
        <v>242</v>
      </c>
      <c r="BD1522">
        <v>1509</v>
      </c>
      <c r="BE1522" t="s">
        <v>169</v>
      </c>
      <c r="BF1522" t="s">
        <v>163</v>
      </c>
      <c r="BG1522" t="s">
        <v>164</v>
      </c>
    </row>
    <row r="1523" spans="1:59">
      <c r="A1523">
        <v>1115</v>
      </c>
      <c r="B1523">
        <v>1115</v>
      </c>
      <c r="C1523">
        <v>10</v>
      </c>
      <c r="D1523">
        <v>2</v>
      </c>
      <c r="E1523" t="s">
        <v>152</v>
      </c>
      <c r="F1523" t="s">
        <v>153</v>
      </c>
      <c r="G1523" t="s">
        <v>154</v>
      </c>
      <c r="H1523">
        <v>1526007462</v>
      </c>
      <c r="I1523">
        <v>1000007757</v>
      </c>
      <c r="L1523" t="s">
        <v>367</v>
      </c>
      <c r="M1523">
        <v>5100001928</v>
      </c>
      <c r="N1523" t="s">
        <v>155</v>
      </c>
      <c r="O1523" t="s">
        <v>156</v>
      </c>
      <c r="P1523">
        <v>4110057393</v>
      </c>
      <c r="Q1523" t="s">
        <v>192</v>
      </c>
      <c r="R1523">
        <v>5000</v>
      </c>
      <c r="S1523" t="s">
        <v>166</v>
      </c>
      <c r="V1523" t="s">
        <v>167</v>
      </c>
      <c r="W1523">
        <v>1502020122</v>
      </c>
      <c r="X1523" t="s">
        <v>70</v>
      </c>
      <c r="Y1523" t="str">
        <f>VLOOKUP(W1523,Sheet4!$A$5:$B$72,2,0)</f>
        <v>MAX UG NEW EV</v>
      </c>
      <c r="Z1523">
        <v>87082900</v>
      </c>
      <c r="AA1523">
        <v>10</v>
      </c>
      <c r="AB1523" t="s">
        <v>159</v>
      </c>
      <c r="AC1523" s="24">
        <v>9566.51</v>
      </c>
      <c r="AD1523" t="s">
        <v>160</v>
      </c>
      <c r="AE1523" s="24">
        <v>95665.1</v>
      </c>
      <c r="AF1523">
        <v>0</v>
      </c>
      <c r="AG1523" s="24">
        <v>95665.1</v>
      </c>
      <c r="AH1523">
        <v>0</v>
      </c>
      <c r="AI1523">
        <v>0</v>
      </c>
      <c r="AJ1523">
        <v>0</v>
      </c>
      <c r="AK1523">
        <v>0</v>
      </c>
      <c r="AL1523" s="24">
        <v>95665.1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 s="24">
        <v>95665.1</v>
      </c>
      <c r="AV1523">
        <v>0</v>
      </c>
      <c r="AW1523">
        <v>0</v>
      </c>
      <c r="AX1523">
        <v>311000</v>
      </c>
      <c r="AY1523" t="s">
        <v>161</v>
      </c>
      <c r="AZ1523">
        <v>0</v>
      </c>
      <c r="BA1523">
        <v>61</v>
      </c>
      <c r="BB1523">
        <v>-61</v>
      </c>
      <c r="BC1523" t="s">
        <v>193</v>
      </c>
      <c r="BD1523">
        <v>1509</v>
      </c>
      <c r="BE1523" t="s">
        <v>169</v>
      </c>
      <c r="BF1523" t="s">
        <v>163</v>
      </c>
      <c r="BG1523" t="s">
        <v>164</v>
      </c>
    </row>
    <row r="1524" spans="1:59">
      <c r="A1524">
        <v>1115</v>
      </c>
      <c r="B1524">
        <v>1115</v>
      </c>
      <c r="C1524">
        <v>10</v>
      </c>
      <c r="D1524">
        <v>2</v>
      </c>
      <c r="E1524" t="s">
        <v>152</v>
      </c>
      <c r="F1524" t="s">
        <v>153</v>
      </c>
      <c r="G1524" t="s">
        <v>154</v>
      </c>
      <c r="H1524">
        <v>1526007461</v>
      </c>
      <c r="I1524">
        <v>1000007756</v>
      </c>
      <c r="L1524" t="s">
        <v>367</v>
      </c>
      <c r="M1524">
        <v>5100001928</v>
      </c>
      <c r="N1524" t="s">
        <v>155</v>
      </c>
      <c r="O1524" t="s">
        <v>156</v>
      </c>
      <c r="P1524">
        <v>4110057393</v>
      </c>
      <c r="Q1524" t="s">
        <v>192</v>
      </c>
      <c r="R1524">
        <v>5000</v>
      </c>
      <c r="S1524" t="s">
        <v>166</v>
      </c>
      <c r="V1524" t="s">
        <v>167</v>
      </c>
      <c r="W1524">
        <v>1502020122</v>
      </c>
      <c r="X1524" t="s">
        <v>70</v>
      </c>
      <c r="Y1524" t="str">
        <f>VLOOKUP(W1524,Sheet4!$A$5:$B$72,2,0)</f>
        <v>MAX UG NEW EV</v>
      </c>
      <c r="Z1524">
        <v>87082900</v>
      </c>
      <c r="AA1524">
        <v>10</v>
      </c>
      <c r="AB1524" t="s">
        <v>159</v>
      </c>
      <c r="AC1524" s="24">
        <v>9566.51</v>
      </c>
      <c r="AD1524" t="s">
        <v>160</v>
      </c>
      <c r="AE1524" s="24">
        <v>95665.1</v>
      </c>
      <c r="AF1524">
        <v>0</v>
      </c>
      <c r="AG1524" s="24">
        <v>95665.1</v>
      </c>
      <c r="AH1524">
        <v>0</v>
      </c>
      <c r="AI1524">
        <v>0</v>
      </c>
      <c r="AJ1524">
        <v>0</v>
      </c>
      <c r="AK1524">
        <v>0</v>
      </c>
      <c r="AL1524" s="24">
        <v>95665.1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 s="24">
        <v>95665.1</v>
      </c>
      <c r="AV1524">
        <v>0</v>
      </c>
      <c r="AW1524">
        <v>0</v>
      </c>
      <c r="AX1524">
        <v>311000</v>
      </c>
      <c r="AY1524" t="s">
        <v>161</v>
      </c>
      <c r="AZ1524">
        <v>0</v>
      </c>
      <c r="BA1524">
        <v>61</v>
      </c>
      <c r="BB1524">
        <v>-61</v>
      </c>
      <c r="BC1524" t="s">
        <v>193</v>
      </c>
      <c r="BD1524">
        <v>1509</v>
      </c>
      <c r="BE1524" t="s">
        <v>169</v>
      </c>
      <c r="BF1524" t="s">
        <v>163</v>
      </c>
      <c r="BG1524" t="s">
        <v>164</v>
      </c>
    </row>
    <row r="1525" spans="1:59">
      <c r="A1525">
        <v>1115</v>
      </c>
      <c r="B1525">
        <v>1115</v>
      </c>
      <c r="C1525">
        <v>10</v>
      </c>
      <c r="D1525">
        <v>2</v>
      </c>
      <c r="E1525" t="s">
        <v>152</v>
      </c>
      <c r="F1525" t="s">
        <v>153</v>
      </c>
      <c r="G1525" t="s">
        <v>154</v>
      </c>
      <c r="H1525">
        <v>1526007460</v>
      </c>
      <c r="I1525">
        <v>1000007755</v>
      </c>
      <c r="L1525" t="s">
        <v>367</v>
      </c>
      <c r="M1525">
        <v>5100001928</v>
      </c>
      <c r="N1525" t="s">
        <v>155</v>
      </c>
      <c r="O1525" t="s">
        <v>156</v>
      </c>
      <c r="P1525">
        <v>4110057393</v>
      </c>
      <c r="Q1525" t="s">
        <v>192</v>
      </c>
      <c r="R1525">
        <v>5000</v>
      </c>
      <c r="S1525" t="s">
        <v>166</v>
      </c>
      <c r="V1525" t="s">
        <v>167</v>
      </c>
      <c r="W1525">
        <v>1502020122</v>
      </c>
      <c r="X1525" t="s">
        <v>70</v>
      </c>
      <c r="Y1525" t="str">
        <f>VLOOKUP(W1525,Sheet4!$A$5:$B$72,2,0)</f>
        <v>MAX UG NEW EV</v>
      </c>
      <c r="Z1525">
        <v>87082900</v>
      </c>
      <c r="AA1525">
        <v>10</v>
      </c>
      <c r="AB1525" t="s">
        <v>159</v>
      </c>
      <c r="AC1525" s="24">
        <v>9566.51</v>
      </c>
      <c r="AD1525" t="s">
        <v>160</v>
      </c>
      <c r="AE1525" s="24">
        <v>95665.1</v>
      </c>
      <c r="AF1525">
        <v>0</v>
      </c>
      <c r="AG1525" s="24">
        <v>95665.1</v>
      </c>
      <c r="AH1525">
        <v>0</v>
      </c>
      <c r="AI1525">
        <v>0</v>
      </c>
      <c r="AJ1525">
        <v>0</v>
      </c>
      <c r="AK1525">
        <v>0</v>
      </c>
      <c r="AL1525" s="24">
        <v>95665.1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 s="24">
        <v>95665.1</v>
      </c>
      <c r="AV1525">
        <v>0</v>
      </c>
      <c r="AW1525">
        <v>0</v>
      </c>
      <c r="AX1525">
        <v>311000</v>
      </c>
      <c r="AY1525" t="s">
        <v>161</v>
      </c>
      <c r="AZ1525">
        <v>0</v>
      </c>
      <c r="BA1525">
        <v>61</v>
      </c>
      <c r="BB1525">
        <v>-61</v>
      </c>
      <c r="BC1525" t="s">
        <v>193</v>
      </c>
      <c r="BD1525">
        <v>1509</v>
      </c>
      <c r="BE1525" t="s">
        <v>169</v>
      </c>
      <c r="BF1525" t="s">
        <v>163</v>
      </c>
      <c r="BG1525" t="s">
        <v>164</v>
      </c>
    </row>
    <row r="1526" spans="1:59">
      <c r="A1526">
        <v>1115</v>
      </c>
      <c r="B1526">
        <v>1115</v>
      </c>
      <c r="C1526">
        <v>10</v>
      </c>
      <c r="D1526">
        <v>2</v>
      </c>
      <c r="E1526" t="s">
        <v>152</v>
      </c>
      <c r="F1526" t="s">
        <v>153</v>
      </c>
      <c r="G1526" t="s">
        <v>154</v>
      </c>
      <c r="H1526">
        <v>1526007459</v>
      </c>
      <c r="I1526">
        <v>1000007754</v>
      </c>
      <c r="L1526" t="s">
        <v>367</v>
      </c>
      <c r="M1526">
        <v>5100001928</v>
      </c>
      <c r="N1526" t="s">
        <v>155</v>
      </c>
      <c r="O1526" t="s">
        <v>156</v>
      </c>
      <c r="P1526">
        <v>4110057393</v>
      </c>
      <c r="Q1526" t="s">
        <v>192</v>
      </c>
      <c r="R1526">
        <v>5000</v>
      </c>
      <c r="S1526" t="s">
        <v>166</v>
      </c>
      <c r="V1526" t="s">
        <v>167</v>
      </c>
      <c r="W1526">
        <v>1502020122</v>
      </c>
      <c r="X1526" t="s">
        <v>70</v>
      </c>
      <c r="Y1526" t="str">
        <f>VLOOKUP(W1526,Sheet4!$A$5:$B$72,2,0)</f>
        <v>MAX UG NEW EV</v>
      </c>
      <c r="Z1526">
        <v>87082900</v>
      </c>
      <c r="AA1526">
        <v>10</v>
      </c>
      <c r="AB1526" t="s">
        <v>159</v>
      </c>
      <c r="AC1526" s="24">
        <v>9566.51</v>
      </c>
      <c r="AD1526" t="s">
        <v>160</v>
      </c>
      <c r="AE1526" s="24">
        <v>95665.1</v>
      </c>
      <c r="AF1526">
        <v>0</v>
      </c>
      <c r="AG1526" s="24">
        <v>95665.1</v>
      </c>
      <c r="AH1526">
        <v>0</v>
      </c>
      <c r="AI1526">
        <v>0</v>
      </c>
      <c r="AJ1526">
        <v>0</v>
      </c>
      <c r="AK1526">
        <v>0</v>
      </c>
      <c r="AL1526" s="24">
        <v>95665.1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 s="24">
        <v>95665.1</v>
      </c>
      <c r="AV1526">
        <v>0</v>
      </c>
      <c r="AW1526">
        <v>0</v>
      </c>
      <c r="AX1526">
        <v>311000</v>
      </c>
      <c r="AY1526" t="s">
        <v>161</v>
      </c>
      <c r="AZ1526">
        <v>0</v>
      </c>
      <c r="BA1526">
        <v>61</v>
      </c>
      <c r="BB1526">
        <v>-61</v>
      </c>
      <c r="BC1526" t="s">
        <v>193</v>
      </c>
      <c r="BD1526">
        <v>1509</v>
      </c>
      <c r="BE1526" t="s">
        <v>169</v>
      </c>
      <c r="BF1526" t="s">
        <v>163</v>
      </c>
      <c r="BG1526" t="s">
        <v>164</v>
      </c>
    </row>
    <row r="1527" spans="1:59">
      <c r="A1527">
        <v>1115</v>
      </c>
      <c r="B1527">
        <v>1115</v>
      </c>
      <c r="C1527">
        <v>10</v>
      </c>
      <c r="D1527">
        <v>2</v>
      </c>
      <c r="E1527" t="s">
        <v>152</v>
      </c>
      <c r="F1527" t="s">
        <v>153</v>
      </c>
      <c r="G1527" t="s">
        <v>154</v>
      </c>
      <c r="H1527">
        <v>1526007453</v>
      </c>
      <c r="I1527">
        <v>1000007749</v>
      </c>
      <c r="L1527" t="s">
        <v>367</v>
      </c>
      <c r="M1527">
        <v>5100001913</v>
      </c>
      <c r="N1527" t="s">
        <v>155</v>
      </c>
      <c r="O1527" t="s">
        <v>156</v>
      </c>
      <c r="P1527">
        <v>4110050475</v>
      </c>
      <c r="Q1527" t="s">
        <v>178</v>
      </c>
      <c r="R1527">
        <v>5000</v>
      </c>
      <c r="S1527" t="s">
        <v>166</v>
      </c>
      <c r="V1527" t="s">
        <v>167</v>
      </c>
      <c r="W1527">
        <v>1502040289</v>
      </c>
      <c r="X1527" t="s">
        <v>49</v>
      </c>
      <c r="Y1527" t="str">
        <f>VLOOKUP(W1527,Sheet4!$A$5:$B$72,2,0)</f>
        <v>SUPPORT TOP</v>
      </c>
      <c r="Z1527">
        <v>87082900</v>
      </c>
      <c r="AA1527">
        <v>480</v>
      </c>
      <c r="AB1527" t="s">
        <v>159</v>
      </c>
      <c r="AC1527">
        <v>174.61</v>
      </c>
      <c r="AD1527" t="s">
        <v>160</v>
      </c>
      <c r="AE1527" s="24">
        <v>83812.800000000003</v>
      </c>
      <c r="AF1527">
        <v>0</v>
      </c>
      <c r="AG1527" s="24">
        <v>83812.800000000003</v>
      </c>
      <c r="AH1527">
        <v>0</v>
      </c>
      <c r="AI1527">
        <v>0</v>
      </c>
      <c r="AJ1527">
        <v>0</v>
      </c>
      <c r="AK1527">
        <v>0</v>
      </c>
      <c r="AL1527" s="24">
        <v>83812.800000000003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 s="24">
        <v>83812.800000000003</v>
      </c>
      <c r="AV1527">
        <v>0</v>
      </c>
      <c r="AW1527">
        <v>0</v>
      </c>
      <c r="AX1527">
        <v>311000</v>
      </c>
      <c r="AY1527" t="s">
        <v>161</v>
      </c>
      <c r="AZ1527">
        <v>0</v>
      </c>
      <c r="BA1527">
        <v>0</v>
      </c>
      <c r="BB1527">
        <v>0</v>
      </c>
      <c r="BC1527" t="s">
        <v>179</v>
      </c>
      <c r="BD1527">
        <v>1511</v>
      </c>
      <c r="BE1527" t="s">
        <v>174</v>
      </c>
      <c r="BF1527" t="s">
        <v>163</v>
      </c>
      <c r="BG1527" t="s">
        <v>164</v>
      </c>
    </row>
    <row r="1528" spans="1:59">
      <c r="A1528">
        <v>1115</v>
      </c>
      <c r="B1528">
        <v>1115</v>
      </c>
      <c r="C1528">
        <v>10</v>
      </c>
      <c r="D1528">
        <v>2</v>
      </c>
      <c r="E1528" t="s">
        <v>152</v>
      </c>
      <c r="F1528" t="s">
        <v>153</v>
      </c>
      <c r="G1528" t="s">
        <v>154</v>
      </c>
      <c r="H1528">
        <v>1526007452</v>
      </c>
      <c r="I1528">
        <v>1000007748</v>
      </c>
      <c r="L1528" t="s">
        <v>367</v>
      </c>
      <c r="M1528">
        <v>5100001928</v>
      </c>
      <c r="N1528" t="s">
        <v>155</v>
      </c>
      <c r="O1528" t="s">
        <v>156</v>
      </c>
      <c r="P1528">
        <v>4110057393</v>
      </c>
      <c r="Q1528" t="s">
        <v>192</v>
      </c>
      <c r="R1528">
        <v>5000</v>
      </c>
      <c r="S1528" t="s">
        <v>166</v>
      </c>
      <c r="V1528" t="s">
        <v>167</v>
      </c>
      <c r="W1528">
        <v>1502020122</v>
      </c>
      <c r="X1528" t="s">
        <v>70</v>
      </c>
      <c r="Y1528" t="str">
        <f>VLOOKUP(W1528,Sheet4!$A$5:$B$72,2,0)</f>
        <v>MAX UG NEW EV</v>
      </c>
      <c r="Z1528">
        <v>87082900</v>
      </c>
      <c r="AA1528">
        <v>10</v>
      </c>
      <c r="AB1528" t="s">
        <v>159</v>
      </c>
      <c r="AC1528" s="24">
        <v>9566.51</v>
      </c>
      <c r="AD1528" t="s">
        <v>160</v>
      </c>
      <c r="AE1528" s="24">
        <v>95665.1</v>
      </c>
      <c r="AF1528">
        <v>0</v>
      </c>
      <c r="AG1528" s="24">
        <v>95665.1</v>
      </c>
      <c r="AH1528">
        <v>0</v>
      </c>
      <c r="AI1528">
        <v>0</v>
      </c>
      <c r="AJ1528">
        <v>0</v>
      </c>
      <c r="AK1528">
        <v>0</v>
      </c>
      <c r="AL1528" s="24">
        <v>95665.1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 s="24">
        <v>95665.1</v>
      </c>
      <c r="AV1528">
        <v>0</v>
      </c>
      <c r="AW1528">
        <v>0</v>
      </c>
      <c r="AX1528">
        <v>311000</v>
      </c>
      <c r="AY1528" t="s">
        <v>161</v>
      </c>
      <c r="AZ1528">
        <v>0</v>
      </c>
      <c r="BA1528">
        <v>61</v>
      </c>
      <c r="BB1528">
        <v>-61</v>
      </c>
      <c r="BC1528" t="s">
        <v>193</v>
      </c>
      <c r="BD1528">
        <v>1509</v>
      </c>
      <c r="BE1528" t="s">
        <v>169</v>
      </c>
      <c r="BF1528" t="s">
        <v>163</v>
      </c>
      <c r="BG1528" t="s">
        <v>164</v>
      </c>
    </row>
    <row r="1529" spans="1:59">
      <c r="A1529">
        <v>1115</v>
      </c>
      <c r="B1529">
        <v>1115</v>
      </c>
      <c r="C1529">
        <v>10</v>
      </c>
      <c r="D1529">
        <v>2</v>
      </c>
      <c r="E1529" t="s">
        <v>152</v>
      </c>
      <c r="F1529" t="s">
        <v>153</v>
      </c>
      <c r="G1529" t="s">
        <v>154</v>
      </c>
      <c r="H1529">
        <v>1526007451</v>
      </c>
      <c r="I1529">
        <v>1000007747</v>
      </c>
      <c r="L1529" t="s">
        <v>367</v>
      </c>
      <c r="M1529">
        <v>5100001928</v>
      </c>
      <c r="N1529" t="s">
        <v>155</v>
      </c>
      <c r="O1529" t="s">
        <v>156</v>
      </c>
      <c r="P1529">
        <v>4110057393</v>
      </c>
      <c r="Q1529" t="s">
        <v>192</v>
      </c>
      <c r="R1529">
        <v>5000</v>
      </c>
      <c r="S1529" t="s">
        <v>166</v>
      </c>
      <c r="V1529" t="s">
        <v>167</v>
      </c>
      <c r="W1529">
        <v>1502020122</v>
      </c>
      <c r="X1529" t="s">
        <v>70</v>
      </c>
      <c r="Y1529" t="str">
        <f>VLOOKUP(W1529,Sheet4!$A$5:$B$72,2,0)</f>
        <v>MAX UG NEW EV</v>
      </c>
      <c r="Z1529">
        <v>87082900</v>
      </c>
      <c r="AA1529">
        <v>10</v>
      </c>
      <c r="AB1529" t="s">
        <v>159</v>
      </c>
      <c r="AC1529" s="24">
        <v>9566.51</v>
      </c>
      <c r="AD1529" t="s">
        <v>160</v>
      </c>
      <c r="AE1529" s="24">
        <v>95665.1</v>
      </c>
      <c r="AF1529">
        <v>0</v>
      </c>
      <c r="AG1529" s="24">
        <v>95665.1</v>
      </c>
      <c r="AH1529">
        <v>0</v>
      </c>
      <c r="AI1529">
        <v>0</v>
      </c>
      <c r="AJ1529">
        <v>0</v>
      </c>
      <c r="AK1529">
        <v>0</v>
      </c>
      <c r="AL1529" s="24">
        <v>95665.1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 s="24">
        <v>95665.1</v>
      </c>
      <c r="AV1529">
        <v>0</v>
      </c>
      <c r="AW1529">
        <v>0</v>
      </c>
      <c r="AX1529">
        <v>311000</v>
      </c>
      <c r="AY1529" t="s">
        <v>161</v>
      </c>
      <c r="AZ1529">
        <v>0</v>
      </c>
      <c r="BA1529">
        <v>61</v>
      </c>
      <c r="BB1529">
        <v>-61</v>
      </c>
      <c r="BC1529" t="s">
        <v>193</v>
      </c>
      <c r="BD1529">
        <v>1509</v>
      </c>
      <c r="BE1529" t="s">
        <v>169</v>
      </c>
      <c r="BF1529" t="s">
        <v>163</v>
      </c>
      <c r="BG1529" t="s">
        <v>164</v>
      </c>
    </row>
    <row r="1530" spans="1:59">
      <c r="A1530">
        <v>1115</v>
      </c>
      <c r="B1530">
        <v>1115</v>
      </c>
      <c r="C1530">
        <v>10</v>
      </c>
      <c r="D1530">
        <v>2</v>
      </c>
      <c r="E1530" t="s">
        <v>152</v>
      </c>
      <c r="F1530" t="s">
        <v>153</v>
      </c>
      <c r="G1530" t="s">
        <v>154</v>
      </c>
      <c r="H1530">
        <v>1526007450</v>
      </c>
      <c r="I1530">
        <v>1000007746</v>
      </c>
      <c r="L1530" t="s">
        <v>367</v>
      </c>
      <c r="M1530">
        <v>5100001928</v>
      </c>
      <c r="N1530" t="s">
        <v>155</v>
      </c>
      <c r="O1530" t="s">
        <v>156</v>
      </c>
      <c r="P1530">
        <v>4110057393</v>
      </c>
      <c r="Q1530" t="s">
        <v>192</v>
      </c>
      <c r="R1530">
        <v>5000</v>
      </c>
      <c r="S1530" t="s">
        <v>166</v>
      </c>
      <c r="V1530" t="s">
        <v>167</v>
      </c>
      <c r="W1530">
        <v>1502020122</v>
      </c>
      <c r="X1530" t="s">
        <v>70</v>
      </c>
      <c r="Y1530" t="str">
        <f>VLOOKUP(W1530,Sheet4!$A$5:$B$72,2,0)</f>
        <v>MAX UG NEW EV</v>
      </c>
      <c r="Z1530">
        <v>87082900</v>
      </c>
      <c r="AA1530">
        <v>10</v>
      </c>
      <c r="AB1530" t="s">
        <v>159</v>
      </c>
      <c r="AC1530" s="24">
        <v>9566.51</v>
      </c>
      <c r="AD1530" t="s">
        <v>160</v>
      </c>
      <c r="AE1530" s="24">
        <v>95665.1</v>
      </c>
      <c r="AF1530">
        <v>0</v>
      </c>
      <c r="AG1530" s="24">
        <v>95665.1</v>
      </c>
      <c r="AH1530">
        <v>0</v>
      </c>
      <c r="AI1530">
        <v>0</v>
      </c>
      <c r="AJ1530">
        <v>0</v>
      </c>
      <c r="AK1530">
        <v>0</v>
      </c>
      <c r="AL1530" s="24">
        <v>95665.1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 s="24">
        <v>95665.1</v>
      </c>
      <c r="AV1530">
        <v>0</v>
      </c>
      <c r="AW1530">
        <v>0</v>
      </c>
      <c r="AX1530">
        <v>311000</v>
      </c>
      <c r="AY1530" t="s">
        <v>161</v>
      </c>
      <c r="AZ1530">
        <v>0</v>
      </c>
      <c r="BA1530">
        <v>61</v>
      </c>
      <c r="BB1530">
        <v>-61</v>
      </c>
      <c r="BC1530" t="s">
        <v>193</v>
      </c>
      <c r="BD1530">
        <v>1509</v>
      </c>
      <c r="BE1530" t="s">
        <v>169</v>
      </c>
      <c r="BF1530" t="s">
        <v>163</v>
      </c>
      <c r="BG1530" t="s">
        <v>164</v>
      </c>
    </row>
    <row r="1531" spans="1:59">
      <c r="A1531">
        <v>1115</v>
      </c>
      <c r="B1531">
        <v>1115</v>
      </c>
      <c r="C1531">
        <v>10</v>
      </c>
      <c r="D1531">
        <v>2</v>
      </c>
      <c r="E1531" t="s">
        <v>152</v>
      </c>
      <c r="F1531" t="s">
        <v>153</v>
      </c>
      <c r="G1531" t="s">
        <v>154</v>
      </c>
      <c r="H1531">
        <v>1526007447</v>
      </c>
      <c r="I1531">
        <v>1000007744</v>
      </c>
      <c r="L1531" t="s">
        <v>367</v>
      </c>
      <c r="M1531">
        <v>5100001949</v>
      </c>
      <c r="N1531" t="s">
        <v>155</v>
      </c>
      <c r="O1531" t="s">
        <v>156</v>
      </c>
      <c r="P1531">
        <v>4110063766</v>
      </c>
      <c r="Q1531" t="s">
        <v>252</v>
      </c>
      <c r="R1531">
        <v>5000</v>
      </c>
      <c r="S1531" t="s">
        <v>166</v>
      </c>
      <c r="V1531" t="s">
        <v>167</v>
      </c>
      <c r="W1531">
        <v>1502040322</v>
      </c>
      <c r="X1531" t="s">
        <v>250</v>
      </c>
      <c r="Y1531" t="str">
        <f>VLOOKUP(W1531,Sheet4!$A$5:$B$72,2,0)</f>
        <v>DASH BOARD</v>
      </c>
      <c r="Z1531">
        <v>87082900</v>
      </c>
      <c r="AA1531">
        <v>90</v>
      </c>
      <c r="AB1531" t="s">
        <v>159</v>
      </c>
      <c r="AC1531">
        <v>291.27999999999997</v>
      </c>
      <c r="AD1531" t="s">
        <v>160</v>
      </c>
      <c r="AE1531" s="24">
        <v>26215.200000000001</v>
      </c>
      <c r="AF1531">
        <v>0</v>
      </c>
      <c r="AG1531" s="24">
        <v>26215.200000000001</v>
      </c>
      <c r="AH1531">
        <v>0</v>
      </c>
      <c r="AI1531">
        <v>0</v>
      </c>
      <c r="AJ1531">
        <v>0</v>
      </c>
      <c r="AK1531">
        <v>0</v>
      </c>
      <c r="AL1531" s="24">
        <v>26215.200000000001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 s="24">
        <v>26215.200000000001</v>
      </c>
      <c r="AV1531">
        <v>0</v>
      </c>
      <c r="AW1531">
        <v>0</v>
      </c>
      <c r="AX1531">
        <v>311000</v>
      </c>
      <c r="AY1531" t="s">
        <v>161</v>
      </c>
      <c r="AZ1531">
        <v>2.37</v>
      </c>
      <c r="BA1531">
        <v>2.37</v>
      </c>
      <c r="BB1531">
        <v>0</v>
      </c>
      <c r="BC1531" t="s">
        <v>251</v>
      </c>
      <c r="BD1531">
        <v>1511</v>
      </c>
      <c r="BE1531" t="s">
        <v>174</v>
      </c>
      <c r="BF1531" t="s">
        <v>163</v>
      </c>
      <c r="BG1531" t="s">
        <v>164</v>
      </c>
    </row>
    <row r="1532" spans="1:59">
      <c r="A1532">
        <v>1115</v>
      </c>
      <c r="B1532">
        <v>1115</v>
      </c>
      <c r="C1532">
        <v>10</v>
      </c>
      <c r="D1532">
        <v>2</v>
      </c>
      <c r="E1532" t="s">
        <v>152</v>
      </c>
      <c r="F1532" t="s">
        <v>153</v>
      </c>
      <c r="G1532" t="s">
        <v>154</v>
      </c>
      <c r="H1532">
        <v>1526007446</v>
      </c>
      <c r="I1532">
        <v>1000007743</v>
      </c>
      <c r="L1532" t="s">
        <v>367</v>
      </c>
      <c r="M1532">
        <v>5100001899</v>
      </c>
      <c r="N1532" t="s">
        <v>155</v>
      </c>
      <c r="O1532" t="s">
        <v>156</v>
      </c>
      <c r="P1532">
        <v>4110041854</v>
      </c>
      <c r="Q1532" t="s">
        <v>172</v>
      </c>
      <c r="R1532">
        <v>5000</v>
      </c>
      <c r="S1532" t="s">
        <v>166</v>
      </c>
      <c r="V1532" t="s">
        <v>167</v>
      </c>
      <c r="W1532">
        <v>1502040267</v>
      </c>
      <c r="X1532" t="s">
        <v>63</v>
      </c>
      <c r="Y1532" t="str">
        <f>VLOOKUP(W1532,Sheet4!$A$5:$B$72,2,0)</f>
        <v>DASH BOARD</v>
      </c>
      <c r="Z1532">
        <v>87082900</v>
      </c>
      <c r="AA1532">
        <v>416</v>
      </c>
      <c r="AB1532" t="s">
        <v>159</v>
      </c>
      <c r="AC1532">
        <v>290.89999999999998</v>
      </c>
      <c r="AD1532" t="s">
        <v>160</v>
      </c>
      <c r="AE1532" s="24">
        <v>121014.39999999999</v>
      </c>
      <c r="AF1532">
        <v>0</v>
      </c>
      <c r="AG1532" s="24">
        <v>121014.39999999999</v>
      </c>
      <c r="AH1532">
        <v>0</v>
      </c>
      <c r="AI1532">
        <v>0</v>
      </c>
      <c r="AJ1532">
        <v>0</v>
      </c>
      <c r="AK1532">
        <v>0</v>
      </c>
      <c r="AL1532" s="24">
        <v>121014.39999999999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 s="24">
        <v>121014.39999999999</v>
      </c>
      <c r="AV1532">
        <v>0</v>
      </c>
      <c r="AW1532">
        <v>0</v>
      </c>
      <c r="AX1532">
        <v>311000</v>
      </c>
      <c r="AY1532" t="s">
        <v>161</v>
      </c>
      <c r="AZ1532">
        <v>4.5</v>
      </c>
      <c r="BA1532">
        <v>4.5</v>
      </c>
      <c r="BB1532">
        <v>0</v>
      </c>
      <c r="BC1532" t="s">
        <v>173</v>
      </c>
      <c r="BD1532">
        <v>1511</v>
      </c>
      <c r="BE1532" t="s">
        <v>174</v>
      </c>
      <c r="BF1532" t="s">
        <v>163</v>
      </c>
      <c r="BG1532" t="s">
        <v>164</v>
      </c>
    </row>
    <row r="1533" spans="1:59">
      <c r="A1533">
        <v>1115</v>
      </c>
      <c r="B1533">
        <v>1115</v>
      </c>
      <c r="C1533">
        <v>10</v>
      </c>
      <c r="D1533">
        <v>2</v>
      </c>
      <c r="E1533" t="s">
        <v>152</v>
      </c>
      <c r="F1533" t="s">
        <v>153</v>
      </c>
      <c r="G1533" t="s">
        <v>154</v>
      </c>
      <c r="H1533">
        <v>1526007445</v>
      </c>
      <c r="I1533">
        <v>1000007742</v>
      </c>
      <c r="L1533" t="s">
        <v>367</v>
      </c>
      <c r="M1533">
        <v>5100001946</v>
      </c>
      <c r="N1533" t="s">
        <v>155</v>
      </c>
      <c r="O1533" t="s">
        <v>156</v>
      </c>
      <c r="P1533">
        <v>4110063010</v>
      </c>
      <c r="Q1533" t="s">
        <v>345</v>
      </c>
      <c r="R1533">
        <v>5000</v>
      </c>
      <c r="S1533" t="s">
        <v>166</v>
      </c>
      <c r="V1533" t="s">
        <v>167</v>
      </c>
      <c r="W1533">
        <v>1502040308</v>
      </c>
      <c r="X1533" t="s">
        <v>346</v>
      </c>
      <c r="Y1533" t="str">
        <f>VLOOKUP(W1533,Sheet4!$A$5:$B$72,2,0)</f>
        <v>FRONT MUDGAURD</v>
      </c>
      <c r="Z1533">
        <v>87082900</v>
      </c>
      <c r="AA1533">
        <v>45</v>
      </c>
      <c r="AB1533" t="s">
        <v>159</v>
      </c>
      <c r="AC1533">
        <v>427.17</v>
      </c>
      <c r="AD1533" t="s">
        <v>160</v>
      </c>
      <c r="AE1533" s="24">
        <v>19222.650000000001</v>
      </c>
      <c r="AF1533">
        <v>0</v>
      </c>
      <c r="AG1533" s="24">
        <v>19222.650000000001</v>
      </c>
      <c r="AH1533">
        <v>0</v>
      </c>
      <c r="AI1533">
        <v>0</v>
      </c>
      <c r="AJ1533">
        <v>0</v>
      </c>
      <c r="AK1533">
        <v>0</v>
      </c>
      <c r="AL1533" s="24">
        <v>19222.650000000001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 s="24">
        <v>19222.650000000001</v>
      </c>
      <c r="AV1533">
        <v>0</v>
      </c>
      <c r="AW1533">
        <v>0</v>
      </c>
      <c r="AX1533">
        <v>311000</v>
      </c>
      <c r="AY1533" t="s">
        <v>161</v>
      </c>
      <c r="AZ1533">
        <v>2.504</v>
      </c>
      <c r="BA1533">
        <v>2.5</v>
      </c>
      <c r="BB1533">
        <v>4.0000000000000001E-3</v>
      </c>
      <c r="BC1533" t="s">
        <v>347</v>
      </c>
      <c r="BD1533">
        <v>1511</v>
      </c>
      <c r="BE1533" t="s">
        <v>174</v>
      </c>
      <c r="BF1533" t="s">
        <v>163</v>
      </c>
      <c r="BG1533" t="s">
        <v>164</v>
      </c>
    </row>
    <row r="1534" spans="1:59">
      <c r="A1534">
        <v>1115</v>
      </c>
      <c r="B1534">
        <v>1115</v>
      </c>
      <c r="C1534">
        <v>10</v>
      </c>
      <c r="D1534">
        <v>2</v>
      </c>
      <c r="E1534" t="s">
        <v>152</v>
      </c>
      <c r="F1534" t="s">
        <v>153</v>
      </c>
      <c r="G1534" t="s">
        <v>154</v>
      </c>
      <c r="H1534">
        <v>1526007442</v>
      </c>
      <c r="I1534">
        <v>1000007738</v>
      </c>
      <c r="L1534" t="s">
        <v>367</v>
      </c>
      <c r="M1534">
        <v>5100001636</v>
      </c>
      <c r="N1534" t="s">
        <v>155</v>
      </c>
      <c r="O1534" t="s">
        <v>156</v>
      </c>
      <c r="P1534">
        <v>4110026445</v>
      </c>
      <c r="Q1534" t="s">
        <v>170</v>
      </c>
      <c r="R1534">
        <v>5000</v>
      </c>
      <c r="S1534" t="s">
        <v>166</v>
      </c>
      <c r="V1534" t="s">
        <v>167</v>
      </c>
      <c r="W1534">
        <v>1502020104</v>
      </c>
      <c r="X1534" t="s">
        <v>26</v>
      </c>
      <c r="Y1534" t="str">
        <f>VLOOKUP(W1534,Sheet4!$A$5:$B$72,2,0)</f>
        <v>RE STYLING</v>
      </c>
      <c r="Z1534">
        <v>87082900</v>
      </c>
      <c r="AA1534">
        <v>12</v>
      </c>
      <c r="AB1534" t="s">
        <v>159</v>
      </c>
      <c r="AC1534" s="24">
        <v>6585.55</v>
      </c>
      <c r="AD1534" t="s">
        <v>160</v>
      </c>
      <c r="AE1534" s="24">
        <v>79026.600000000006</v>
      </c>
      <c r="AF1534">
        <v>0</v>
      </c>
      <c r="AG1534" s="24">
        <v>79026.600000000006</v>
      </c>
      <c r="AH1534">
        <v>0</v>
      </c>
      <c r="AI1534">
        <v>0</v>
      </c>
      <c r="AJ1534">
        <v>0</v>
      </c>
      <c r="AK1534">
        <v>0</v>
      </c>
      <c r="AL1534" s="24">
        <v>79026.600000000006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 s="24">
        <v>79026.600000000006</v>
      </c>
      <c r="AV1534">
        <v>0</v>
      </c>
      <c r="AW1534">
        <v>0</v>
      </c>
      <c r="AX1534">
        <v>311000</v>
      </c>
      <c r="AY1534" t="s">
        <v>161</v>
      </c>
      <c r="AZ1534">
        <v>49.75</v>
      </c>
      <c r="BA1534">
        <v>49.75</v>
      </c>
      <c r="BB1534">
        <v>0</v>
      </c>
      <c r="BC1534" t="s">
        <v>171</v>
      </c>
      <c r="BD1534">
        <v>1509</v>
      </c>
      <c r="BE1534" t="s">
        <v>169</v>
      </c>
      <c r="BF1534" t="s">
        <v>163</v>
      </c>
      <c r="BG1534" t="s">
        <v>164</v>
      </c>
    </row>
    <row r="1535" spans="1:59">
      <c r="A1535">
        <v>1115</v>
      </c>
      <c r="B1535">
        <v>1115</v>
      </c>
      <c r="C1535">
        <v>10</v>
      </c>
      <c r="D1535">
        <v>2</v>
      </c>
      <c r="E1535" t="s">
        <v>152</v>
      </c>
      <c r="F1535" t="s">
        <v>153</v>
      </c>
      <c r="G1535" t="s">
        <v>154</v>
      </c>
      <c r="H1535">
        <v>1526007520</v>
      </c>
      <c r="I1535">
        <v>1000007819</v>
      </c>
      <c r="L1535" t="s">
        <v>367</v>
      </c>
      <c r="M1535">
        <v>5100001928</v>
      </c>
      <c r="N1535" t="s">
        <v>155</v>
      </c>
      <c r="O1535" t="s">
        <v>156</v>
      </c>
      <c r="P1535">
        <v>4110057393</v>
      </c>
      <c r="Q1535" t="s">
        <v>192</v>
      </c>
      <c r="R1535">
        <v>5000</v>
      </c>
      <c r="S1535" t="s">
        <v>166</v>
      </c>
      <c r="V1535" t="s">
        <v>167</v>
      </c>
      <c r="W1535">
        <v>1502020122</v>
      </c>
      <c r="X1535" t="s">
        <v>70</v>
      </c>
      <c r="Y1535" t="str">
        <f>VLOOKUP(W1535,Sheet4!$A$5:$B$72,2,0)</f>
        <v>MAX UG NEW EV</v>
      </c>
      <c r="Z1535">
        <v>87082900</v>
      </c>
      <c r="AA1535">
        <v>10</v>
      </c>
      <c r="AB1535" t="s">
        <v>159</v>
      </c>
      <c r="AC1535" s="24">
        <v>9566.51</v>
      </c>
      <c r="AD1535" t="s">
        <v>160</v>
      </c>
      <c r="AE1535" s="24">
        <v>95665.1</v>
      </c>
      <c r="AF1535">
        <v>0</v>
      </c>
      <c r="AG1535" s="24">
        <v>95665.1</v>
      </c>
      <c r="AH1535">
        <v>0</v>
      </c>
      <c r="AI1535">
        <v>0</v>
      </c>
      <c r="AJ1535">
        <v>0</v>
      </c>
      <c r="AK1535">
        <v>0</v>
      </c>
      <c r="AL1535" s="24">
        <v>95665.1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 s="24">
        <v>95665.1</v>
      </c>
      <c r="AV1535">
        <v>0</v>
      </c>
      <c r="AW1535">
        <v>0</v>
      </c>
      <c r="AX1535">
        <v>311000</v>
      </c>
      <c r="AY1535" t="s">
        <v>161</v>
      </c>
      <c r="AZ1535">
        <v>0</v>
      </c>
      <c r="BA1535">
        <v>61</v>
      </c>
      <c r="BB1535">
        <v>-61</v>
      </c>
      <c r="BC1535" t="s">
        <v>193</v>
      </c>
      <c r="BD1535">
        <v>1509</v>
      </c>
      <c r="BE1535" t="s">
        <v>169</v>
      </c>
      <c r="BF1535" t="s">
        <v>163</v>
      </c>
      <c r="BG1535" t="s">
        <v>164</v>
      </c>
    </row>
    <row r="1536" spans="1:59">
      <c r="A1536">
        <v>1115</v>
      </c>
      <c r="B1536">
        <v>1115</v>
      </c>
      <c r="C1536">
        <v>10</v>
      </c>
      <c r="D1536">
        <v>2</v>
      </c>
      <c r="E1536" t="s">
        <v>152</v>
      </c>
      <c r="F1536" t="s">
        <v>153</v>
      </c>
      <c r="G1536" t="s">
        <v>154</v>
      </c>
      <c r="H1536">
        <v>1526007519</v>
      </c>
      <c r="I1536">
        <v>1000007818</v>
      </c>
      <c r="L1536" t="s">
        <v>367</v>
      </c>
      <c r="M1536">
        <v>5100001928</v>
      </c>
      <c r="N1536" t="s">
        <v>155</v>
      </c>
      <c r="O1536" t="s">
        <v>156</v>
      </c>
      <c r="P1536">
        <v>4110057393</v>
      </c>
      <c r="Q1536" t="s">
        <v>192</v>
      </c>
      <c r="R1536">
        <v>5000</v>
      </c>
      <c r="S1536" t="s">
        <v>166</v>
      </c>
      <c r="V1536" t="s">
        <v>167</v>
      </c>
      <c r="W1536">
        <v>1502020122</v>
      </c>
      <c r="X1536" t="s">
        <v>70</v>
      </c>
      <c r="Y1536" t="str">
        <f>VLOOKUP(W1536,Sheet4!$A$5:$B$72,2,0)</f>
        <v>MAX UG NEW EV</v>
      </c>
      <c r="Z1536">
        <v>87082900</v>
      </c>
      <c r="AA1536">
        <v>10</v>
      </c>
      <c r="AB1536" t="s">
        <v>159</v>
      </c>
      <c r="AC1536" s="24">
        <v>9566.51</v>
      </c>
      <c r="AD1536" t="s">
        <v>160</v>
      </c>
      <c r="AE1536" s="24">
        <v>95665.1</v>
      </c>
      <c r="AF1536">
        <v>0</v>
      </c>
      <c r="AG1536" s="24">
        <v>95665.1</v>
      </c>
      <c r="AH1536">
        <v>0</v>
      </c>
      <c r="AI1536">
        <v>0</v>
      </c>
      <c r="AJ1536">
        <v>0</v>
      </c>
      <c r="AK1536">
        <v>0</v>
      </c>
      <c r="AL1536" s="24">
        <v>95665.1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 s="24">
        <v>95665.1</v>
      </c>
      <c r="AV1536">
        <v>0</v>
      </c>
      <c r="AW1536">
        <v>0</v>
      </c>
      <c r="AX1536">
        <v>311000</v>
      </c>
      <c r="AY1536" t="s">
        <v>161</v>
      </c>
      <c r="AZ1536">
        <v>0</v>
      </c>
      <c r="BA1536">
        <v>61</v>
      </c>
      <c r="BB1536">
        <v>-61</v>
      </c>
      <c r="BC1536" t="s">
        <v>193</v>
      </c>
      <c r="BD1536">
        <v>1509</v>
      </c>
      <c r="BE1536" t="s">
        <v>169</v>
      </c>
      <c r="BF1536" t="s">
        <v>163</v>
      </c>
      <c r="BG1536" t="s">
        <v>164</v>
      </c>
    </row>
    <row r="1537" spans="1:59">
      <c r="A1537">
        <v>1115</v>
      </c>
      <c r="B1537">
        <v>1115</v>
      </c>
      <c r="C1537">
        <v>10</v>
      </c>
      <c r="D1537">
        <v>2</v>
      </c>
      <c r="E1537" t="s">
        <v>152</v>
      </c>
      <c r="F1537" t="s">
        <v>153</v>
      </c>
      <c r="G1537" t="s">
        <v>154</v>
      </c>
      <c r="H1537">
        <v>1526007518</v>
      </c>
      <c r="I1537">
        <v>1000007817</v>
      </c>
      <c r="L1537" t="s">
        <v>367</v>
      </c>
      <c r="M1537">
        <v>5100001928</v>
      </c>
      <c r="N1537" t="s">
        <v>155</v>
      </c>
      <c r="O1537" t="s">
        <v>156</v>
      </c>
      <c r="P1537">
        <v>4110057393</v>
      </c>
      <c r="Q1537" t="s">
        <v>192</v>
      </c>
      <c r="R1537">
        <v>5000</v>
      </c>
      <c r="S1537" t="s">
        <v>166</v>
      </c>
      <c r="V1537" t="s">
        <v>167</v>
      </c>
      <c r="W1537">
        <v>1502020122</v>
      </c>
      <c r="X1537" t="s">
        <v>70</v>
      </c>
      <c r="Y1537" t="str">
        <f>VLOOKUP(W1537,Sheet4!$A$5:$B$72,2,0)</f>
        <v>MAX UG NEW EV</v>
      </c>
      <c r="Z1537">
        <v>87082900</v>
      </c>
      <c r="AA1537">
        <v>10</v>
      </c>
      <c r="AB1537" t="s">
        <v>159</v>
      </c>
      <c r="AC1537" s="24">
        <v>9566.51</v>
      </c>
      <c r="AD1537" t="s">
        <v>160</v>
      </c>
      <c r="AE1537" s="24">
        <v>95665.1</v>
      </c>
      <c r="AF1537">
        <v>0</v>
      </c>
      <c r="AG1537" s="24">
        <v>95665.1</v>
      </c>
      <c r="AH1537">
        <v>0</v>
      </c>
      <c r="AI1537">
        <v>0</v>
      </c>
      <c r="AJ1537">
        <v>0</v>
      </c>
      <c r="AK1537">
        <v>0</v>
      </c>
      <c r="AL1537" s="24">
        <v>95665.1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 s="24">
        <v>95665.1</v>
      </c>
      <c r="AV1537">
        <v>0</v>
      </c>
      <c r="AW1537">
        <v>0</v>
      </c>
      <c r="AX1537">
        <v>311000</v>
      </c>
      <c r="AY1537" t="s">
        <v>161</v>
      </c>
      <c r="AZ1537">
        <v>0</v>
      </c>
      <c r="BA1537">
        <v>61</v>
      </c>
      <c r="BB1537">
        <v>-61</v>
      </c>
      <c r="BC1537" t="s">
        <v>193</v>
      </c>
      <c r="BD1537">
        <v>1509</v>
      </c>
      <c r="BE1537" t="s">
        <v>169</v>
      </c>
      <c r="BF1537" t="s">
        <v>163</v>
      </c>
      <c r="BG1537" t="s">
        <v>164</v>
      </c>
    </row>
    <row r="1538" spans="1:59">
      <c r="A1538">
        <v>1115</v>
      </c>
      <c r="B1538">
        <v>1115</v>
      </c>
      <c r="C1538">
        <v>10</v>
      </c>
      <c r="D1538">
        <v>2</v>
      </c>
      <c r="E1538" t="s">
        <v>152</v>
      </c>
      <c r="F1538" t="s">
        <v>153</v>
      </c>
      <c r="G1538" t="s">
        <v>154</v>
      </c>
      <c r="H1538">
        <v>1526007517</v>
      </c>
      <c r="I1538">
        <v>1000007816</v>
      </c>
      <c r="L1538" t="s">
        <v>367</v>
      </c>
      <c r="M1538">
        <v>5100001928</v>
      </c>
      <c r="N1538" t="s">
        <v>155</v>
      </c>
      <c r="O1538" t="s">
        <v>156</v>
      </c>
      <c r="P1538">
        <v>4110057393</v>
      </c>
      <c r="Q1538" t="s">
        <v>192</v>
      </c>
      <c r="R1538">
        <v>5000</v>
      </c>
      <c r="S1538" t="s">
        <v>166</v>
      </c>
      <c r="V1538" t="s">
        <v>167</v>
      </c>
      <c r="W1538">
        <v>1502020122</v>
      </c>
      <c r="X1538" t="s">
        <v>70</v>
      </c>
      <c r="Y1538" t="str">
        <f>VLOOKUP(W1538,Sheet4!$A$5:$B$72,2,0)</f>
        <v>MAX UG NEW EV</v>
      </c>
      <c r="Z1538">
        <v>87082900</v>
      </c>
      <c r="AA1538">
        <v>10</v>
      </c>
      <c r="AB1538" t="s">
        <v>159</v>
      </c>
      <c r="AC1538" s="24">
        <v>9566.51</v>
      </c>
      <c r="AD1538" t="s">
        <v>160</v>
      </c>
      <c r="AE1538" s="24">
        <v>95665.1</v>
      </c>
      <c r="AF1538">
        <v>0</v>
      </c>
      <c r="AG1538" s="24">
        <v>95665.1</v>
      </c>
      <c r="AH1538">
        <v>0</v>
      </c>
      <c r="AI1538">
        <v>0</v>
      </c>
      <c r="AJ1538">
        <v>0</v>
      </c>
      <c r="AK1538">
        <v>0</v>
      </c>
      <c r="AL1538" s="24">
        <v>95665.1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 s="24">
        <v>95665.1</v>
      </c>
      <c r="AV1538">
        <v>0</v>
      </c>
      <c r="AW1538">
        <v>0</v>
      </c>
      <c r="AX1538">
        <v>311000</v>
      </c>
      <c r="AY1538" t="s">
        <v>161</v>
      </c>
      <c r="AZ1538">
        <v>0</v>
      </c>
      <c r="BA1538">
        <v>61</v>
      </c>
      <c r="BB1538">
        <v>-61</v>
      </c>
      <c r="BC1538" t="s">
        <v>193</v>
      </c>
      <c r="BD1538">
        <v>1509</v>
      </c>
      <c r="BE1538" t="s">
        <v>169</v>
      </c>
      <c r="BF1538" t="s">
        <v>163</v>
      </c>
      <c r="BG1538" t="s">
        <v>164</v>
      </c>
    </row>
    <row r="1539" spans="1:59">
      <c r="A1539">
        <v>1115</v>
      </c>
      <c r="B1539">
        <v>1115</v>
      </c>
      <c r="C1539">
        <v>10</v>
      </c>
      <c r="D1539">
        <v>2</v>
      </c>
      <c r="E1539" t="s">
        <v>152</v>
      </c>
      <c r="F1539" t="s">
        <v>153</v>
      </c>
      <c r="G1539" t="s">
        <v>154</v>
      </c>
      <c r="H1539">
        <v>1526007516</v>
      </c>
      <c r="I1539">
        <v>1000007815</v>
      </c>
      <c r="L1539" t="s">
        <v>367</v>
      </c>
      <c r="M1539">
        <v>5100001928</v>
      </c>
      <c r="N1539" t="s">
        <v>155</v>
      </c>
      <c r="O1539" t="s">
        <v>156</v>
      </c>
      <c r="P1539">
        <v>4110057393</v>
      </c>
      <c r="Q1539" t="s">
        <v>192</v>
      </c>
      <c r="R1539">
        <v>5000</v>
      </c>
      <c r="S1539" t="s">
        <v>166</v>
      </c>
      <c r="V1539" t="s">
        <v>167</v>
      </c>
      <c r="W1539">
        <v>1502020122</v>
      </c>
      <c r="X1539" t="s">
        <v>70</v>
      </c>
      <c r="Y1539" t="str">
        <f>VLOOKUP(W1539,Sheet4!$A$5:$B$72,2,0)</f>
        <v>MAX UG NEW EV</v>
      </c>
      <c r="Z1539">
        <v>87082900</v>
      </c>
      <c r="AA1539">
        <v>10</v>
      </c>
      <c r="AB1539" t="s">
        <v>159</v>
      </c>
      <c r="AC1539" s="24">
        <v>9566.51</v>
      </c>
      <c r="AD1539" t="s">
        <v>160</v>
      </c>
      <c r="AE1539" s="24">
        <v>95665.1</v>
      </c>
      <c r="AF1539">
        <v>0</v>
      </c>
      <c r="AG1539" s="24">
        <v>95665.1</v>
      </c>
      <c r="AH1539">
        <v>0</v>
      </c>
      <c r="AI1539">
        <v>0</v>
      </c>
      <c r="AJ1539">
        <v>0</v>
      </c>
      <c r="AK1539">
        <v>0</v>
      </c>
      <c r="AL1539" s="24">
        <v>95665.1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 s="24">
        <v>95665.1</v>
      </c>
      <c r="AV1539">
        <v>0</v>
      </c>
      <c r="AW1539">
        <v>0</v>
      </c>
      <c r="AX1539">
        <v>311000</v>
      </c>
      <c r="AY1539" t="s">
        <v>161</v>
      </c>
      <c r="AZ1539">
        <v>0</v>
      </c>
      <c r="BA1539">
        <v>61</v>
      </c>
      <c r="BB1539">
        <v>-61</v>
      </c>
      <c r="BC1539" t="s">
        <v>193</v>
      </c>
      <c r="BD1539">
        <v>1509</v>
      </c>
      <c r="BE1539" t="s">
        <v>169</v>
      </c>
      <c r="BF1539" t="s">
        <v>163</v>
      </c>
      <c r="BG1539" t="s">
        <v>164</v>
      </c>
    </row>
    <row r="1540" spans="1:59">
      <c r="A1540">
        <v>1115</v>
      </c>
      <c r="B1540">
        <v>1115</v>
      </c>
      <c r="C1540">
        <v>10</v>
      </c>
      <c r="D1540">
        <v>2</v>
      </c>
      <c r="E1540" t="s">
        <v>152</v>
      </c>
      <c r="F1540" t="s">
        <v>153</v>
      </c>
      <c r="G1540" t="s">
        <v>154</v>
      </c>
      <c r="H1540">
        <v>1526007515</v>
      </c>
      <c r="I1540">
        <v>1000007814</v>
      </c>
      <c r="L1540" t="s">
        <v>367</v>
      </c>
      <c r="M1540">
        <v>5100001928</v>
      </c>
      <c r="N1540" t="s">
        <v>155</v>
      </c>
      <c r="O1540" t="s">
        <v>156</v>
      </c>
      <c r="P1540">
        <v>4110057393</v>
      </c>
      <c r="Q1540" t="s">
        <v>192</v>
      </c>
      <c r="R1540">
        <v>5000</v>
      </c>
      <c r="S1540" t="s">
        <v>166</v>
      </c>
      <c r="V1540" t="s">
        <v>167</v>
      </c>
      <c r="W1540">
        <v>1502020122</v>
      </c>
      <c r="X1540" t="s">
        <v>70</v>
      </c>
      <c r="Y1540" t="str">
        <f>VLOOKUP(W1540,Sheet4!$A$5:$B$72,2,0)</f>
        <v>MAX UG NEW EV</v>
      </c>
      <c r="Z1540">
        <v>87082900</v>
      </c>
      <c r="AA1540">
        <v>10</v>
      </c>
      <c r="AB1540" t="s">
        <v>159</v>
      </c>
      <c r="AC1540" s="24">
        <v>9566.51</v>
      </c>
      <c r="AD1540" t="s">
        <v>160</v>
      </c>
      <c r="AE1540" s="24">
        <v>95665.1</v>
      </c>
      <c r="AF1540">
        <v>0</v>
      </c>
      <c r="AG1540" s="24">
        <v>95665.1</v>
      </c>
      <c r="AH1540">
        <v>0</v>
      </c>
      <c r="AI1540">
        <v>0</v>
      </c>
      <c r="AJ1540">
        <v>0</v>
      </c>
      <c r="AK1540">
        <v>0</v>
      </c>
      <c r="AL1540" s="24">
        <v>95665.1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 s="24">
        <v>95665.1</v>
      </c>
      <c r="AV1540">
        <v>0</v>
      </c>
      <c r="AW1540">
        <v>0</v>
      </c>
      <c r="AX1540">
        <v>311000</v>
      </c>
      <c r="AY1540" t="s">
        <v>161</v>
      </c>
      <c r="AZ1540">
        <v>0</v>
      </c>
      <c r="BA1540">
        <v>61</v>
      </c>
      <c r="BB1540">
        <v>-61</v>
      </c>
      <c r="BC1540" t="s">
        <v>193</v>
      </c>
      <c r="BD1540">
        <v>1509</v>
      </c>
      <c r="BE1540" t="s">
        <v>169</v>
      </c>
      <c r="BF1540" t="s">
        <v>163</v>
      </c>
      <c r="BG1540" t="s">
        <v>164</v>
      </c>
    </row>
    <row r="1541" spans="1:59">
      <c r="A1541">
        <v>1115</v>
      </c>
      <c r="B1541">
        <v>1115</v>
      </c>
      <c r="C1541">
        <v>10</v>
      </c>
      <c r="D1541">
        <v>2</v>
      </c>
      <c r="E1541" t="s">
        <v>152</v>
      </c>
      <c r="F1541" t="s">
        <v>153</v>
      </c>
      <c r="G1541" t="s">
        <v>154</v>
      </c>
      <c r="H1541">
        <v>1526007514</v>
      </c>
      <c r="I1541">
        <v>1000007813</v>
      </c>
      <c r="L1541" t="s">
        <v>367</v>
      </c>
      <c r="M1541">
        <v>5100001925</v>
      </c>
      <c r="N1541" t="s">
        <v>155</v>
      </c>
      <c r="O1541" t="s">
        <v>156</v>
      </c>
      <c r="P1541">
        <v>4110055667</v>
      </c>
      <c r="Q1541" t="s">
        <v>185</v>
      </c>
      <c r="R1541">
        <v>5000</v>
      </c>
      <c r="S1541" t="s">
        <v>166</v>
      </c>
      <c r="V1541" t="s">
        <v>167</v>
      </c>
      <c r="W1541">
        <v>1502040318</v>
      </c>
      <c r="X1541" t="s">
        <v>72</v>
      </c>
      <c r="Y1541" t="str">
        <f>VLOOKUP(W1541,Sheet4!$A$5:$B$72,2,0)</f>
        <v>Re Side Door</v>
      </c>
      <c r="Z1541">
        <v>87082900</v>
      </c>
      <c r="AA1541">
        <v>120</v>
      </c>
      <c r="AB1541" t="s">
        <v>159</v>
      </c>
      <c r="AC1541">
        <v>506.59</v>
      </c>
      <c r="AD1541" t="s">
        <v>160</v>
      </c>
      <c r="AE1541" s="24">
        <v>60790.8</v>
      </c>
      <c r="AF1541">
        <v>0</v>
      </c>
      <c r="AG1541" s="24">
        <v>60790.8</v>
      </c>
      <c r="AH1541">
        <v>0</v>
      </c>
      <c r="AI1541">
        <v>0</v>
      </c>
      <c r="AJ1541">
        <v>0</v>
      </c>
      <c r="AK1541">
        <v>0</v>
      </c>
      <c r="AL1541" s="24">
        <v>60790.8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 s="24">
        <v>60790.8</v>
      </c>
      <c r="AV1541">
        <v>0</v>
      </c>
      <c r="AW1541">
        <v>0</v>
      </c>
      <c r="AX1541">
        <v>311000</v>
      </c>
      <c r="AY1541" t="s">
        <v>161</v>
      </c>
      <c r="AZ1541">
        <v>2.27</v>
      </c>
      <c r="BA1541">
        <v>2.27</v>
      </c>
      <c r="BB1541">
        <v>0</v>
      </c>
      <c r="BC1541" t="s">
        <v>187</v>
      </c>
      <c r="BD1541">
        <v>1511</v>
      </c>
      <c r="BE1541" t="s">
        <v>174</v>
      </c>
      <c r="BF1541" t="s">
        <v>163</v>
      </c>
      <c r="BG1541" t="s">
        <v>164</v>
      </c>
    </row>
    <row r="1542" spans="1:59">
      <c r="A1542">
        <v>1115</v>
      </c>
      <c r="B1542">
        <v>1115</v>
      </c>
      <c r="C1542">
        <v>10</v>
      </c>
      <c r="D1542">
        <v>2</v>
      </c>
      <c r="E1542" t="s">
        <v>152</v>
      </c>
      <c r="F1542" t="s">
        <v>153</v>
      </c>
      <c r="G1542" t="s">
        <v>154</v>
      </c>
      <c r="H1542">
        <v>1526007513</v>
      </c>
      <c r="I1542">
        <v>1000007812</v>
      </c>
      <c r="L1542" t="s">
        <v>367</v>
      </c>
      <c r="M1542">
        <v>5100001603</v>
      </c>
      <c r="N1542" t="s">
        <v>155</v>
      </c>
      <c r="O1542" t="s">
        <v>156</v>
      </c>
      <c r="P1542">
        <v>4110025468</v>
      </c>
      <c r="Q1542" t="s">
        <v>165</v>
      </c>
      <c r="R1542">
        <v>5000</v>
      </c>
      <c r="S1542" t="s">
        <v>166</v>
      </c>
      <c r="V1542" t="s">
        <v>167</v>
      </c>
      <c r="W1542">
        <v>1502020102</v>
      </c>
      <c r="X1542" t="s">
        <v>58</v>
      </c>
      <c r="Y1542" t="str">
        <f>VLOOKUP(W1542,Sheet4!$A$5:$B$72,2,0)</f>
        <v>MAXIMA HD</v>
      </c>
      <c r="Z1542">
        <v>87082900</v>
      </c>
      <c r="AA1542">
        <v>8</v>
      </c>
      <c r="AB1542" t="s">
        <v>159</v>
      </c>
      <c r="AC1542" s="24">
        <v>8593.51</v>
      </c>
      <c r="AD1542" t="s">
        <v>160</v>
      </c>
      <c r="AE1542" s="24">
        <v>68748.08</v>
      </c>
      <c r="AF1542">
        <v>0</v>
      </c>
      <c r="AG1542" s="24">
        <v>68748.08</v>
      </c>
      <c r="AH1542">
        <v>0</v>
      </c>
      <c r="AI1542">
        <v>0</v>
      </c>
      <c r="AJ1542">
        <v>0</v>
      </c>
      <c r="AK1542">
        <v>0</v>
      </c>
      <c r="AL1542" s="24">
        <v>68748.08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 s="24">
        <v>68748.08</v>
      </c>
      <c r="AV1542">
        <v>0</v>
      </c>
      <c r="AW1542">
        <v>0</v>
      </c>
      <c r="AX1542">
        <v>311000</v>
      </c>
      <c r="AY1542" t="s">
        <v>161</v>
      </c>
      <c r="AZ1542">
        <v>93.34</v>
      </c>
      <c r="BA1542">
        <v>75.430000000000007</v>
      </c>
      <c r="BB1542">
        <v>17.91</v>
      </c>
      <c r="BC1542" t="s">
        <v>168</v>
      </c>
      <c r="BD1542">
        <v>1509</v>
      </c>
      <c r="BE1542" t="s">
        <v>169</v>
      </c>
      <c r="BF1542" t="s">
        <v>163</v>
      </c>
      <c r="BG1542" t="s">
        <v>164</v>
      </c>
    </row>
    <row r="1543" spans="1:59">
      <c r="A1543">
        <v>1115</v>
      </c>
      <c r="B1543">
        <v>1115</v>
      </c>
      <c r="C1543">
        <v>10</v>
      </c>
      <c r="D1543">
        <v>2</v>
      </c>
      <c r="E1543" t="s">
        <v>152</v>
      </c>
      <c r="F1543" t="s">
        <v>153</v>
      </c>
      <c r="G1543" t="s">
        <v>154</v>
      </c>
      <c r="H1543">
        <v>1526007512</v>
      </c>
      <c r="I1543">
        <v>1000007811</v>
      </c>
      <c r="L1543" t="s">
        <v>367</v>
      </c>
      <c r="M1543">
        <v>5100001603</v>
      </c>
      <c r="N1543" t="s">
        <v>155</v>
      </c>
      <c r="O1543" t="s">
        <v>156</v>
      </c>
      <c r="P1543">
        <v>4110025468</v>
      </c>
      <c r="Q1543" t="s">
        <v>165</v>
      </c>
      <c r="R1543">
        <v>5000</v>
      </c>
      <c r="S1543" t="s">
        <v>166</v>
      </c>
      <c r="V1543" t="s">
        <v>167</v>
      </c>
      <c r="W1543">
        <v>1502020102</v>
      </c>
      <c r="X1543" t="s">
        <v>58</v>
      </c>
      <c r="Y1543" t="str">
        <f>VLOOKUP(W1543,Sheet4!$A$5:$B$72,2,0)</f>
        <v>MAXIMA HD</v>
      </c>
      <c r="Z1543">
        <v>87082900</v>
      </c>
      <c r="AA1543">
        <v>8</v>
      </c>
      <c r="AB1543" t="s">
        <v>159</v>
      </c>
      <c r="AC1543" s="24">
        <v>8593.51</v>
      </c>
      <c r="AD1543" t="s">
        <v>160</v>
      </c>
      <c r="AE1543" s="24">
        <v>68748.08</v>
      </c>
      <c r="AF1543">
        <v>0</v>
      </c>
      <c r="AG1543" s="24">
        <v>68748.08</v>
      </c>
      <c r="AH1543">
        <v>0</v>
      </c>
      <c r="AI1543">
        <v>0</v>
      </c>
      <c r="AJ1543">
        <v>0</v>
      </c>
      <c r="AK1543">
        <v>0</v>
      </c>
      <c r="AL1543" s="24">
        <v>68748.08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 s="24">
        <v>68748.08</v>
      </c>
      <c r="AV1543">
        <v>0</v>
      </c>
      <c r="AW1543">
        <v>0</v>
      </c>
      <c r="AX1543">
        <v>311000</v>
      </c>
      <c r="AY1543" t="s">
        <v>161</v>
      </c>
      <c r="AZ1543">
        <v>93.34</v>
      </c>
      <c r="BA1543">
        <v>75.430000000000007</v>
      </c>
      <c r="BB1543">
        <v>17.91</v>
      </c>
      <c r="BC1543" t="s">
        <v>168</v>
      </c>
      <c r="BD1543">
        <v>1509</v>
      </c>
      <c r="BE1543" t="s">
        <v>169</v>
      </c>
      <c r="BF1543" t="s">
        <v>163</v>
      </c>
      <c r="BG1543" t="s">
        <v>164</v>
      </c>
    </row>
    <row r="1544" spans="1:59">
      <c r="A1544">
        <v>1115</v>
      </c>
      <c r="B1544">
        <v>1115</v>
      </c>
      <c r="C1544">
        <v>10</v>
      </c>
      <c r="D1544">
        <v>2</v>
      </c>
      <c r="E1544" t="s">
        <v>152</v>
      </c>
      <c r="F1544" t="s">
        <v>153</v>
      </c>
      <c r="G1544" t="s">
        <v>154</v>
      </c>
      <c r="H1544">
        <v>1526007511</v>
      </c>
      <c r="I1544">
        <v>1000007810</v>
      </c>
      <c r="L1544" t="s">
        <v>367</v>
      </c>
      <c r="M1544">
        <v>5100001925</v>
      </c>
      <c r="N1544" t="s">
        <v>155</v>
      </c>
      <c r="O1544" t="s">
        <v>156</v>
      </c>
      <c r="P1544">
        <v>4110055667</v>
      </c>
      <c r="Q1544" t="s">
        <v>185</v>
      </c>
      <c r="R1544">
        <v>5000</v>
      </c>
      <c r="S1544" t="s">
        <v>166</v>
      </c>
      <c r="V1544" t="s">
        <v>167</v>
      </c>
      <c r="W1544">
        <v>1502040317</v>
      </c>
      <c r="X1544" t="s">
        <v>73</v>
      </c>
      <c r="Y1544" t="str">
        <f>VLOOKUP(W1544,Sheet4!$A$5:$B$72,2,0)</f>
        <v>Re Side Door</v>
      </c>
      <c r="Z1544">
        <v>87082900</v>
      </c>
      <c r="AA1544">
        <v>120</v>
      </c>
      <c r="AB1544" t="s">
        <v>159</v>
      </c>
      <c r="AC1544">
        <v>506.59</v>
      </c>
      <c r="AD1544" t="s">
        <v>160</v>
      </c>
      <c r="AE1544" s="24">
        <v>60790.8</v>
      </c>
      <c r="AF1544">
        <v>0</v>
      </c>
      <c r="AG1544" s="24">
        <v>60790.8</v>
      </c>
      <c r="AH1544">
        <v>0</v>
      </c>
      <c r="AI1544">
        <v>0</v>
      </c>
      <c r="AJ1544">
        <v>0</v>
      </c>
      <c r="AK1544">
        <v>0</v>
      </c>
      <c r="AL1544" s="24">
        <v>60790.8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 s="24">
        <v>60790.8</v>
      </c>
      <c r="AV1544">
        <v>0</v>
      </c>
      <c r="AW1544">
        <v>0</v>
      </c>
      <c r="AX1544">
        <v>311000</v>
      </c>
      <c r="AY1544" t="s">
        <v>161</v>
      </c>
      <c r="AZ1544">
        <v>2.27</v>
      </c>
      <c r="BA1544">
        <v>2.27</v>
      </c>
      <c r="BB1544">
        <v>0</v>
      </c>
      <c r="BC1544" t="s">
        <v>186</v>
      </c>
      <c r="BD1544">
        <v>1511</v>
      </c>
      <c r="BE1544" t="s">
        <v>174</v>
      </c>
      <c r="BF1544" t="s">
        <v>163</v>
      </c>
      <c r="BG1544" t="s">
        <v>164</v>
      </c>
    </row>
    <row r="1545" spans="1:59">
      <c r="A1545">
        <v>1115</v>
      </c>
      <c r="B1545">
        <v>1115</v>
      </c>
      <c r="C1545">
        <v>10</v>
      </c>
      <c r="D1545">
        <v>2</v>
      </c>
      <c r="E1545" t="s">
        <v>152</v>
      </c>
      <c r="F1545" t="s">
        <v>153</v>
      </c>
      <c r="G1545" t="s">
        <v>154</v>
      </c>
      <c r="H1545">
        <v>1526007507</v>
      </c>
      <c r="I1545">
        <v>1000007806</v>
      </c>
      <c r="L1545" t="s">
        <v>367</v>
      </c>
      <c r="M1545">
        <v>5100001636</v>
      </c>
      <c r="N1545" t="s">
        <v>155</v>
      </c>
      <c r="O1545" t="s">
        <v>156</v>
      </c>
      <c r="P1545">
        <v>4110026445</v>
      </c>
      <c r="Q1545" t="s">
        <v>170</v>
      </c>
      <c r="R1545">
        <v>5000</v>
      </c>
      <c r="S1545" t="s">
        <v>166</v>
      </c>
      <c r="V1545" t="s">
        <v>167</v>
      </c>
      <c r="W1545">
        <v>1502020101</v>
      </c>
      <c r="X1545" t="s">
        <v>25</v>
      </c>
      <c r="Y1545" t="str">
        <f>VLOOKUP(W1545,Sheet4!$A$5:$B$72,2,0)</f>
        <v>RE STYLING</v>
      </c>
      <c r="Z1545">
        <v>87082900</v>
      </c>
      <c r="AA1545">
        <v>15</v>
      </c>
      <c r="AB1545" t="s">
        <v>159</v>
      </c>
      <c r="AC1545" s="24">
        <v>6240.88</v>
      </c>
      <c r="AD1545" t="s">
        <v>160</v>
      </c>
      <c r="AE1545" s="24">
        <v>93613.2</v>
      </c>
      <c r="AF1545">
        <v>0</v>
      </c>
      <c r="AG1545" s="24">
        <v>93613.2</v>
      </c>
      <c r="AH1545">
        <v>0</v>
      </c>
      <c r="AI1545">
        <v>0</v>
      </c>
      <c r="AJ1545">
        <v>0</v>
      </c>
      <c r="AK1545">
        <v>0</v>
      </c>
      <c r="AL1545" s="24">
        <v>93613.2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 s="24">
        <v>93613.2</v>
      </c>
      <c r="AV1545">
        <v>0</v>
      </c>
      <c r="AW1545">
        <v>0</v>
      </c>
      <c r="AX1545">
        <v>311000</v>
      </c>
      <c r="AY1545" t="s">
        <v>161</v>
      </c>
      <c r="AZ1545">
        <v>58</v>
      </c>
      <c r="BA1545">
        <v>58</v>
      </c>
      <c r="BB1545">
        <v>0</v>
      </c>
      <c r="BC1545" t="s">
        <v>208</v>
      </c>
      <c r="BD1545">
        <v>1509</v>
      </c>
      <c r="BE1545" t="s">
        <v>169</v>
      </c>
      <c r="BF1545" t="s">
        <v>163</v>
      </c>
      <c r="BG1545" t="s">
        <v>164</v>
      </c>
    </row>
    <row r="1546" spans="1:59">
      <c r="A1546">
        <v>1115</v>
      </c>
      <c r="B1546">
        <v>1115</v>
      </c>
      <c r="C1546">
        <v>10</v>
      </c>
      <c r="D1546">
        <v>2</v>
      </c>
      <c r="E1546" t="s">
        <v>152</v>
      </c>
      <c r="F1546" t="s">
        <v>153</v>
      </c>
      <c r="G1546" t="s">
        <v>154</v>
      </c>
      <c r="H1546">
        <v>1526007506</v>
      </c>
      <c r="I1546">
        <v>1000007805</v>
      </c>
      <c r="L1546" t="s">
        <v>367</v>
      </c>
      <c r="M1546">
        <v>5100001636</v>
      </c>
      <c r="N1546" t="s">
        <v>155</v>
      </c>
      <c r="O1546" t="s">
        <v>156</v>
      </c>
      <c r="P1546">
        <v>4110026445</v>
      </c>
      <c r="Q1546" t="s">
        <v>170</v>
      </c>
      <c r="R1546">
        <v>5000</v>
      </c>
      <c r="S1546" t="s">
        <v>166</v>
      </c>
      <c r="V1546" t="s">
        <v>167</v>
      </c>
      <c r="W1546">
        <v>1502020101</v>
      </c>
      <c r="X1546" t="s">
        <v>25</v>
      </c>
      <c r="Y1546" t="str">
        <f>VLOOKUP(W1546,Sheet4!$A$5:$B$72,2,0)</f>
        <v>RE STYLING</v>
      </c>
      <c r="Z1546">
        <v>87082900</v>
      </c>
      <c r="AA1546">
        <v>12</v>
      </c>
      <c r="AB1546" t="s">
        <v>159</v>
      </c>
      <c r="AC1546" s="24">
        <v>6240.88</v>
      </c>
      <c r="AD1546" t="s">
        <v>160</v>
      </c>
      <c r="AE1546" s="24">
        <v>74890.559999999998</v>
      </c>
      <c r="AF1546">
        <v>0</v>
      </c>
      <c r="AG1546" s="24">
        <v>74890.559999999998</v>
      </c>
      <c r="AH1546">
        <v>0</v>
      </c>
      <c r="AI1546">
        <v>0</v>
      </c>
      <c r="AJ1546">
        <v>0</v>
      </c>
      <c r="AK1546">
        <v>0</v>
      </c>
      <c r="AL1546" s="24">
        <v>74890.559999999998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 s="24">
        <v>74890.559999999998</v>
      </c>
      <c r="AV1546">
        <v>0</v>
      </c>
      <c r="AW1546">
        <v>0</v>
      </c>
      <c r="AX1546">
        <v>311000</v>
      </c>
      <c r="AY1546" t="s">
        <v>161</v>
      </c>
      <c r="AZ1546">
        <v>58</v>
      </c>
      <c r="BA1546">
        <v>58</v>
      </c>
      <c r="BB1546">
        <v>0</v>
      </c>
      <c r="BC1546" t="s">
        <v>208</v>
      </c>
      <c r="BD1546">
        <v>1509</v>
      </c>
      <c r="BE1546" t="s">
        <v>169</v>
      </c>
      <c r="BF1546" t="s">
        <v>163</v>
      </c>
      <c r="BG1546" t="s">
        <v>164</v>
      </c>
    </row>
    <row r="1547" spans="1:59">
      <c r="A1547">
        <v>1115</v>
      </c>
      <c r="B1547">
        <v>1115</v>
      </c>
      <c r="C1547">
        <v>10</v>
      </c>
      <c r="D1547">
        <v>2</v>
      </c>
      <c r="E1547" t="s">
        <v>152</v>
      </c>
      <c r="F1547" t="s">
        <v>153</v>
      </c>
      <c r="G1547" t="s">
        <v>154</v>
      </c>
      <c r="H1547">
        <v>1526007505</v>
      </c>
      <c r="I1547">
        <v>1000007804</v>
      </c>
      <c r="L1547" t="s">
        <v>367</v>
      </c>
      <c r="M1547">
        <v>5100001603</v>
      </c>
      <c r="N1547" t="s">
        <v>155</v>
      </c>
      <c r="O1547" t="s">
        <v>156</v>
      </c>
      <c r="P1547">
        <v>4110025468</v>
      </c>
      <c r="Q1547" t="s">
        <v>165</v>
      </c>
      <c r="R1547">
        <v>5000</v>
      </c>
      <c r="S1547" t="s">
        <v>166</v>
      </c>
      <c r="V1547" t="s">
        <v>167</v>
      </c>
      <c r="W1547">
        <v>1502020102</v>
      </c>
      <c r="X1547" t="s">
        <v>58</v>
      </c>
      <c r="Y1547" t="str">
        <f>VLOOKUP(W1547,Sheet4!$A$5:$B$72,2,0)</f>
        <v>MAXIMA HD</v>
      </c>
      <c r="Z1547">
        <v>87082900</v>
      </c>
      <c r="AA1547">
        <v>8</v>
      </c>
      <c r="AB1547" t="s">
        <v>159</v>
      </c>
      <c r="AC1547" s="24">
        <v>8593.51</v>
      </c>
      <c r="AD1547" t="s">
        <v>160</v>
      </c>
      <c r="AE1547" s="24">
        <v>68748.08</v>
      </c>
      <c r="AF1547">
        <v>0</v>
      </c>
      <c r="AG1547" s="24">
        <v>68748.08</v>
      </c>
      <c r="AH1547">
        <v>0</v>
      </c>
      <c r="AI1547">
        <v>0</v>
      </c>
      <c r="AJ1547">
        <v>0</v>
      </c>
      <c r="AK1547">
        <v>0</v>
      </c>
      <c r="AL1547" s="24">
        <v>68748.08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 s="24">
        <v>68748.08</v>
      </c>
      <c r="AV1547">
        <v>0</v>
      </c>
      <c r="AW1547">
        <v>0</v>
      </c>
      <c r="AX1547">
        <v>311000</v>
      </c>
      <c r="AY1547" t="s">
        <v>161</v>
      </c>
      <c r="AZ1547">
        <v>93.34</v>
      </c>
      <c r="BA1547">
        <v>75.430000000000007</v>
      </c>
      <c r="BB1547">
        <v>17.91</v>
      </c>
      <c r="BC1547" t="s">
        <v>168</v>
      </c>
      <c r="BD1547">
        <v>1509</v>
      </c>
      <c r="BE1547" t="s">
        <v>169</v>
      </c>
      <c r="BF1547" t="s">
        <v>163</v>
      </c>
      <c r="BG1547" t="s">
        <v>164</v>
      </c>
    </row>
    <row r="1548" spans="1:59">
      <c r="A1548">
        <v>1115</v>
      </c>
      <c r="B1548">
        <v>1115</v>
      </c>
      <c r="C1548">
        <v>10</v>
      </c>
      <c r="D1548">
        <v>2</v>
      </c>
      <c r="E1548" t="s">
        <v>152</v>
      </c>
      <c r="F1548" t="s">
        <v>153</v>
      </c>
      <c r="G1548" t="s">
        <v>154</v>
      </c>
      <c r="H1548">
        <v>1526007503</v>
      </c>
      <c r="I1548">
        <v>1000007802</v>
      </c>
      <c r="L1548" t="s">
        <v>367</v>
      </c>
      <c r="M1548">
        <v>5100001949</v>
      </c>
      <c r="N1548" t="s">
        <v>155</v>
      </c>
      <c r="O1548" t="s">
        <v>156</v>
      </c>
      <c r="P1548">
        <v>4110063766</v>
      </c>
      <c r="Q1548" t="s">
        <v>252</v>
      </c>
      <c r="R1548">
        <v>5000</v>
      </c>
      <c r="S1548" t="s">
        <v>166</v>
      </c>
      <c r="V1548" t="s">
        <v>167</v>
      </c>
      <c r="W1548">
        <v>1502040322</v>
      </c>
      <c r="X1548" t="s">
        <v>250</v>
      </c>
      <c r="Y1548" t="str">
        <f>VLOOKUP(W1548,Sheet4!$A$5:$B$72,2,0)</f>
        <v>DASH BOARD</v>
      </c>
      <c r="Z1548">
        <v>87082900</v>
      </c>
      <c r="AA1548">
        <v>60</v>
      </c>
      <c r="AB1548" t="s">
        <v>159</v>
      </c>
      <c r="AC1548">
        <v>291.27999999999997</v>
      </c>
      <c r="AD1548" t="s">
        <v>160</v>
      </c>
      <c r="AE1548" s="24">
        <v>17476.8</v>
      </c>
      <c r="AF1548">
        <v>0</v>
      </c>
      <c r="AG1548" s="24">
        <v>17476.8</v>
      </c>
      <c r="AH1548">
        <v>0</v>
      </c>
      <c r="AI1548">
        <v>0</v>
      </c>
      <c r="AJ1548">
        <v>0</v>
      </c>
      <c r="AK1548">
        <v>0</v>
      </c>
      <c r="AL1548" s="24">
        <v>17476.8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 s="24">
        <v>17476.8</v>
      </c>
      <c r="AV1548">
        <v>0</v>
      </c>
      <c r="AW1548">
        <v>0</v>
      </c>
      <c r="AX1548">
        <v>311000</v>
      </c>
      <c r="AY1548" t="s">
        <v>161</v>
      </c>
      <c r="AZ1548">
        <v>2.37</v>
      </c>
      <c r="BA1548">
        <v>2.37</v>
      </c>
      <c r="BB1548">
        <v>0</v>
      </c>
      <c r="BC1548" t="s">
        <v>251</v>
      </c>
      <c r="BD1548">
        <v>1511</v>
      </c>
      <c r="BE1548" t="s">
        <v>174</v>
      </c>
      <c r="BF1548" t="s">
        <v>163</v>
      </c>
      <c r="BG1548" t="s">
        <v>164</v>
      </c>
    </row>
    <row r="1549" spans="1:59">
      <c r="A1549">
        <v>1115</v>
      </c>
      <c r="B1549">
        <v>1115</v>
      </c>
      <c r="C1549">
        <v>10</v>
      </c>
      <c r="D1549">
        <v>2</v>
      </c>
      <c r="E1549" t="s">
        <v>152</v>
      </c>
      <c r="F1549" t="s">
        <v>153</v>
      </c>
      <c r="G1549" t="s">
        <v>154</v>
      </c>
      <c r="H1549">
        <v>1526007500</v>
      </c>
      <c r="I1549">
        <v>1000007799</v>
      </c>
      <c r="L1549" t="s">
        <v>367</v>
      </c>
      <c r="M1549">
        <v>5100001603</v>
      </c>
      <c r="N1549" t="s">
        <v>155</v>
      </c>
      <c r="O1549" t="s">
        <v>156</v>
      </c>
      <c r="P1549">
        <v>4110025468</v>
      </c>
      <c r="Q1549" t="s">
        <v>165</v>
      </c>
      <c r="R1549">
        <v>5000</v>
      </c>
      <c r="S1549" t="s">
        <v>166</v>
      </c>
      <c r="V1549" t="s">
        <v>167</v>
      </c>
      <c r="W1549">
        <v>1502020102</v>
      </c>
      <c r="X1549" t="s">
        <v>58</v>
      </c>
      <c r="Y1549" t="str">
        <f>VLOOKUP(W1549,Sheet4!$A$5:$B$72,2,0)</f>
        <v>MAXIMA HD</v>
      </c>
      <c r="Z1549">
        <v>87082900</v>
      </c>
      <c r="AA1549">
        <v>8</v>
      </c>
      <c r="AB1549" t="s">
        <v>159</v>
      </c>
      <c r="AC1549" s="24">
        <v>8593.51</v>
      </c>
      <c r="AD1549" t="s">
        <v>160</v>
      </c>
      <c r="AE1549" s="24">
        <v>68748.08</v>
      </c>
      <c r="AF1549">
        <v>0</v>
      </c>
      <c r="AG1549" s="24">
        <v>68748.08</v>
      </c>
      <c r="AH1549">
        <v>0</v>
      </c>
      <c r="AI1549">
        <v>0</v>
      </c>
      <c r="AJ1549">
        <v>0</v>
      </c>
      <c r="AK1549">
        <v>0</v>
      </c>
      <c r="AL1549" s="24">
        <v>68748.08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 s="24">
        <v>68748.08</v>
      </c>
      <c r="AV1549">
        <v>0</v>
      </c>
      <c r="AW1549">
        <v>0</v>
      </c>
      <c r="AX1549">
        <v>311000</v>
      </c>
      <c r="AY1549" t="s">
        <v>161</v>
      </c>
      <c r="AZ1549">
        <v>93.34</v>
      </c>
      <c r="BA1549">
        <v>75.430000000000007</v>
      </c>
      <c r="BB1549">
        <v>17.91</v>
      </c>
      <c r="BC1549" t="s">
        <v>168</v>
      </c>
      <c r="BD1549">
        <v>1509</v>
      </c>
      <c r="BE1549" t="s">
        <v>169</v>
      </c>
      <c r="BF1549" t="s">
        <v>163</v>
      </c>
      <c r="BG1549" t="s">
        <v>164</v>
      </c>
    </row>
    <row r="1550" spans="1:59">
      <c r="A1550">
        <v>1115</v>
      </c>
      <c r="B1550">
        <v>1115</v>
      </c>
      <c r="C1550">
        <v>10</v>
      </c>
      <c r="D1550">
        <v>2</v>
      </c>
      <c r="E1550" t="s">
        <v>152</v>
      </c>
      <c r="F1550" t="s">
        <v>153</v>
      </c>
      <c r="G1550" t="s">
        <v>154</v>
      </c>
      <c r="H1550">
        <v>1526007499</v>
      </c>
      <c r="I1550">
        <v>1000007798</v>
      </c>
      <c r="L1550" t="s">
        <v>367</v>
      </c>
      <c r="M1550">
        <v>5100001934</v>
      </c>
      <c r="N1550" t="s">
        <v>155</v>
      </c>
      <c r="O1550" t="s">
        <v>156</v>
      </c>
      <c r="P1550">
        <v>4110058649</v>
      </c>
      <c r="Q1550" t="s">
        <v>196</v>
      </c>
      <c r="R1550">
        <v>5000</v>
      </c>
      <c r="S1550" t="s">
        <v>166</v>
      </c>
      <c r="V1550" t="s">
        <v>167</v>
      </c>
      <c r="W1550">
        <v>1502040217</v>
      </c>
      <c r="X1550" t="s">
        <v>197</v>
      </c>
      <c r="Y1550" t="str">
        <f>VLOOKUP(W1550,Sheet4!$A$5:$B$72,2,0)</f>
        <v>FRONT MUDGARD GOGO</v>
      </c>
      <c r="Z1550">
        <v>87082900</v>
      </c>
      <c r="AA1550">
        <v>131</v>
      </c>
      <c r="AB1550" t="s">
        <v>159</v>
      </c>
      <c r="AC1550">
        <v>380.93</v>
      </c>
      <c r="AD1550" t="s">
        <v>160</v>
      </c>
      <c r="AE1550" s="24">
        <v>49901.83</v>
      </c>
      <c r="AF1550">
        <v>0</v>
      </c>
      <c r="AG1550" s="24">
        <v>49901.83</v>
      </c>
      <c r="AH1550">
        <v>0</v>
      </c>
      <c r="AI1550">
        <v>0</v>
      </c>
      <c r="AJ1550">
        <v>0</v>
      </c>
      <c r="AK1550">
        <v>0</v>
      </c>
      <c r="AL1550" s="24">
        <v>49901.83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s="24">
        <v>49901.83</v>
      </c>
      <c r="AV1550">
        <v>0</v>
      </c>
      <c r="AW1550">
        <v>0</v>
      </c>
      <c r="AX1550">
        <v>311000</v>
      </c>
      <c r="AY1550" t="s">
        <v>161</v>
      </c>
      <c r="AZ1550">
        <v>2.13</v>
      </c>
      <c r="BA1550">
        <v>2.13</v>
      </c>
      <c r="BB1550">
        <v>0</v>
      </c>
      <c r="BC1550" t="s">
        <v>198</v>
      </c>
      <c r="BD1550">
        <v>1511</v>
      </c>
      <c r="BE1550" t="s">
        <v>174</v>
      </c>
      <c r="BF1550" t="s">
        <v>163</v>
      </c>
      <c r="BG1550" t="s">
        <v>164</v>
      </c>
    </row>
    <row r="1551" spans="1:59">
      <c r="A1551">
        <v>1115</v>
      </c>
      <c r="B1551">
        <v>1115</v>
      </c>
      <c r="C1551">
        <v>10</v>
      </c>
      <c r="D1551">
        <v>2</v>
      </c>
      <c r="E1551" t="s">
        <v>152</v>
      </c>
      <c r="F1551" t="s">
        <v>153</v>
      </c>
      <c r="G1551" t="s">
        <v>154</v>
      </c>
      <c r="H1551">
        <v>1526007497</v>
      </c>
      <c r="I1551">
        <v>1000007792</v>
      </c>
      <c r="L1551" t="s">
        <v>367</v>
      </c>
      <c r="M1551">
        <v>5100001919</v>
      </c>
      <c r="N1551" t="s">
        <v>155</v>
      </c>
      <c r="O1551" t="s">
        <v>156</v>
      </c>
      <c r="P1551">
        <v>5500000930</v>
      </c>
      <c r="Q1551" t="s">
        <v>157</v>
      </c>
      <c r="R1551">
        <v>5356</v>
      </c>
      <c r="S1551" t="s">
        <v>158</v>
      </c>
      <c r="W1551">
        <v>1502010011</v>
      </c>
      <c r="X1551" t="s">
        <v>35</v>
      </c>
      <c r="Y1551" t="str">
        <f>VLOOKUP(W1551,Sheet4!$A$5:$B$72,2,0)</f>
        <v>REAR MUDGAURD</v>
      </c>
      <c r="Z1551">
        <v>87082900</v>
      </c>
      <c r="AA1551">
        <v>432</v>
      </c>
      <c r="AB1551" t="s">
        <v>159</v>
      </c>
      <c r="AC1551">
        <v>89.25</v>
      </c>
      <c r="AD1551" t="s">
        <v>160</v>
      </c>
      <c r="AE1551" s="24">
        <v>38556</v>
      </c>
      <c r="AF1551">
        <v>0</v>
      </c>
      <c r="AG1551" s="24">
        <v>38556</v>
      </c>
      <c r="AH1551">
        <v>0</v>
      </c>
      <c r="AI1551">
        <v>0</v>
      </c>
      <c r="AJ1551">
        <v>0</v>
      </c>
      <c r="AK1551">
        <v>0</v>
      </c>
      <c r="AL1551" s="24">
        <v>38556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 s="24">
        <v>38556</v>
      </c>
      <c r="AV1551">
        <v>0</v>
      </c>
      <c r="AW1551">
        <v>0</v>
      </c>
      <c r="AX1551">
        <v>311000</v>
      </c>
      <c r="AY1551" t="s">
        <v>161</v>
      </c>
      <c r="AZ1551">
        <v>1.32</v>
      </c>
      <c r="BA1551">
        <v>0.72399999999999998</v>
      </c>
      <c r="BB1551">
        <v>0.59599999999999997</v>
      </c>
      <c r="BC1551">
        <v>2000001017</v>
      </c>
      <c r="BD1551">
        <v>1508</v>
      </c>
      <c r="BE1551" t="s">
        <v>162</v>
      </c>
      <c r="BF1551" t="s">
        <v>163</v>
      </c>
      <c r="BG1551" t="s">
        <v>164</v>
      </c>
    </row>
    <row r="1552" spans="1:59">
      <c r="A1552">
        <v>1115</v>
      </c>
      <c r="B1552">
        <v>1115</v>
      </c>
      <c r="C1552">
        <v>10</v>
      </c>
      <c r="D1552">
        <v>2</v>
      </c>
      <c r="E1552" t="s">
        <v>152</v>
      </c>
      <c r="F1552" t="s">
        <v>153</v>
      </c>
      <c r="G1552" t="s">
        <v>154</v>
      </c>
      <c r="H1552">
        <v>1526007496</v>
      </c>
      <c r="I1552">
        <v>1000007791</v>
      </c>
      <c r="L1552" t="s">
        <v>367</v>
      </c>
      <c r="M1552">
        <v>5100001919</v>
      </c>
      <c r="N1552" t="s">
        <v>155</v>
      </c>
      <c r="O1552" t="s">
        <v>156</v>
      </c>
      <c r="P1552">
        <v>5500000930</v>
      </c>
      <c r="Q1552" t="s">
        <v>157</v>
      </c>
      <c r="R1552">
        <v>5356</v>
      </c>
      <c r="S1552" t="s">
        <v>158</v>
      </c>
      <c r="W1552">
        <v>1502010011</v>
      </c>
      <c r="X1552" t="s">
        <v>35</v>
      </c>
      <c r="Y1552" t="str">
        <f>VLOOKUP(W1552,Sheet4!$A$5:$B$72,2,0)</f>
        <v>REAR MUDGAURD</v>
      </c>
      <c r="Z1552">
        <v>87082900</v>
      </c>
      <c r="AA1552">
        <v>432</v>
      </c>
      <c r="AB1552" t="s">
        <v>159</v>
      </c>
      <c r="AC1552">
        <v>89.25</v>
      </c>
      <c r="AD1552" t="s">
        <v>160</v>
      </c>
      <c r="AE1552" s="24">
        <v>38556</v>
      </c>
      <c r="AF1552">
        <v>0</v>
      </c>
      <c r="AG1552" s="24">
        <v>38556</v>
      </c>
      <c r="AH1552">
        <v>0</v>
      </c>
      <c r="AI1552">
        <v>0</v>
      </c>
      <c r="AJ1552">
        <v>0</v>
      </c>
      <c r="AK1552">
        <v>0</v>
      </c>
      <c r="AL1552" s="24">
        <v>38556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 s="24">
        <v>38556</v>
      </c>
      <c r="AV1552">
        <v>0</v>
      </c>
      <c r="AW1552">
        <v>0</v>
      </c>
      <c r="AX1552">
        <v>311000</v>
      </c>
      <c r="AY1552" t="s">
        <v>161</v>
      </c>
      <c r="AZ1552">
        <v>1.32</v>
      </c>
      <c r="BA1552">
        <v>0.72399999999999998</v>
      </c>
      <c r="BB1552">
        <v>0.59599999999999997</v>
      </c>
      <c r="BC1552">
        <v>2000001017</v>
      </c>
      <c r="BD1552">
        <v>1508</v>
      </c>
      <c r="BE1552" t="s">
        <v>162</v>
      </c>
      <c r="BF1552" t="s">
        <v>163</v>
      </c>
      <c r="BG1552" t="s">
        <v>164</v>
      </c>
    </row>
    <row r="1553" spans="1:59">
      <c r="A1553">
        <v>1115</v>
      </c>
      <c r="B1553">
        <v>1115</v>
      </c>
      <c r="C1553">
        <v>10</v>
      </c>
      <c r="D1553">
        <v>2</v>
      </c>
      <c r="E1553" t="s">
        <v>152</v>
      </c>
      <c r="F1553" t="s">
        <v>153</v>
      </c>
      <c r="G1553" t="s">
        <v>154</v>
      </c>
      <c r="H1553">
        <v>1526007495</v>
      </c>
      <c r="I1553">
        <v>1000007790</v>
      </c>
      <c r="L1553" t="s">
        <v>367</v>
      </c>
      <c r="M1553">
        <v>5100001101</v>
      </c>
      <c r="N1553" t="s">
        <v>155</v>
      </c>
      <c r="O1553" t="s">
        <v>156</v>
      </c>
      <c r="P1553">
        <v>4110004653</v>
      </c>
      <c r="Q1553" t="s">
        <v>177</v>
      </c>
      <c r="R1553">
        <v>5000</v>
      </c>
      <c r="S1553" t="s">
        <v>166</v>
      </c>
      <c r="V1553" t="s">
        <v>167</v>
      </c>
      <c r="W1553">
        <v>1502040194</v>
      </c>
      <c r="X1553" t="s">
        <v>44</v>
      </c>
      <c r="Y1553" t="str">
        <f>VLOOKUP(W1553,Sheet4!$A$5:$B$72,2,0)</f>
        <v>CRADEL</v>
      </c>
      <c r="Z1553">
        <v>87082900</v>
      </c>
      <c r="AA1553">
        <v>48</v>
      </c>
      <c r="AB1553" t="s">
        <v>159</v>
      </c>
      <c r="AC1553">
        <v>956.92</v>
      </c>
      <c r="AD1553" t="s">
        <v>160</v>
      </c>
      <c r="AE1553" s="24">
        <v>45932.160000000003</v>
      </c>
      <c r="AF1553">
        <v>0</v>
      </c>
      <c r="AG1553" s="24">
        <v>45932.160000000003</v>
      </c>
      <c r="AH1553">
        <v>0</v>
      </c>
      <c r="AI1553">
        <v>0</v>
      </c>
      <c r="AJ1553">
        <v>0</v>
      </c>
      <c r="AK1553">
        <v>0</v>
      </c>
      <c r="AL1553" s="24">
        <v>45932.160000000003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 s="24">
        <v>45932.160000000003</v>
      </c>
      <c r="AV1553">
        <v>0</v>
      </c>
      <c r="AW1553">
        <v>0</v>
      </c>
      <c r="AX1553">
        <v>311000</v>
      </c>
      <c r="AY1553" t="s">
        <v>161</v>
      </c>
      <c r="AZ1553">
        <v>6.3769999999999998</v>
      </c>
      <c r="BA1553">
        <v>6.3769999999999998</v>
      </c>
      <c r="BB1553">
        <v>0</v>
      </c>
      <c r="BC1553" t="s">
        <v>184</v>
      </c>
      <c r="BD1553">
        <v>1511</v>
      </c>
      <c r="BE1553" t="s">
        <v>174</v>
      </c>
      <c r="BF1553" t="s">
        <v>163</v>
      </c>
      <c r="BG1553" t="s">
        <v>164</v>
      </c>
    </row>
    <row r="1554" spans="1:59">
      <c r="A1554">
        <v>1115</v>
      </c>
      <c r="B1554">
        <v>1115</v>
      </c>
      <c r="C1554">
        <v>10</v>
      </c>
      <c r="D1554">
        <v>2</v>
      </c>
      <c r="E1554" t="s">
        <v>152</v>
      </c>
      <c r="F1554" t="s">
        <v>153</v>
      </c>
      <c r="G1554" t="s">
        <v>154</v>
      </c>
      <c r="H1554">
        <v>1526007494</v>
      </c>
      <c r="I1554">
        <v>1000007789</v>
      </c>
      <c r="L1554" t="s">
        <v>367</v>
      </c>
      <c r="M1554">
        <v>5100001919</v>
      </c>
      <c r="N1554" t="s">
        <v>155</v>
      </c>
      <c r="O1554" t="s">
        <v>156</v>
      </c>
      <c r="P1554">
        <v>5500000930</v>
      </c>
      <c r="Q1554" t="s">
        <v>157</v>
      </c>
      <c r="R1554">
        <v>5356</v>
      </c>
      <c r="S1554" t="s">
        <v>158</v>
      </c>
      <c r="W1554">
        <v>1502010011</v>
      </c>
      <c r="X1554" t="s">
        <v>35</v>
      </c>
      <c r="Y1554" t="str">
        <f>VLOOKUP(W1554,Sheet4!$A$5:$B$72,2,0)</f>
        <v>REAR MUDGAURD</v>
      </c>
      <c r="Z1554">
        <v>87082900</v>
      </c>
      <c r="AA1554">
        <v>432</v>
      </c>
      <c r="AB1554" t="s">
        <v>159</v>
      </c>
      <c r="AC1554">
        <v>89.25</v>
      </c>
      <c r="AD1554" t="s">
        <v>160</v>
      </c>
      <c r="AE1554" s="24">
        <v>38556</v>
      </c>
      <c r="AF1554">
        <v>0</v>
      </c>
      <c r="AG1554" s="24">
        <v>38556</v>
      </c>
      <c r="AH1554">
        <v>0</v>
      </c>
      <c r="AI1554">
        <v>0</v>
      </c>
      <c r="AJ1554">
        <v>0</v>
      </c>
      <c r="AK1554">
        <v>0</v>
      </c>
      <c r="AL1554" s="24">
        <v>38556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 s="24">
        <v>38556</v>
      </c>
      <c r="AV1554">
        <v>0</v>
      </c>
      <c r="AW1554">
        <v>0</v>
      </c>
      <c r="AX1554">
        <v>311000</v>
      </c>
      <c r="AY1554" t="s">
        <v>161</v>
      </c>
      <c r="AZ1554">
        <v>1.32</v>
      </c>
      <c r="BA1554">
        <v>0.72399999999999998</v>
      </c>
      <c r="BB1554">
        <v>0.59599999999999997</v>
      </c>
      <c r="BC1554">
        <v>2000001017</v>
      </c>
      <c r="BD1554">
        <v>1508</v>
      </c>
      <c r="BE1554" t="s">
        <v>162</v>
      </c>
      <c r="BF1554" t="s">
        <v>163</v>
      </c>
      <c r="BG1554" t="s">
        <v>164</v>
      </c>
    </row>
    <row r="1555" spans="1:59">
      <c r="A1555">
        <v>1115</v>
      </c>
      <c r="B1555">
        <v>1115</v>
      </c>
      <c r="C1555">
        <v>10</v>
      </c>
      <c r="D1555">
        <v>2</v>
      </c>
      <c r="E1555" t="s">
        <v>152</v>
      </c>
      <c r="F1555" t="s">
        <v>153</v>
      </c>
      <c r="G1555" t="s">
        <v>154</v>
      </c>
      <c r="H1555">
        <v>1526007493</v>
      </c>
      <c r="I1555">
        <v>1000007788</v>
      </c>
      <c r="L1555" t="s">
        <v>367</v>
      </c>
      <c r="M1555">
        <v>5100001919</v>
      </c>
      <c r="N1555" t="s">
        <v>155</v>
      </c>
      <c r="O1555" t="s">
        <v>156</v>
      </c>
      <c r="P1555">
        <v>5500000930</v>
      </c>
      <c r="Q1555" t="s">
        <v>157</v>
      </c>
      <c r="R1555">
        <v>5356</v>
      </c>
      <c r="S1555" t="s">
        <v>158</v>
      </c>
      <c r="W1555">
        <v>1502010011</v>
      </c>
      <c r="X1555" t="s">
        <v>35</v>
      </c>
      <c r="Y1555" t="str">
        <f>VLOOKUP(W1555,Sheet4!$A$5:$B$72,2,0)</f>
        <v>REAR MUDGAURD</v>
      </c>
      <c r="Z1555">
        <v>87082900</v>
      </c>
      <c r="AA1555">
        <v>432</v>
      </c>
      <c r="AB1555" t="s">
        <v>159</v>
      </c>
      <c r="AC1555">
        <v>89.25</v>
      </c>
      <c r="AD1555" t="s">
        <v>160</v>
      </c>
      <c r="AE1555" s="24">
        <v>38556</v>
      </c>
      <c r="AF1555">
        <v>0</v>
      </c>
      <c r="AG1555" s="24">
        <v>38556</v>
      </c>
      <c r="AH1555">
        <v>0</v>
      </c>
      <c r="AI1555">
        <v>0</v>
      </c>
      <c r="AJ1555">
        <v>0</v>
      </c>
      <c r="AK1555">
        <v>0</v>
      </c>
      <c r="AL1555" s="24">
        <v>38556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 s="24">
        <v>38556</v>
      </c>
      <c r="AV1555">
        <v>0</v>
      </c>
      <c r="AW1555">
        <v>0</v>
      </c>
      <c r="AX1555">
        <v>311000</v>
      </c>
      <c r="AY1555" t="s">
        <v>161</v>
      </c>
      <c r="AZ1555">
        <v>1.32</v>
      </c>
      <c r="BA1555">
        <v>0.72399999999999998</v>
      </c>
      <c r="BB1555">
        <v>0.59599999999999997</v>
      </c>
      <c r="BC1555">
        <v>2000001017</v>
      </c>
      <c r="BD1555">
        <v>1508</v>
      </c>
      <c r="BE1555" t="s">
        <v>162</v>
      </c>
      <c r="BF1555" t="s">
        <v>163</v>
      </c>
      <c r="BG1555" t="s">
        <v>164</v>
      </c>
    </row>
    <row r="1556" spans="1:59">
      <c r="A1556">
        <v>1115</v>
      </c>
      <c r="B1556">
        <v>1115</v>
      </c>
      <c r="C1556">
        <v>10</v>
      </c>
      <c r="D1556">
        <v>2</v>
      </c>
      <c r="E1556" t="s">
        <v>152</v>
      </c>
      <c r="F1556" t="s">
        <v>153</v>
      </c>
      <c r="G1556" t="s">
        <v>154</v>
      </c>
      <c r="H1556">
        <v>1526007492</v>
      </c>
      <c r="I1556">
        <v>1000007787</v>
      </c>
      <c r="L1556" t="s">
        <v>367</v>
      </c>
      <c r="M1556">
        <v>5100001101</v>
      </c>
      <c r="N1556" t="s">
        <v>155</v>
      </c>
      <c r="O1556" t="s">
        <v>156</v>
      </c>
      <c r="P1556">
        <v>4110004653</v>
      </c>
      <c r="Q1556" t="s">
        <v>177</v>
      </c>
      <c r="R1556">
        <v>5000</v>
      </c>
      <c r="S1556" t="s">
        <v>166</v>
      </c>
      <c r="V1556" t="s">
        <v>167</v>
      </c>
      <c r="W1556">
        <v>1502040194</v>
      </c>
      <c r="X1556" t="s">
        <v>44</v>
      </c>
      <c r="Y1556" t="str">
        <f>VLOOKUP(W1556,Sheet4!$A$5:$B$72,2,0)</f>
        <v>CRADEL</v>
      </c>
      <c r="Z1556">
        <v>87082900</v>
      </c>
      <c r="AA1556">
        <v>48</v>
      </c>
      <c r="AB1556" t="s">
        <v>159</v>
      </c>
      <c r="AC1556">
        <v>956.92</v>
      </c>
      <c r="AD1556" t="s">
        <v>160</v>
      </c>
      <c r="AE1556" s="24">
        <v>45932.160000000003</v>
      </c>
      <c r="AF1556">
        <v>0</v>
      </c>
      <c r="AG1556" s="24">
        <v>45932.160000000003</v>
      </c>
      <c r="AH1556">
        <v>0</v>
      </c>
      <c r="AI1556">
        <v>0</v>
      </c>
      <c r="AJ1556">
        <v>0</v>
      </c>
      <c r="AK1556">
        <v>0</v>
      </c>
      <c r="AL1556" s="24">
        <v>45932.160000000003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 s="24">
        <v>45932.160000000003</v>
      </c>
      <c r="AV1556">
        <v>0</v>
      </c>
      <c r="AW1556">
        <v>0</v>
      </c>
      <c r="AX1556">
        <v>311000</v>
      </c>
      <c r="AY1556" t="s">
        <v>161</v>
      </c>
      <c r="AZ1556">
        <v>6.3769999999999998</v>
      </c>
      <c r="BA1556">
        <v>6.3769999999999998</v>
      </c>
      <c r="BB1556">
        <v>0</v>
      </c>
      <c r="BC1556" t="s">
        <v>184</v>
      </c>
      <c r="BD1556">
        <v>1511</v>
      </c>
      <c r="BE1556" t="s">
        <v>174</v>
      </c>
      <c r="BF1556" t="s">
        <v>163</v>
      </c>
      <c r="BG1556" t="s">
        <v>164</v>
      </c>
    </row>
    <row r="1557" spans="1:59">
      <c r="A1557">
        <v>1115</v>
      </c>
      <c r="B1557">
        <v>1115</v>
      </c>
      <c r="C1557">
        <v>10</v>
      </c>
      <c r="D1557">
        <v>2</v>
      </c>
      <c r="E1557" t="s">
        <v>152</v>
      </c>
      <c r="F1557" t="s">
        <v>153</v>
      </c>
      <c r="G1557" t="s">
        <v>154</v>
      </c>
      <c r="H1557">
        <v>1526007491</v>
      </c>
      <c r="I1557">
        <v>1000007786</v>
      </c>
      <c r="L1557" t="s">
        <v>367</v>
      </c>
      <c r="M1557">
        <v>5100001919</v>
      </c>
      <c r="N1557" t="s">
        <v>155</v>
      </c>
      <c r="O1557" t="s">
        <v>156</v>
      </c>
      <c r="P1557">
        <v>5500000930</v>
      </c>
      <c r="Q1557" t="s">
        <v>157</v>
      </c>
      <c r="R1557">
        <v>5356</v>
      </c>
      <c r="S1557" t="s">
        <v>158</v>
      </c>
      <c r="W1557">
        <v>1502010011</v>
      </c>
      <c r="X1557" t="s">
        <v>35</v>
      </c>
      <c r="Y1557" t="str">
        <f>VLOOKUP(W1557,Sheet4!$A$5:$B$72,2,0)</f>
        <v>REAR MUDGAURD</v>
      </c>
      <c r="Z1557">
        <v>87082900</v>
      </c>
      <c r="AA1557">
        <v>432</v>
      </c>
      <c r="AB1557" t="s">
        <v>159</v>
      </c>
      <c r="AC1557">
        <v>89.25</v>
      </c>
      <c r="AD1557" t="s">
        <v>160</v>
      </c>
      <c r="AE1557" s="24">
        <v>38556</v>
      </c>
      <c r="AF1557">
        <v>0</v>
      </c>
      <c r="AG1557" s="24">
        <v>38556</v>
      </c>
      <c r="AH1557">
        <v>0</v>
      </c>
      <c r="AI1557">
        <v>0</v>
      </c>
      <c r="AJ1557">
        <v>0</v>
      </c>
      <c r="AK1557">
        <v>0</v>
      </c>
      <c r="AL1557" s="24">
        <v>38556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 s="24">
        <v>38556</v>
      </c>
      <c r="AV1557">
        <v>0</v>
      </c>
      <c r="AW1557">
        <v>0</v>
      </c>
      <c r="AX1557">
        <v>311000</v>
      </c>
      <c r="AY1557" t="s">
        <v>161</v>
      </c>
      <c r="AZ1557">
        <v>1.32</v>
      </c>
      <c r="BA1557">
        <v>0.72399999999999998</v>
      </c>
      <c r="BB1557">
        <v>0.59599999999999997</v>
      </c>
      <c r="BC1557">
        <v>2000001017</v>
      </c>
      <c r="BD1557">
        <v>1508</v>
      </c>
      <c r="BE1557" t="s">
        <v>162</v>
      </c>
      <c r="BF1557" t="s">
        <v>163</v>
      </c>
      <c r="BG1557" t="s">
        <v>164</v>
      </c>
    </row>
    <row r="1558" spans="1:59">
      <c r="A1558">
        <v>1115</v>
      </c>
      <c r="B1558">
        <v>1115</v>
      </c>
      <c r="C1558">
        <v>10</v>
      </c>
      <c r="D1558">
        <v>2</v>
      </c>
      <c r="E1558" t="s">
        <v>152</v>
      </c>
      <c r="F1558" t="s">
        <v>153</v>
      </c>
      <c r="G1558" t="s">
        <v>154</v>
      </c>
      <c r="H1558">
        <v>1526007490</v>
      </c>
      <c r="I1558">
        <v>1000007785</v>
      </c>
      <c r="L1558" t="s">
        <v>367</v>
      </c>
      <c r="M1558">
        <v>5100001919</v>
      </c>
      <c r="N1558" t="s">
        <v>155</v>
      </c>
      <c r="O1558" t="s">
        <v>156</v>
      </c>
      <c r="P1558">
        <v>5500000930</v>
      </c>
      <c r="Q1558" t="s">
        <v>157</v>
      </c>
      <c r="R1558">
        <v>5356</v>
      </c>
      <c r="S1558" t="s">
        <v>158</v>
      </c>
      <c r="W1558">
        <v>1502010011</v>
      </c>
      <c r="X1558" t="s">
        <v>35</v>
      </c>
      <c r="Y1558" t="str">
        <f>VLOOKUP(W1558,Sheet4!$A$5:$B$72,2,0)</f>
        <v>REAR MUDGAURD</v>
      </c>
      <c r="Z1558">
        <v>87082900</v>
      </c>
      <c r="AA1558">
        <v>432</v>
      </c>
      <c r="AB1558" t="s">
        <v>159</v>
      </c>
      <c r="AC1558">
        <v>89.25</v>
      </c>
      <c r="AD1558" t="s">
        <v>160</v>
      </c>
      <c r="AE1558" s="24">
        <v>38556</v>
      </c>
      <c r="AF1558">
        <v>0</v>
      </c>
      <c r="AG1558" s="24">
        <v>38556</v>
      </c>
      <c r="AH1558">
        <v>0</v>
      </c>
      <c r="AI1558">
        <v>0</v>
      </c>
      <c r="AJ1558">
        <v>0</v>
      </c>
      <c r="AK1558">
        <v>0</v>
      </c>
      <c r="AL1558" s="24">
        <v>38556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 s="24">
        <v>38556</v>
      </c>
      <c r="AV1558">
        <v>0</v>
      </c>
      <c r="AW1558">
        <v>0</v>
      </c>
      <c r="AX1558">
        <v>311000</v>
      </c>
      <c r="AY1558" t="s">
        <v>161</v>
      </c>
      <c r="AZ1558">
        <v>1.32</v>
      </c>
      <c r="BA1558">
        <v>0.72399999999999998</v>
      </c>
      <c r="BB1558">
        <v>0.59599999999999997</v>
      </c>
      <c r="BC1558">
        <v>2000001017</v>
      </c>
      <c r="BD1558">
        <v>1508</v>
      </c>
      <c r="BE1558" t="s">
        <v>162</v>
      </c>
      <c r="BF1558" t="s">
        <v>163</v>
      </c>
      <c r="BG1558" t="s">
        <v>164</v>
      </c>
    </row>
    <row r="1559" spans="1:59">
      <c r="A1559">
        <v>1115</v>
      </c>
      <c r="B1559">
        <v>1115</v>
      </c>
      <c r="C1559">
        <v>10</v>
      </c>
      <c r="D1559">
        <v>2</v>
      </c>
      <c r="E1559" t="s">
        <v>152</v>
      </c>
      <c r="F1559" t="s">
        <v>153</v>
      </c>
      <c r="G1559" t="s">
        <v>154</v>
      </c>
      <c r="H1559">
        <v>1526007489</v>
      </c>
      <c r="I1559">
        <v>1000007784</v>
      </c>
      <c r="L1559" t="s">
        <v>367</v>
      </c>
      <c r="M1559">
        <v>5100001919</v>
      </c>
      <c r="N1559" t="s">
        <v>155</v>
      </c>
      <c r="O1559" t="s">
        <v>156</v>
      </c>
      <c r="P1559">
        <v>5500000930</v>
      </c>
      <c r="Q1559" t="s">
        <v>157</v>
      </c>
      <c r="R1559">
        <v>5356</v>
      </c>
      <c r="S1559" t="s">
        <v>158</v>
      </c>
      <c r="W1559">
        <v>1502010011</v>
      </c>
      <c r="X1559" t="s">
        <v>35</v>
      </c>
      <c r="Y1559" t="str">
        <f>VLOOKUP(W1559,Sheet4!$A$5:$B$72,2,0)</f>
        <v>REAR MUDGAURD</v>
      </c>
      <c r="Z1559">
        <v>87082900</v>
      </c>
      <c r="AA1559">
        <v>432</v>
      </c>
      <c r="AB1559" t="s">
        <v>159</v>
      </c>
      <c r="AC1559">
        <v>89.25</v>
      </c>
      <c r="AD1559" t="s">
        <v>160</v>
      </c>
      <c r="AE1559" s="24">
        <v>38556</v>
      </c>
      <c r="AF1559">
        <v>0</v>
      </c>
      <c r="AG1559" s="24">
        <v>38556</v>
      </c>
      <c r="AH1559">
        <v>0</v>
      </c>
      <c r="AI1559">
        <v>0</v>
      </c>
      <c r="AJ1559">
        <v>0</v>
      </c>
      <c r="AK1559">
        <v>0</v>
      </c>
      <c r="AL1559" s="24">
        <v>38556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 s="24">
        <v>38556</v>
      </c>
      <c r="AV1559">
        <v>0</v>
      </c>
      <c r="AW1559">
        <v>0</v>
      </c>
      <c r="AX1559">
        <v>311000</v>
      </c>
      <c r="AY1559" t="s">
        <v>161</v>
      </c>
      <c r="AZ1559">
        <v>1.32</v>
      </c>
      <c r="BA1559">
        <v>0.72399999999999998</v>
      </c>
      <c r="BB1559">
        <v>0.59599999999999997</v>
      </c>
      <c r="BC1559">
        <v>2000001017</v>
      </c>
      <c r="BD1559">
        <v>1508</v>
      </c>
      <c r="BE1559" t="s">
        <v>162</v>
      </c>
      <c r="BF1559" t="s">
        <v>163</v>
      </c>
      <c r="BG1559" t="s">
        <v>164</v>
      </c>
    </row>
    <row r="1560" spans="1:59">
      <c r="A1560">
        <v>1115</v>
      </c>
      <c r="B1560">
        <v>1115</v>
      </c>
      <c r="C1560">
        <v>10</v>
      </c>
      <c r="D1560">
        <v>2</v>
      </c>
      <c r="E1560" t="s">
        <v>152</v>
      </c>
      <c r="F1560" t="s">
        <v>153</v>
      </c>
      <c r="G1560" t="s">
        <v>154</v>
      </c>
      <c r="H1560">
        <v>1526007488</v>
      </c>
      <c r="I1560">
        <v>1000007783</v>
      </c>
      <c r="L1560" t="s">
        <v>367</v>
      </c>
      <c r="M1560">
        <v>5100001919</v>
      </c>
      <c r="N1560" t="s">
        <v>155</v>
      </c>
      <c r="O1560" t="s">
        <v>156</v>
      </c>
      <c r="P1560">
        <v>5500000930</v>
      </c>
      <c r="Q1560" t="s">
        <v>157</v>
      </c>
      <c r="R1560">
        <v>5356</v>
      </c>
      <c r="S1560" t="s">
        <v>158</v>
      </c>
      <c r="W1560">
        <v>1502010011</v>
      </c>
      <c r="X1560" t="s">
        <v>35</v>
      </c>
      <c r="Y1560" t="str">
        <f>VLOOKUP(W1560,Sheet4!$A$5:$B$72,2,0)</f>
        <v>REAR MUDGAURD</v>
      </c>
      <c r="Z1560">
        <v>87082900</v>
      </c>
      <c r="AA1560">
        <v>432</v>
      </c>
      <c r="AB1560" t="s">
        <v>159</v>
      </c>
      <c r="AC1560">
        <v>89.25</v>
      </c>
      <c r="AD1560" t="s">
        <v>160</v>
      </c>
      <c r="AE1560" s="24">
        <v>38556</v>
      </c>
      <c r="AF1560">
        <v>0</v>
      </c>
      <c r="AG1560" s="24">
        <v>38556</v>
      </c>
      <c r="AH1560">
        <v>0</v>
      </c>
      <c r="AI1560">
        <v>0</v>
      </c>
      <c r="AJ1560">
        <v>0</v>
      </c>
      <c r="AK1560">
        <v>0</v>
      </c>
      <c r="AL1560" s="24">
        <v>38556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 s="24">
        <v>38556</v>
      </c>
      <c r="AV1560">
        <v>0</v>
      </c>
      <c r="AW1560">
        <v>0</v>
      </c>
      <c r="AX1560">
        <v>311000</v>
      </c>
      <c r="AY1560" t="s">
        <v>161</v>
      </c>
      <c r="AZ1560">
        <v>1.32</v>
      </c>
      <c r="BA1560">
        <v>0.72399999999999998</v>
      </c>
      <c r="BB1560">
        <v>0.59599999999999997</v>
      </c>
      <c r="BC1560">
        <v>2000001017</v>
      </c>
      <c r="BD1560">
        <v>1508</v>
      </c>
      <c r="BE1560" t="s">
        <v>162</v>
      </c>
      <c r="BF1560" t="s">
        <v>163</v>
      </c>
      <c r="BG1560" t="s">
        <v>164</v>
      </c>
    </row>
    <row r="1561" spans="1:59">
      <c r="A1561">
        <v>1115</v>
      </c>
      <c r="B1561">
        <v>1115</v>
      </c>
      <c r="C1561">
        <v>10</v>
      </c>
      <c r="D1561">
        <v>2</v>
      </c>
      <c r="E1561" t="s">
        <v>152</v>
      </c>
      <c r="F1561" t="s">
        <v>153</v>
      </c>
      <c r="G1561" t="s">
        <v>154</v>
      </c>
      <c r="H1561">
        <v>1526007487</v>
      </c>
      <c r="I1561">
        <v>1000007781</v>
      </c>
      <c r="L1561" t="s">
        <v>367</v>
      </c>
      <c r="M1561">
        <v>5100001636</v>
      </c>
      <c r="N1561" t="s">
        <v>155</v>
      </c>
      <c r="O1561" t="s">
        <v>156</v>
      </c>
      <c r="P1561">
        <v>4110026445</v>
      </c>
      <c r="Q1561" t="s">
        <v>170</v>
      </c>
      <c r="R1561">
        <v>5000</v>
      </c>
      <c r="S1561" t="s">
        <v>166</v>
      </c>
      <c r="V1561" t="s">
        <v>167</v>
      </c>
      <c r="W1561">
        <v>1502020101</v>
      </c>
      <c r="X1561" t="s">
        <v>25</v>
      </c>
      <c r="Y1561" t="str">
        <f>VLOOKUP(W1561,Sheet4!$A$5:$B$72,2,0)</f>
        <v>RE STYLING</v>
      </c>
      <c r="Z1561">
        <v>87082900</v>
      </c>
      <c r="AA1561">
        <v>15</v>
      </c>
      <c r="AB1561" t="s">
        <v>159</v>
      </c>
      <c r="AC1561" s="24">
        <v>6240.88</v>
      </c>
      <c r="AD1561" t="s">
        <v>160</v>
      </c>
      <c r="AE1561" s="24">
        <v>93613.2</v>
      </c>
      <c r="AF1561">
        <v>0</v>
      </c>
      <c r="AG1561" s="24">
        <v>93613.2</v>
      </c>
      <c r="AH1561">
        <v>0</v>
      </c>
      <c r="AI1561">
        <v>0</v>
      </c>
      <c r="AJ1561">
        <v>0</v>
      </c>
      <c r="AK1561">
        <v>0</v>
      </c>
      <c r="AL1561" s="24">
        <v>93613.2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 s="24">
        <v>93613.2</v>
      </c>
      <c r="AV1561">
        <v>0</v>
      </c>
      <c r="AW1561">
        <v>0</v>
      </c>
      <c r="AX1561">
        <v>311000</v>
      </c>
      <c r="AY1561" t="s">
        <v>161</v>
      </c>
      <c r="AZ1561">
        <v>58</v>
      </c>
      <c r="BA1561">
        <v>58</v>
      </c>
      <c r="BB1561">
        <v>0</v>
      </c>
      <c r="BC1561" t="s">
        <v>208</v>
      </c>
      <c r="BD1561">
        <v>1509</v>
      </c>
      <c r="BE1561" t="s">
        <v>169</v>
      </c>
      <c r="BF1561" t="s">
        <v>163</v>
      </c>
      <c r="BG1561" t="s">
        <v>164</v>
      </c>
    </row>
    <row r="1562" spans="1:59">
      <c r="A1562">
        <v>1115</v>
      </c>
      <c r="B1562">
        <v>1115</v>
      </c>
      <c r="C1562">
        <v>10</v>
      </c>
      <c r="D1562">
        <v>2</v>
      </c>
      <c r="E1562" t="s">
        <v>152</v>
      </c>
      <c r="F1562" t="s">
        <v>153</v>
      </c>
      <c r="G1562" t="s">
        <v>154</v>
      </c>
      <c r="H1562">
        <v>1526007118</v>
      </c>
      <c r="I1562">
        <v>1000007406</v>
      </c>
      <c r="L1562" t="s">
        <v>381</v>
      </c>
      <c r="M1562">
        <v>5100001636</v>
      </c>
      <c r="N1562" t="s">
        <v>155</v>
      </c>
      <c r="O1562" t="s">
        <v>156</v>
      </c>
      <c r="P1562">
        <v>4110026445</v>
      </c>
      <c r="Q1562" t="s">
        <v>170</v>
      </c>
      <c r="R1562">
        <v>5000</v>
      </c>
      <c r="S1562" t="s">
        <v>166</v>
      </c>
      <c r="V1562" t="s">
        <v>167</v>
      </c>
      <c r="W1562">
        <v>1502020104</v>
      </c>
      <c r="X1562" t="s">
        <v>26</v>
      </c>
      <c r="Y1562" t="str">
        <f>VLOOKUP(W1562,Sheet4!$A$5:$B$72,2,0)</f>
        <v>RE STYLING</v>
      </c>
      <c r="Z1562">
        <v>87082900</v>
      </c>
      <c r="AA1562">
        <v>15</v>
      </c>
      <c r="AB1562" t="s">
        <v>159</v>
      </c>
      <c r="AC1562" s="24">
        <v>6585.55</v>
      </c>
      <c r="AD1562" t="s">
        <v>160</v>
      </c>
      <c r="AE1562" s="24">
        <v>98783.25</v>
      </c>
      <c r="AF1562">
        <v>0</v>
      </c>
      <c r="AG1562" s="24">
        <v>98783.25</v>
      </c>
      <c r="AH1562">
        <v>0</v>
      </c>
      <c r="AI1562">
        <v>0</v>
      </c>
      <c r="AJ1562">
        <v>0</v>
      </c>
      <c r="AK1562">
        <v>0</v>
      </c>
      <c r="AL1562" s="24">
        <v>98783.25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 s="24">
        <v>98783.25</v>
      </c>
      <c r="AV1562">
        <v>0</v>
      </c>
      <c r="AW1562">
        <v>0</v>
      </c>
      <c r="AX1562">
        <v>311000</v>
      </c>
      <c r="AY1562" t="s">
        <v>161</v>
      </c>
      <c r="AZ1562">
        <v>49.75</v>
      </c>
      <c r="BA1562">
        <v>49.75</v>
      </c>
      <c r="BB1562">
        <v>0</v>
      </c>
      <c r="BC1562" t="s">
        <v>171</v>
      </c>
      <c r="BD1562">
        <v>1509</v>
      </c>
      <c r="BE1562" t="s">
        <v>169</v>
      </c>
      <c r="BF1562">
        <v>5094249783</v>
      </c>
      <c r="BG1562" t="s">
        <v>381</v>
      </c>
    </row>
    <row r="1563" spans="1:59">
      <c r="A1563">
        <v>1115</v>
      </c>
      <c r="B1563">
        <v>1115</v>
      </c>
      <c r="C1563">
        <v>10</v>
      </c>
      <c r="D1563">
        <v>2</v>
      </c>
      <c r="E1563" t="s">
        <v>152</v>
      </c>
      <c r="F1563" t="s">
        <v>153</v>
      </c>
      <c r="G1563" t="s">
        <v>154</v>
      </c>
      <c r="H1563">
        <v>1526007112</v>
      </c>
      <c r="I1563">
        <v>1000007399</v>
      </c>
      <c r="L1563" t="s">
        <v>381</v>
      </c>
      <c r="M1563">
        <v>5100001899</v>
      </c>
      <c r="N1563" t="s">
        <v>155</v>
      </c>
      <c r="O1563" t="s">
        <v>156</v>
      </c>
      <c r="P1563">
        <v>4110041854</v>
      </c>
      <c r="Q1563" t="s">
        <v>172</v>
      </c>
      <c r="R1563">
        <v>5000</v>
      </c>
      <c r="S1563" t="s">
        <v>166</v>
      </c>
      <c r="V1563" t="s">
        <v>167</v>
      </c>
      <c r="W1563">
        <v>1502040267</v>
      </c>
      <c r="X1563" t="s">
        <v>63</v>
      </c>
      <c r="Y1563" t="str">
        <f>VLOOKUP(W1563,Sheet4!$A$5:$B$72,2,0)</f>
        <v>DASH BOARD</v>
      </c>
      <c r="Z1563">
        <v>87082900</v>
      </c>
      <c r="AA1563">
        <v>512</v>
      </c>
      <c r="AB1563" t="s">
        <v>159</v>
      </c>
      <c r="AC1563">
        <v>290.89999999999998</v>
      </c>
      <c r="AD1563" t="s">
        <v>160</v>
      </c>
      <c r="AE1563" s="24">
        <v>148940.79999999999</v>
      </c>
      <c r="AF1563">
        <v>0</v>
      </c>
      <c r="AG1563" s="24">
        <v>148940.79999999999</v>
      </c>
      <c r="AH1563">
        <v>0</v>
      </c>
      <c r="AI1563">
        <v>0</v>
      </c>
      <c r="AJ1563">
        <v>0</v>
      </c>
      <c r="AK1563">
        <v>0</v>
      </c>
      <c r="AL1563" s="24">
        <v>148940.79999999999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 s="24">
        <v>148940.79999999999</v>
      </c>
      <c r="AV1563">
        <v>0</v>
      </c>
      <c r="AW1563">
        <v>0</v>
      </c>
      <c r="AX1563">
        <v>311000</v>
      </c>
      <c r="AY1563" t="s">
        <v>161</v>
      </c>
      <c r="AZ1563">
        <v>4.5</v>
      </c>
      <c r="BA1563">
        <v>4.5</v>
      </c>
      <c r="BB1563">
        <v>0</v>
      </c>
      <c r="BC1563" t="s">
        <v>173</v>
      </c>
      <c r="BD1563">
        <v>1511</v>
      </c>
      <c r="BE1563" t="s">
        <v>174</v>
      </c>
      <c r="BF1563">
        <v>5094245620</v>
      </c>
      <c r="BG1563" t="s">
        <v>381</v>
      </c>
    </row>
    <row r="1564" spans="1:59">
      <c r="A1564">
        <v>1115</v>
      </c>
      <c r="B1564">
        <v>1115</v>
      </c>
      <c r="C1564">
        <v>10</v>
      </c>
      <c r="D1564">
        <v>2</v>
      </c>
      <c r="E1564" t="s">
        <v>152</v>
      </c>
      <c r="F1564" t="s">
        <v>153</v>
      </c>
      <c r="G1564" t="s">
        <v>154</v>
      </c>
      <c r="H1564">
        <v>1526007111</v>
      </c>
      <c r="I1564">
        <v>1000007398</v>
      </c>
      <c r="L1564" t="s">
        <v>381</v>
      </c>
      <c r="M1564">
        <v>5100001636</v>
      </c>
      <c r="N1564" t="s">
        <v>155</v>
      </c>
      <c r="O1564" t="s">
        <v>156</v>
      </c>
      <c r="P1564">
        <v>4110026445</v>
      </c>
      <c r="Q1564" t="s">
        <v>170</v>
      </c>
      <c r="R1564">
        <v>5000</v>
      </c>
      <c r="S1564" t="s">
        <v>166</v>
      </c>
      <c r="V1564" t="s">
        <v>167</v>
      </c>
      <c r="W1564">
        <v>1502020104</v>
      </c>
      <c r="X1564" t="s">
        <v>26</v>
      </c>
      <c r="Y1564" t="str">
        <f>VLOOKUP(W1564,Sheet4!$A$5:$B$72,2,0)</f>
        <v>RE STYLING</v>
      </c>
      <c r="Z1564">
        <v>87082900</v>
      </c>
      <c r="AA1564">
        <v>15</v>
      </c>
      <c r="AB1564" t="s">
        <v>159</v>
      </c>
      <c r="AC1564" s="24">
        <v>6585.55</v>
      </c>
      <c r="AD1564" t="s">
        <v>160</v>
      </c>
      <c r="AE1564" s="24">
        <v>98783.25</v>
      </c>
      <c r="AF1564">
        <v>0</v>
      </c>
      <c r="AG1564" s="24">
        <v>98783.25</v>
      </c>
      <c r="AH1564">
        <v>0</v>
      </c>
      <c r="AI1564">
        <v>0</v>
      </c>
      <c r="AJ1564">
        <v>0</v>
      </c>
      <c r="AK1564">
        <v>0</v>
      </c>
      <c r="AL1564" s="24">
        <v>98783.25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 s="24">
        <v>98783.25</v>
      </c>
      <c r="AV1564">
        <v>0</v>
      </c>
      <c r="AW1564">
        <v>0</v>
      </c>
      <c r="AX1564">
        <v>311000</v>
      </c>
      <c r="AY1564" t="s">
        <v>161</v>
      </c>
      <c r="AZ1564">
        <v>49.75</v>
      </c>
      <c r="BA1564">
        <v>49.75</v>
      </c>
      <c r="BB1564">
        <v>0</v>
      </c>
      <c r="BC1564" t="s">
        <v>171</v>
      </c>
      <c r="BD1564">
        <v>1509</v>
      </c>
      <c r="BE1564" t="s">
        <v>169</v>
      </c>
      <c r="BF1564">
        <v>5094245348</v>
      </c>
      <c r="BG1564" t="s">
        <v>381</v>
      </c>
    </row>
    <row r="1565" spans="1:59">
      <c r="A1565">
        <v>1115</v>
      </c>
      <c r="B1565">
        <v>1115</v>
      </c>
      <c r="C1565">
        <v>10</v>
      </c>
      <c r="D1565">
        <v>2</v>
      </c>
      <c r="E1565" t="s">
        <v>152</v>
      </c>
      <c r="F1565" t="s">
        <v>153</v>
      </c>
      <c r="G1565" t="s">
        <v>154</v>
      </c>
      <c r="H1565">
        <v>1526007110</v>
      </c>
      <c r="I1565">
        <v>1000007397</v>
      </c>
      <c r="L1565" t="s">
        <v>381</v>
      </c>
      <c r="M1565">
        <v>5100001636</v>
      </c>
      <c r="N1565" t="s">
        <v>155</v>
      </c>
      <c r="O1565" t="s">
        <v>156</v>
      </c>
      <c r="P1565">
        <v>4110026445</v>
      </c>
      <c r="Q1565" t="s">
        <v>170</v>
      </c>
      <c r="R1565">
        <v>5000</v>
      </c>
      <c r="S1565" t="s">
        <v>166</v>
      </c>
      <c r="V1565" t="s">
        <v>167</v>
      </c>
      <c r="W1565">
        <v>1502020104</v>
      </c>
      <c r="X1565" t="s">
        <v>26</v>
      </c>
      <c r="Y1565" t="str">
        <f>VLOOKUP(W1565,Sheet4!$A$5:$B$72,2,0)</f>
        <v>RE STYLING</v>
      </c>
      <c r="Z1565">
        <v>87082900</v>
      </c>
      <c r="AA1565">
        <v>15</v>
      </c>
      <c r="AB1565" t="s">
        <v>159</v>
      </c>
      <c r="AC1565" s="24">
        <v>6585.55</v>
      </c>
      <c r="AD1565" t="s">
        <v>160</v>
      </c>
      <c r="AE1565" s="24">
        <v>98783.25</v>
      </c>
      <c r="AF1565">
        <v>0</v>
      </c>
      <c r="AG1565" s="24">
        <v>98783.25</v>
      </c>
      <c r="AH1565">
        <v>0</v>
      </c>
      <c r="AI1565">
        <v>0</v>
      </c>
      <c r="AJ1565">
        <v>0</v>
      </c>
      <c r="AK1565">
        <v>0</v>
      </c>
      <c r="AL1565" s="24">
        <v>98783.25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 s="24">
        <v>98783.25</v>
      </c>
      <c r="AV1565">
        <v>0</v>
      </c>
      <c r="AW1565">
        <v>0</v>
      </c>
      <c r="AX1565">
        <v>311000</v>
      </c>
      <c r="AY1565" t="s">
        <v>161</v>
      </c>
      <c r="AZ1565">
        <v>49.75</v>
      </c>
      <c r="BA1565">
        <v>49.75</v>
      </c>
      <c r="BB1565">
        <v>0</v>
      </c>
      <c r="BC1565" t="s">
        <v>171</v>
      </c>
      <c r="BD1565">
        <v>1509</v>
      </c>
      <c r="BE1565" t="s">
        <v>169</v>
      </c>
      <c r="BF1565">
        <v>5094245623</v>
      </c>
      <c r="BG1565" t="s">
        <v>381</v>
      </c>
    </row>
    <row r="1566" spans="1:59">
      <c r="A1566">
        <v>1115</v>
      </c>
      <c r="B1566">
        <v>1115</v>
      </c>
      <c r="C1566">
        <v>10</v>
      </c>
      <c r="D1566">
        <v>2</v>
      </c>
      <c r="E1566" t="s">
        <v>152</v>
      </c>
      <c r="F1566" t="s">
        <v>153</v>
      </c>
      <c r="G1566" t="s">
        <v>154</v>
      </c>
      <c r="H1566">
        <v>1526007109</v>
      </c>
      <c r="I1566">
        <v>1000007396</v>
      </c>
      <c r="L1566" t="s">
        <v>381</v>
      </c>
      <c r="M1566">
        <v>5100001636</v>
      </c>
      <c r="N1566" t="s">
        <v>155</v>
      </c>
      <c r="O1566" t="s">
        <v>156</v>
      </c>
      <c r="P1566">
        <v>4110026445</v>
      </c>
      <c r="Q1566" t="s">
        <v>170</v>
      </c>
      <c r="R1566">
        <v>5000</v>
      </c>
      <c r="S1566" t="s">
        <v>166</v>
      </c>
      <c r="V1566" t="s">
        <v>167</v>
      </c>
      <c r="W1566">
        <v>1502020104</v>
      </c>
      <c r="X1566" t="s">
        <v>26</v>
      </c>
      <c r="Y1566" t="str">
        <f>VLOOKUP(W1566,Sheet4!$A$5:$B$72,2,0)</f>
        <v>RE STYLING</v>
      </c>
      <c r="Z1566">
        <v>87082900</v>
      </c>
      <c r="AA1566">
        <v>15</v>
      </c>
      <c r="AB1566" t="s">
        <v>159</v>
      </c>
      <c r="AC1566" s="24">
        <v>6585.55</v>
      </c>
      <c r="AD1566" t="s">
        <v>160</v>
      </c>
      <c r="AE1566" s="24">
        <v>98783.25</v>
      </c>
      <c r="AF1566">
        <v>0</v>
      </c>
      <c r="AG1566" s="24">
        <v>98783.25</v>
      </c>
      <c r="AH1566">
        <v>0</v>
      </c>
      <c r="AI1566">
        <v>0</v>
      </c>
      <c r="AJ1566">
        <v>0</v>
      </c>
      <c r="AK1566">
        <v>0</v>
      </c>
      <c r="AL1566" s="24">
        <v>98783.25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 s="24">
        <v>98783.25</v>
      </c>
      <c r="AV1566">
        <v>0</v>
      </c>
      <c r="AW1566">
        <v>0</v>
      </c>
      <c r="AX1566">
        <v>311000</v>
      </c>
      <c r="AY1566" t="s">
        <v>161</v>
      </c>
      <c r="AZ1566">
        <v>49.75</v>
      </c>
      <c r="BA1566">
        <v>49.75</v>
      </c>
      <c r="BB1566">
        <v>0</v>
      </c>
      <c r="BC1566" t="s">
        <v>171</v>
      </c>
      <c r="BD1566">
        <v>1509</v>
      </c>
      <c r="BE1566" t="s">
        <v>169</v>
      </c>
      <c r="BF1566">
        <v>5094245627</v>
      </c>
      <c r="BG1566" t="s">
        <v>381</v>
      </c>
    </row>
    <row r="1567" spans="1:59">
      <c r="A1567">
        <v>1115</v>
      </c>
      <c r="B1567">
        <v>1115</v>
      </c>
      <c r="C1567">
        <v>10</v>
      </c>
      <c r="D1567">
        <v>2</v>
      </c>
      <c r="E1567" t="s">
        <v>152</v>
      </c>
      <c r="F1567" t="s">
        <v>153</v>
      </c>
      <c r="G1567" t="s">
        <v>154</v>
      </c>
      <c r="H1567">
        <v>1526007107</v>
      </c>
      <c r="I1567">
        <v>1000007393</v>
      </c>
      <c r="L1567" t="s">
        <v>381</v>
      </c>
      <c r="M1567">
        <v>5100001445</v>
      </c>
      <c r="N1567" t="s">
        <v>155</v>
      </c>
      <c r="O1567" t="s">
        <v>156</v>
      </c>
      <c r="P1567">
        <v>4110021696</v>
      </c>
      <c r="Q1567" t="s">
        <v>239</v>
      </c>
      <c r="R1567">
        <v>5000</v>
      </c>
      <c r="S1567" t="s">
        <v>166</v>
      </c>
      <c r="V1567" t="s">
        <v>167</v>
      </c>
      <c r="W1567">
        <v>1502040233</v>
      </c>
      <c r="X1567" t="s">
        <v>37</v>
      </c>
      <c r="Y1567" t="str">
        <f>VLOOKUP(W1567,Sheet4!$A$5:$B$72,2,0)</f>
        <v>FRONT MUDGAURD</v>
      </c>
      <c r="Z1567">
        <v>87082900</v>
      </c>
      <c r="AA1567">
        <v>600</v>
      </c>
      <c r="AB1567" t="s">
        <v>159</v>
      </c>
      <c r="AC1567">
        <v>317.45999999999998</v>
      </c>
      <c r="AD1567" t="s">
        <v>160</v>
      </c>
      <c r="AE1567" s="24">
        <v>190476</v>
      </c>
      <c r="AF1567">
        <v>0</v>
      </c>
      <c r="AG1567" s="24">
        <v>190476</v>
      </c>
      <c r="AH1567">
        <v>0</v>
      </c>
      <c r="AI1567">
        <v>0</v>
      </c>
      <c r="AJ1567">
        <v>0</v>
      </c>
      <c r="AK1567">
        <v>0</v>
      </c>
      <c r="AL1567" s="24">
        <v>190476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 s="24">
        <v>190476</v>
      </c>
      <c r="AV1567">
        <v>0</v>
      </c>
      <c r="AW1567">
        <v>0</v>
      </c>
      <c r="AX1567">
        <v>311000</v>
      </c>
      <c r="AY1567" t="s">
        <v>161</v>
      </c>
      <c r="AZ1567">
        <v>3.4</v>
      </c>
      <c r="BA1567">
        <v>2</v>
      </c>
      <c r="BB1567">
        <v>1.4</v>
      </c>
      <c r="BC1567" t="s">
        <v>238</v>
      </c>
      <c r="BD1567">
        <v>1511</v>
      </c>
      <c r="BE1567" t="s">
        <v>174</v>
      </c>
      <c r="BF1567">
        <v>5094243398</v>
      </c>
      <c r="BG1567" t="s">
        <v>381</v>
      </c>
    </row>
    <row r="1568" spans="1:59">
      <c r="A1568">
        <v>1115</v>
      </c>
      <c r="B1568">
        <v>1115</v>
      </c>
      <c r="C1568">
        <v>10</v>
      </c>
      <c r="D1568">
        <v>2</v>
      </c>
      <c r="E1568" t="s">
        <v>152</v>
      </c>
      <c r="F1568" t="s">
        <v>153</v>
      </c>
      <c r="G1568" t="s">
        <v>154</v>
      </c>
      <c r="H1568">
        <v>1526007106</v>
      </c>
      <c r="I1568">
        <v>1000007392</v>
      </c>
      <c r="L1568" t="s">
        <v>381</v>
      </c>
      <c r="M1568">
        <v>5100001907</v>
      </c>
      <c r="N1568" t="s">
        <v>155</v>
      </c>
      <c r="O1568" t="s">
        <v>156</v>
      </c>
      <c r="P1568">
        <v>4110046150</v>
      </c>
      <c r="Q1568" t="s">
        <v>373</v>
      </c>
      <c r="R1568">
        <v>5000</v>
      </c>
      <c r="S1568" t="s">
        <v>166</v>
      </c>
      <c r="V1568" t="s">
        <v>167</v>
      </c>
      <c r="W1568">
        <v>1502040271</v>
      </c>
      <c r="X1568" t="s">
        <v>374</v>
      </c>
      <c r="Y1568" t="str">
        <f>VLOOKUP(W1568,Sheet4!$A$5:$B$72,2,0)</f>
        <v>FRONT MUDGAURD EV</v>
      </c>
      <c r="Z1568">
        <v>87082900</v>
      </c>
      <c r="AA1568">
        <v>150</v>
      </c>
      <c r="AB1568" t="s">
        <v>159</v>
      </c>
      <c r="AC1568">
        <v>402.9</v>
      </c>
      <c r="AD1568" t="s">
        <v>160</v>
      </c>
      <c r="AE1568" s="24">
        <v>60435</v>
      </c>
      <c r="AF1568">
        <v>0</v>
      </c>
      <c r="AG1568" s="24">
        <v>60435</v>
      </c>
      <c r="AH1568">
        <v>0</v>
      </c>
      <c r="AI1568">
        <v>0</v>
      </c>
      <c r="AJ1568">
        <v>0</v>
      </c>
      <c r="AK1568">
        <v>0</v>
      </c>
      <c r="AL1568" s="24">
        <v>60435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 s="24">
        <v>60435</v>
      </c>
      <c r="AV1568">
        <v>0</v>
      </c>
      <c r="AW1568">
        <v>0</v>
      </c>
      <c r="AX1568">
        <v>311000</v>
      </c>
      <c r="AY1568" t="s">
        <v>161</v>
      </c>
      <c r="AZ1568">
        <v>1.82</v>
      </c>
      <c r="BA1568">
        <v>1.82</v>
      </c>
      <c r="BB1568">
        <v>0</v>
      </c>
      <c r="BC1568" t="s">
        <v>375</v>
      </c>
      <c r="BD1568">
        <v>1511</v>
      </c>
      <c r="BE1568" t="s">
        <v>174</v>
      </c>
      <c r="BF1568">
        <v>5094245417</v>
      </c>
      <c r="BG1568" t="s">
        <v>381</v>
      </c>
    </row>
    <row r="1569" spans="1:59">
      <c r="A1569">
        <v>1115</v>
      </c>
      <c r="B1569">
        <v>1115</v>
      </c>
      <c r="C1569">
        <v>10</v>
      </c>
      <c r="D1569">
        <v>2</v>
      </c>
      <c r="E1569" t="s">
        <v>152</v>
      </c>
      <c r="F1569" t="s">
        <v>153</v>
      </c>
      <c r="G1569" t="s">
        <v>154</v>
      </c>
      <c r="H1569">
        <v>1526007105</v>
      </c>
      <c r="I1569">
        <v>1000007391</v>
      </c>
      <c r="L1569" t="s">
        <v>381</v>
      </c>
      <c r="M1569">
        <v>5100001636</v>
      </c>
      <c r="N1569" t="s">
        <v>155</v>
      </c>
      <c r="O1569" t="s">
        <v>156</v>
      </c>
      <c r="P1569">
        <v>4110026445</v>
      </c>
      <c r="Q1569" t="s">
        <v>170</v>
      </c>
      <c r="R1569">
        <v>5000</v>
      </c>
      <c r="S1569" t="s">
        <v>166</v>
      </c>
      <c r="V1569" t="s">
        <v>167</v>
      </c>
      <c r="W1569">
        <v>1502020104</v>
      </c>
      <c r="X1569" t="s">
        <v>26</v>
      </c>
      <c r="Y1569" t="str">
        <f>VLOOKUP(W1569,Sheet4!$A$5:$B$72,2,0)</f>
        <v>RE STYLING</v>
      </c>
      <c r="Z1569">
        <v>87082900</v>
      </c>
      <c r="AA1569">
        <v>12</v>
      </c>
      <c r="AB1569" t="s">
        <v>159</v>
      </c>
      <c r="AC1569" s="24">
        <v>6585.55</v>
      </c>
      <c r="AD1569" t="s">
        <v>160</v>
      </c>
      <c r="AE1569" s="24">
        <v>79026.600000000006</v>
      </c>
      <c r="AF1569">
        <v>0</v>
      </c>
      <c r="AG1569" s="24">
        <v>79026.600000000006</v>
      </c>
      <c r="AH1569">
        <v>0</v>
      </c>
      <c r="AI1569">
        <v>0</v>
      </c>
      <c r="AJ1569">
        <v>0</v>
      </c>
      <c r="AK1569">
        <v>0</v>
      </c>
      <c r="AL1569" s="24">
        <v>79026.600000000006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 s="24">
        <v>79026.600000000006</v>
      </c>
      <c r="AV1569">
        <v>0</v>
      </c>
      <c r="AW1569">
        <v>0</v>
      </c>
      <c r="AX1569">
        <v>311000</v>
      </c>
      <c r="AY1569" t="s">
        <v>161</v>
      </c>
      <c r="AZ1569">
        <v>49.75</v>
      </c>
      <c r="BA1569">
        <v>49.75</v>
      </c>
      <c r="BB1569">
        <v>0</v>
      </c>
      <c r="BC1569" t="s">
        <v>171</v>
      </c>
      <c r="BD1569">
        <v>1509</v>
      </c>
      <c r="BE1569" t="s">
        <v>169</v>
      </c>
      <c r="BF1569">
        <v>5094245439</v>
      </c>
      <c r="BG1569" t="s">
        <v>381</v>
      </c>
    </row>
    <row r="1570" spans="1:59">
      <c r="A1570">
        <v>1115</v>
      </c>
      <c r="B1570">
        <v>1115</v>
      </c>
      <c r="C1570">
        <v>10</v>
      </c>
      <c r="D1570">
        <v>2</v>
      </c>
      <c r="E1570" t="s">
        <v>152</v>
      </c>
      <c r="F1570" t="s">
        <v>153</v>
      </c>
      <c r="G1570" t="s">
        <v>154</v>
      </c>
      <c r="H1570">
        <v>1526007103</v>
      </c>
      <c r="I1570">
        <v>1000007386</v>
      </c>
      <c r="L1570" t="s">
        <v>381</v>
      </c>
      <c r="M1570">
        <v>5100001636</v>
      </c>
      <c r="N1570" t="s">
        <v>155</v>
      </c>
      <c r="O1570" t="s">
        <v>156</v>
      </c>
      <c r="P1570">
        <v>4110026445</v>
      </c>
      <c r="Q1570" t="s">
        <v>170</v>
      </c>
      <c r="R1570">
        <v>5000</v>
      </c>
      <c r="S1570" t="s">
        <v>166</v>
      </c>
      <c r="V1570" t="s">
        <v>167</v>
      </c>
      <c r="W1570">
        <v>1502020104</v>
      </c>
      <c r="X1570" t="s">
        <v>26</v>
      </c>
      <c r="Y1570" t="str">
        <f>VLOOKUP(W1570,Sheet4!$A$5:$B$72,2,0)</f>
        <v>RE STYLING</v>
      </c>
      <c r="Z1570">
        <v>87082900</v>
      </c>
      <c r="AA1570">
        <v>15</v>
      </c>
      <c r="AB1570" t="s">
        <v>159</v>
      </c>
      <c r="AC1570" s="24">
        <v>6585.55</v>
      </c>
      <c r="AD1570" t="s">
        <v>160</v>
      </c>
      <c r="AE1570" s="24">
        <v>98783.25</v>
      </c>
      <c r="AF1570">
        <v>0</v>
      </c>
      <c r="AG1570" s="24">
        <v>98783.25</v>
      </c>
      <c r="AH1570">
        <v>0</v>
      </c>
      <c r="AI1570">
        <v>0</v>
      </c>
      <c r="AJ1570">
        <v>0</v>
      </c>
      <c r="AK1570">
        <v>0</v>
      </c>
      <c r="AL1570" s="24">
        <v>98783.25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 s="24">
        <v>98783.25</v>
      </c>
      <c r="AV1570">
        <v>0</v>
      </c>
      <c r="AW1570">
        <v>0</v>
      </c>
      <c r="AX1570">
        <v>311000</v>
      </c>
      <c r="AY1570" t="s">
        <v>161</v>
      </c>
      <c r="AZ1570">
        <v>49.75</v>
      </c>
      <c r="BA1570">
        <v>49.75</v>
      </c>
      <c r="BB1570">
        <v>0</v>
      </c>
      <c r="BC1570" t="s">
        <v>171</v>
      </c>
      <c r="BD1570">
        <v>1509</v>
      </c>
      <c r="BE1570" t="s">
        <v>169</v>
      </c>
      <c r="BF1570">
        <v>5094245283</v>
      </c>
      <c r="BG1570" t="s">
        <v>381</v>
      </c>
    </row>
    <row r="1571" spans="1:59">
      <c r="A1571">
        <v>1115</v>
      </c>
      <c r="B1571">
        <v>1115</v>
      </c>
      <c r="C1571">
        <v>10</v>
      </c>
      <c r="D1571">
        <v>2</v>
      </c>
      <c r="E1571" t="s">
        <v>152</v>
      </c>
      <c r="F1571" t="s">
        <v>153</v>
      </c>
      <c r="G1571" t="s">
        <v>154</v>
      </c>
      <c r="H1571">
        <v>1526007102</v>
      </c>
      <c r="I1571">
        <v>1000007384</v>
      </c>
      <c r="L1571" t="s">
        <v>381</v>
      </c>
      <c r="M1571">
        <v>5100001666</v>
      </c>
      <c r="N1571" t="s">
        <v>155</v>
      </c>
      <c r="O1571" t="s">
        <v>156</v>
      </c>
      <c r="P1571">
        <v>4110027035</v>
      </c>
      <c r="Q1571" t="s">
        <v>225</v>
      </c>
      <c r="R1571">
        <v>5000</v>
      </c>
      <c r="S1571" t="s">
        <v>166</v>
      </c>
      <c r="V1571" t="s">
        <v>167</v>
      </c>
      <c r="W1571">
        <v>1502020105</v>
      </c>
      <c r="X1571" t="s">
        <v>226</v>
      </c>
      <c r="Y1571" t="str">
        <f>VLOOKUP(W1571,Sheet4!$A$5:$B$72,2,0)</f>
        <v>RE STYLING</v>
      </c>
      <c r="Z1571">
        <v>87082900</v>
      </c>
      <c r="AA1571">
        <v>15</v>
      </c>
      <c r="AB1571" t="s">
        <v>159</v>
      </c>
      <c r="AC1571" s="24">
        <v>6570.77</v>
      </c>
      <c r="AD1571" t="s">
        <v>160</v>
      </c>
      <c r="AE1571" s="24">
        <v>98561.55</v>
      </c>
      <c r="AF1571">
        <v>0</v>
      </c>
      <c r="AG1571" s="24">
        <v>98561.55</v>
      </c>
      <c r="AH1571">
        <v>0</v>
      </c>
      <c r="AI1571">
        <v>0</v>
      </c>
      <c r="AJ1571">
        <v>0</v>
      </c>
      <c r="AK1571">
        <v>0</v>
      </c>
      <c r="AL1571" s="24">
        <v>98561.55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 s="24">
        <v>98561.55</v>
      </c>
      <c r="AV1571">
        <v>0</v>
      </c>
      <c r="AW1571">
        <v>0</v>
      </c>
      <c r="AX1571">
        <v>311000</v>
      </c>
      <c r="AY1571" t="s">
        <v>161</v>
      </c>
      <c r="AZ1571">
        <v>49.75</v>
      </c>
      <c r="BA1571">
        <v>49.75</v>
      </c>
      <c r="BB1571">
        <v>0</v>
      </c>
      <c r="BC1571" t="s">
        <v>227</v>
      </c>
      <c r="BD1571">
        <v>1509</v>
      </c>
      <c r="BE1571" t="s">
        <v>169</v>
      </c>
      <c r="BF1571">
        <v>5094249895</v>
      </c>
      <c r="BG1571" t="s">
        <v>381</v>
      </c>
    </row>
    <row r="1572" spans="1:59">
      <c r="A1572">
        <v>1115</v>
      </c>
      <c r="B1572">
        <v>1115</v>
      </c>
      <c r="C1572">
        <v>10</v>
      </c>
      <c r="D1572">
        <v>2</v>
      </c>
      <c r="E1572" t="s">
        <v>152</v>
      </c>
      <c r="F1572" t="s">
        <v>153</v>
      </c>
      <c r="G1572" t="s">
        <v>154</v>
      </c>
      <c r="H1572">
        <v>1526007100</v>
      </c>
      <c r="I1572">
        <v>1000007382</v>
      </c>
      <c r="L1572" t="s">
        <v>381</v>
      </c>
      <c r="M1572">
        <v>5100001925</v>
      </c>
      <c r="N1572" t="s">
        <v>155</v>
      </c>
      <c r="O1572" t="s">
        <v>156</v>
      </c>
      <c r="P1572">
        <v>4110055667</v>
      </c>
      <c r="Q1572" t="s">
        <v>185</v>
      </c>
      <c r="R1572">
        <v>5000</v>
      </c>
      <c r="S1572" t="s">
        <v>166</v>
      </c>
      <c r="V1572" t="s">
        <v>167</v>
      </c>
      <c r="W1572">
        <v>1502040318</v>
      </c>
      <c r="X1572" t="s">
        <v>72</v>
      </c>
      <c r="Y1572" t="str">
        <f>VLOOKUP(W1572,Sheet4!$A$5:$B$72,2,0)</f>
        <v>Re Side Door</v>
      </c>
      <c r="Z1572">
        <v>87082900</v>
      </c>
      <c r="AA1572">
        <v>120</v>
      </c>
      <c r="AB1572" t="s">
        <v>159</v>
      </c>
      <c r="AC1572">
        <v>506.59</v>
      </c>
      <c r="AD1572" t="s">
        <v>160</v>
      </c>
      <c r="AE1572" s="24">
        <v>60790.8</v>
      </c>
      <c r="AF1572">
        <v>0</v>
      </c>
      <c r="AG1572" s="24">
        <v>60790.8</v>
      </c>
      <c r="AH1572">
        <v>0</v>
      </c>
      <c r="AI1572">
        <v>0</v>
      </c>
      <c r="AJ1572">
        <v>0</v>
      </c>
      <c r="AK1572">
        <v>0</v>
      </c>
      <c r="AL1572" s="24">
        <v>60790.8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 s="24">
        <v>60790.8</v>
      </c>
      <c r="AV1572">
        <v>0</v>
      </c>
      <c r="AW1572">
        <v>0</v>
      </c>
      <c r="AX1572">
        <v>311000</v>
      </c>
      <c r="AY1572" t="s">
        <v>161</v>
      </c>
      <c r="AZ1572">
        <v>2.27</v>
      </c>
      <c r="BA1572">
        <v>2.27</v>
      </c>
      <c r="BB1572">
        <v>0</v>
      </c>
      <c r="BC1572" t="s">
        <v>187</v>
      </c>
      <c r="BD1572">
        <v>1511</v>
      </c>
      <c r="BE1572" t="s">
        <v>174</v>
      </c>
      <c r="BF1572">
        <v>5094243941</v>
      </c>
      <c r="BG1572" t="s">
        <v>381</v>
      </c>
    </row>
    <row r="1573" spans="1:59">
      <c r="A1573">
        <v>1115</v>
      </c>
      <c r="B1573">
        <v>1115</v>
      </c>
      <c r="C1573">
        <v>10</v>
      </c>
      <c r="D1573">
        <v>2</v>
      </c>
      <c r="E1573" t="s">
        <v>152</v>
      </c>
      <c r="F1573" t="s">
        <v>153</v>
      </c>
      <c r="G1573" t="s">
        <v>154</v>
      </c>
      <c r="H1573">
        <v>1526007099</v>
      </c>
      <c r="I1573">
        <v>1000007381</v>
      </c>
      <c r="L1573" t="s">
        <v>381</v>
      </c>
      <c r="M1573">
        <v>5100001925</v>
      </c>
      <c r="N1573" t="s">
        <v>155</v>
      </c>
      <c r="O1573" t="s">
        <v>156</v>
      </c>
      <c r="P1573">
        <v>4110055667</v>
      </c>
      <c r="Q1573" t="s">
        <v>185</v>
      </c>
      <c r="R1573">
        <v>5000</v>
      </c>
      <c r="S1573" t="s">
        <v>166</v>
      </c>
      <c r="V1573" t="s">
        <v>167</v>
      </c>
      <c r="W1573">
        <v>1502040317</v>
      </c>
      <c r="X1573" t="s">
        <v>73</v>
      </c>
      <c r="Y1573" t="str">
        <f>VLOOKUP(W1573,Sheet4!$A$5:$B$72,2,0)</f>
        <v>Re Side Door</v>
      </c>
      <c r="Z1573">
        <v>87082900</v>
      </c>
      <c r="AA1573">
        <v>120</v>
      </c>
      <c r="AB1573" t="s">
        <v>159</v>
      </c>
      <c r="AC1573">
        <v>506.59</v>
      </c>
      <c r="AD1573" t="s">
        <v>160</v>
      </c>
      <c r="AE1573" s="24">
        <v>60790.8</v>
      </c>
      <c r="AF1573">
        <v>0</v>
      </c>
      <c r="AG1573" s="24">
        <v>60790.8</v>
      </c>
      <c r="AH1573">
        <v>0</v>
      </c>
      <c r="AI1573">
        <v>0</v>
      </c>
      <c r="AJ1573">
        <v>0</v>
      </c>
      <c r="AK1573">
        <v>0</v>
      </c>
      <c r="AL1573" s="24">
        <v>60790.8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 s="24">
        <v>60790.8</v>
      </c>
      <c r="AV1573">
        <v>0</v>
      </c>
      <c r="AW1573">
        <v>0</v>
      </c>
      <c r="AX1573">
        <v>311000</v>
      </c>
      <c r="AY1573" t="s">
        <v>161</v>
      </c>
      <c r="AZ1573">
        <v>2.27</v>
      </c>
      <c r="BA1573">
        <v>2.27</v>
      </c>
      <c r="BB1573">
        <v>0</v>
      </c>
      <c r="BC1573" t="s">
        <v>186</v>
      </c>
      <c r="BD1573">
        <v>1511</v>
      </c>
      <c r="BE1573" t="s">
        <v>174</v>
      </c>
      <c r="BF1573">
        <v>5094243940</v>
      </c>
      <c r="BG1573" t="s">
        <v>381</v>
      </c>
    </row>
    <row r="1574" spans="1:59">
      <c r="A1574">
        <v>1115</v>
      </c>
      <c r="B1574">
        <v>1115</v>
      </c>
      <c r="C1574">
        <v>10</v>
      </c>
      <c r="D1574">
        <v>2</v>
      </c>
      <c r="E1574" t="s">
        <v>152</v>
      </c>
      <c r="F1574" t="s">
        <v>153</v>
      </c>
      <c r="G1574" t="s">
        <v>154</v>
      </c>
      <c r="H1574">
        <v>1526007098</v>
      </c>
      <c r="I1574">
        <v>1000007380</v>
      </c>
      <c r="L1574" t="s">
        <v>381</v>
      </c>
      <c r="M1574">
        <v>5100001795</v>
      </c>
      <c r="N1574" t="s">
        <v>155</v>
      </c>
      <c r="O1574" t="s">
        <v>156</v>
      </c>
      <c r="P1574">
        <v>4110032503</v>
      </c>
      <c r="Q1574" t="s">
        <v>190</v>
      </c>
      <c r="R1574">
        <v>5000</v>
      </c>
      <c r="S1574" t="s">
        <v>166</v>
      </c>
      <c r="V1574" t="s">
        <v>167</v>
      </c>
      <c r="W1574">
        <v>1502010016</v>
      </c>
      <c r="X1574" t="s">
        <v>69</v>
      </c>
      <c r="Y1574" t="str">
        <f>VLOOKUP(W1574,Sheet4!$A$5:$B$72,2,0)</f>
        <v>LOGISTICS</v>
      </c>
      <c r="Z1574">
        <v>87082900</v>
      </c>
      <c r="AA1574">
        <v>500</v>
      </c>
      <c r="AB1574" t="s">
        <v>159</v>
      </c>
      <c r="AC1574">
        <v>8.4600000000000009</v>
      </c>
      <c r="AD1574" t="s">
        <v>160</v>
      </c>
      <c r="AE1574" s="24">
        <v>4230</v>
      </c>
      <c r="AF1574">
        <v>0</v>
      </c>
      <c r="AG1574" s="24">
        <v>4230</v>
      </c>
      <c r="AH1574">
        <v>0</v>
      </c>
      <c r="AI1574">
        <v>0</v>
      </c>
      <c r="AJ1574">
        <v>0</v>
      </c>
      <c r="AK1574">
        <v>0</v>
      </c>
      <c r="AL1574" s="24">
        <v>4230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 s="24">
        <v>4230</v>
      </c>
      <c r="AV1574">
        <v>0</v>
      </c>
      <c r="AW1574">
        <v>0</v>
      </c>
      <c r="AX1574">
        <v>311000</v>
      </c>
      <c r="AY1574" t="s">
        <v>161</v>
      </c>
      <c r="AZ1574">
        <v>0.08</v>
      </c>
      <c r="BA1574">
        <v>6.3E-2</v>
      </c>
      <c r="BB1574">
        <v>1.7000000000000001E-2</v>
      </c>
      <c r="BC1574" t="s">
        <v>191</v>
      </c>
      <c r="BD1574">
        <v>1508</v>
      </c>
      <c r="BE1574" t="s">
        <v>162</v>
      </c>
      <c r="BF1574">
        <v>5094240526</v>
      </c>
      <c r="BG1574" t="s">
        <v>381</v>
      </c>
    </row>
    <row r="1575" spans="1:59">
      <c r="A1575">
        <v>1115</v>
      </c>
      <c r="B1575">
        <v>1115</v>
      </c>
      <c r="C1575">
        <v>10</v>
      </c>
      <c r="D1575">
        <v>2</v>
      </c>
      <c r="E1575" t="s">
        <v>152</v>
      </c>
      <c r="F1575" t="s">
        <v>153</v>
      </c>
      <c r="G1575" t="s">
        <v>154</v>
      </c>
      <c r="H1575">
        <v>1526007097</v>
      </c>
      <c r="I1575">
        <v>1000007379</v>
      </c>
      <c r="L1575" t="s">
        <v>381</v>
      </c>
      <c r="M1575">
        <v>5100001795</v>
      </c>
      <c r="N1575" t="s">
        <v>155</v>
      </c>
      <c r="O1575" t="s">
        <v>156</v>
      </c>
      <c r="P1575">
        <v>4110032503</v>
      </c>
      <c r="Q1575" t="s">
        <v>190</v>
      </c>
      <c r="R1575">
        <v>5000</v>
      </c>
      <c r="S1575" t="s">
        <v>166</v>
      </c>
      <c r="V1575" t="s">
        <v>167</v>
      </c>
      <c r="W1575">
        <v>1502010016</v>
      </c>
      <c r="X1575" t="s">
        <v>69</v>
      </c>
      <c r="Y1575" t="str">
        <f>VLOOKUP(W1575,Sheet4!$A$5:$B$72,2,0)</f>
        <v>LOGISTICS</v>
      </c>
      <c r="Z1575">
        <v>87082900</v>
      </c>
      <c r="AA1575" s="24">
        <v>1500</v>
      </c>
      <c r="AB1575" t="s">
        <v>159</v>
      </c>
      <c r="AC1575">
        <v>8.4600000000000009</v>
      </c>
      <c r="AD1575" t="s">
        <v>160</v>
      </c>
      <c r="AE1575" s="24">
        <v>12690</v>
      </c>
      <c r="AF1575">
        <v>0</v>
      </c>
      <c r="AG1575" s="24">
        <v>12690</v>
      </c>
      <c r="AH1575">
        <v>0</v>
      </c>
      <c r="AI1575">
        <v>0</v>
      </c>
      <c r="AJ1575">
        <v>0</v>
      </c>
      <c r="AK1575">
        <v>0</v>
      </c>
      <c r="AL1575" s="24">
        <v>12690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 s="24">
        <v>12690</v>
      </c>
      <c r="AV1575">
        <v>0</v>
      </c>
      <c r="AW1575">
        <v>0</v>
      </c>
      <c r="AX1575">
        <v>311000</v>
      </c>
      <c r="AY1575" t="s">
        <v>161</v>
      </c>
      <c r="AZ1575">
        <v>0.08</v>
      </c>
      <c r="BA1575">
        <v>6.3E-2</v>
      </c>
      <c r="BB1575">
        <v>1.7000000000000001E-2</v>
      </c>
      <c r="BC1575" t="s">
        <v>191</v>
      </c>
      <c r="BD1575">
        <v>1508</v>
      </c>
      <c r="BE1575" t="s">
        <v>162</v>
      </c>
      <c r="BF1575">
        <v>5094239330</v>
      </c>
      <c r="BG1575" t="s">
        <v>381</v>
      </c>
    </row>
    <row r="1576" spans="1:59">
      <c r="A1576">
        <v>1115</v>
      </c>
      <c r="B1576">
        <v>1115</v>
      </c>
      <c r="C1576">
        <v>10</v>
      </c>
      <c r="D1576">
        <v>2</v>
      </c>
      <c r="E1576" t="s">
        <v>152</v>
      </c>
      <c r="F1576" t="s">
        <v>153</v>
      </c>
      <c r="G1576" t="s">
        <v>154</v>
      </c>
      <c r="H1576">
        <v>1526007096</v>
      </c>
      <c r="I1576">
        <v>1000007378</v>
      </c>
      <c r="L1576" t="s">
        <v>381</v>
      </c>
      <c r="M1576">
        <v>5100001603</v>
      </c>
      <c r="N1576" t="s">
        <v>155</v>
      </c>
      <c r="O1576" t="s">
        <v>156</v>
      </c>
      <c r="P1576">
        <v>4110025468</v>
      </c>
      <c r="Q1576" t="s">
        <v>165</v>
      </c>
      <c r="R1576">
        <v>5000</v>
      </c>
      <c r="S1576" t="s">
        <v>166</v>
      </c>
      <c r="V1576" t="s">
        <v>167</v>
      </c>
      <c r="W1576">
        <v>1502020102</v>
      </c>
      <c r="X1576" t="s">
        <v>58</v>
      </c>
      <c r="Y1576" t="str">
        <f>VLOOKUP(W1576,Sheet4!$A$5:$B$72,2,0)</f>
        <v>MAXIMA HD</v>
      </c>
      <c r="Z1576">
        <v>87082900</v>
      </c>
      <c r="AA1576">
        <v>8</v>
      </c>
      <c r="AB1576" t="s">
        <v>159</v>
      </c>
      <c r="AC1576" s="24">
        <v>8593.51</v>
      </c>
      <c r="AD1576" t="s">
        <v>160</v>
      </c>
      <c r="AE1576" s="24">
        <v>68748.08</v>
      </c>
      <c r="AF1576">
        <v>0</v>
      </c>
      <c r="AG1576" s="24">
        <v>68748.08</v>
      </c>
      <c r="AH1576">
        <v>0</v>
      </c>
      <c r="AI1576">
        <v>0</v>
      </c>
      <c r="AJ1576">
        <v>0</v>
      </c>
      <c r="AK1576">
        <v>0</v>
      </c>
      <c r="AL1576" s="24">
        <v>68748.08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 s="24">
        <v>68748.08</v>
      </c>
      <c r="AV1576">
        <v>0</v>
      </c>
      <c r="AW1576">
        <v>0</v>
      </c>
      <c r="AX1576">
        <v>311000</v>
      </c>
      <c r="AY1576" t="s">
        <v>161</v>
      </c>
      <c r="AZ1576">
        <v>93.34</v>
      </c>
      <c r="BA1576">
        <v>75.430000000000007</v>
      </c>
      <c r="BB1576">
        <v>17.91</v>
      </c>
      <c r="BC1576" t="s">
        <v>168</v>
      </c>
      <c r="BD1576">
        <v>1509</v>
      </c>
      <c r="BE1576" t="s">
        <v>169</v>
      </c>
      <c r="BF1576">
        <v>5094257827</v>
      </c>
      <c r="BG1576" t="s">
        <v>381</v>
      </c>
    </row>
    <row r="1577" spans="1:59">
      <c r="A1577">
        <v>1115</v>
      </c>
      <c r="B1577">
        <v>1115</v>
      </c>
      <c r="C1577">
        <v>10</v>
      </c>
      <c r="D1577">
        <v>2</v>
      </c>
      <c r="E1577" t="s">
        <v>152</v>
      </c>
      <c r="F1577" t="s">
        <v>153</v>
      </c>
      <c r="G1577" t="s">
        <v>154</v>
      </c>
      <c r="H1577">
        <v>1526007092</v>
      </c>
      <c r="I1577">
        <v>1000007376</v>
      </c>
      <c r="L1577" t="s">
        <v>381</v>
      </c>
      <c r="M1577">
        <v>5100001603</v>
      </c>
      <c r="N1577" t="s">
        <v>155</v>
      </c>
      <c r="O1577" t="s">
        <v>156</v>
      </c>
      <c r="P1577">
        <v>4110025468</v>
      </c>
      <c r="Q1577" t="s">
        <v>165</v>
      </c>
      <c r="R1577">
        <v>5000</v>
      </c>
      <c r="S1577" t="s">
        <v>166</v>
      </c>
      <c r="V1577" t="s">
        <v>167</v>
      </c>
      <c r="W1577">
        <v>1502020102</v>
      </c>
      <c r="X1577" t="s">
        <v>58</v>
      </c>
      <c r="Y1577" t="str">
        <f>VLOOKUP(W1577,Sheet4!$A$5:$B$72,2,0)</f>
        <v>MAXIMA HD</v>
      </c>
      <c r="Z1577">
        <v>87082900</v>
      </c>
      <c r="AA1577">
        <v>8</v>
      </c>
      <c r="AB1577" t="s">
        <v>159</v>
      </c>
      <c r="AC1577" s="24">
        <v>8593.51</v>
      </c>
      <c r="AD1577" t="s">
        <v>160</v>
      </c>
      <c r="AE1577" s="24">
        <v>68748.08</v>
      </c>
      <c r="AF1577">
        <v>0</v>
      </c>
      <c r="AG1577" s="24">
        <v>68748.08</v>
      </c>
      <c r="AH1577">
        <v>0</v>
      </c>
      <c r="AI1577">
        <v>0</v>
      </c>
      <c r="AJ1577">
        <v>0</v>
      </c>
      <c r="AK1577">
        <v>0</v>
      </c>
      <c r="AL1577" s="24">
        <v>68748.08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 s="24">
        <v>68748.08</v>
      </c>
      <c r="AV1577">
        <v>0</v>
      </c>
      <c r="AW1577">
        <v>0</v>
      </c>
      <c r="AX1577">
        <v>311000</v>
      </c>
      <c r="AY1577" t="s">
        <v>161</v>
      </c>
      <c r="AZ1577">
        <v>93.34</v>
      </c>
      <c r="BA1577">
        <v>75.430000000000007</v>
      </c>
      <c r="BB1577">
        <v>17.91</v>
      </c>
      <c r="BC1577" t="s">
        <v>168</v>
      </c>
      <c r="BD1577">
        <v>1509</v>
      </c>
      <c r="BE1577" t="s">
        <v>169</v>
      </c>
      <c r="BF1577">
        <v>5094241478</v>
      </c>
      <c r="BG1577" t="s">
        <v>381</v>
      </c>
    </row>
    <row r="1578" spans="1:59">
      <c r="A1578">
        <v>1115</v>
      </c>
      <c r="B1578">
        <v>1115</v>
      </c>
      <c r="C1578">
        <v>10</v>
      </c>
      <c r="D1578">
        <v>2</v>
      </c>
      <c r="E1578" t="s">
        <v>152</v>
      </c>
      <c r="F1578" t="s">
        <v>153</v>
      </c>
      <c r="G1578" t="s">
        <v>154</v>
      </c>
      <c r="H1578">
        <v>1526007090</v>
      </c>
      <c r="I1578">
        <v>1000007372</v>
      </c>
      <c r="L1578" t="s">
        <v>381</v>
      </c>
      <c r="M1578">
        <v>5100001603</v>
      </c>
      <c r="N1578" t="s">
        <v>155</v>
      </c>
      <c r="O1578" t="s">
        <v>156</v>
      </c>
      <c r="P1578">
        <v>4110025468</v>
      </c>
      <c r="Q1578" t="s">
        <v>165</v>
      </c>
      <c r="R1578">
        <v>5000</v>
      </c>
      <c r="S1578" t="s">
        <v>166</v>
      </c>
      <c r="V1578" t="s">
        <v>167</v>
      </c>
      <c r="W1578">
        <v>1502020102</v>
      </c>
      <c r="X1578" t="s">
        <v>58</v>
      </c>
      <c r="Y1578" t="str">
        <f>VLOOKUP(W1578,Sheet4!$A$5:$B$72,2,0)</f>
        <v>MAXIMA HD</v>
      </c>
      <c r="Z1578">
        <v>87082900</v>
      </c>
      <c r="AA1578">
        <v>8</v>
      </c>
      <c r="AB1578" t="s">
        <v>159</v>
      </c>
      <c r="AC1578" s="24">
        <v>8593.51</v>
      </c>
      <c r="AD1578" t="s">
        <v>160</v>
      </c>
      <c r="AE1578" s="24">
        <v>68748.08</v>
      </c>
      <c r="AF1578">
        <v>0</v>
      </c>
      <c r="AG1578" s="24">
        <v>68748.08</v>
      </c>
      <c r="AH1578">
        <v>0</v>
      </c>
      <c r="AI1578">
        <v>0</v>
      </c>
      <c r="AJ1578">
        <v>0</v>
      </c>
      <c r="AK1578">
        <v>0</v>
      </c>
      <c r="AL1578" s="24">
        <v>68748.08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 s="24">
        <v>68748.08</v>
      </c>
      <c r="AV1578">
        <v>0</v>
      </c>
      <c r="AW1578">
        <v>0</v>
      </c>
      <c r="AX1578">
        <v>311000</v>
      </c>
      <c r="AY1578" t="s">
        <v>161</v>
      </c>
      <c r="AZ1578">
        <v>93.34</v>
      </c>
      <c r="BA1578">
        <v>75.430000000000007</v>
      </c>
      <c r="BB1578">
        <v>17.91</v>
      </c>
      <c r="BC1578" t="s">
        <v>168</v>
      </c>
      <c r="BD1578">
        <v>1509</v>
      </c>
      <c r="BE1578" t="s">
        <v>169</v>
      </c>
      <c r="BF1578">
        <v>5094243053</v>
      </c>
      <c r="BG1578" t="s">
        <v>381</v>
      </c>
    </row>
    <row r="1579" spans="1:59">
      <c r="A1579">
        <v>1115</v>
      </c>
      <c r="B1579">
        <v>1115</v>
      </c>
      <c r="C1579">
        <v>10</v>
      </c>
      <c r="D1579">
        <v>2</v>
      </c>
      <c r="E1579" t="s">
        <v>152</v>
      </c>
      <c r="F1579" t="s">
        <v>153</v>
      </c>
      <c r="G1579" t="s">
        <v>154</v>
      </c>
      <c r="H1579">
        <v>1526007088</v>
      </c>
      <c r="I1579">
        <v>1000007368</v>
      </c>
      <c r="L1579" t="s">
        <v>381</v>
      </c>
      <c r="M1579">
        <v>5100001603</v>
      </c>
      <c r="N1579" t="s">
        <v>155</v>
      </c>
      <c r="O1579" t="s">
        <v>156</v>
      </c>
      <c r="P1579">
        <v>4110025468</v>
      </c>
      <c r="Q1579" t="s">
        <v>165</v>
      </c>
      <c r="R1579">
        <v>5000</v>
      </c>
      <c r="S1579" t="s">
        <v>166</v>
      </c>
      <c r="V1579" t="s">
        <v>167</v>
      </c>
      <c r="W1579">
        <v>1502020102</v>
      </c>
      <c r="X1579" t="s">
        <v>58</v>
      </c>
      <c r="Y1579" t="str">
        <f>VLOOKUP(W1579,Sheet4!$A$5:$B$72,2,0)</f>
        <v>MAXIMA HD</v>
      </c>
      <c r="Z1579">
        <v>87082900</v>
      </c>
      <c r="AA1579">
        <v>8</v>
      </c>
      <c r="AB1579" t="s">
        <v>159</v>
      </c>
      <c r="AC1579" s="24">
        <v>8593.51</v>
      </c>
      <c r="AD1579" t="s">
        <v>160</v>
      </c>
      <c r="AE1579" s="24">
        <v>68748.08</v>
      </c>
      <c r="AF1579">
        <v>0</v>
      </c>
      <c r="AG1579" s="24">
        <v>68748.08</v>
      </c>
      <c r="AH1579">
        <v>0</v>
      </c>
      <c r="AI1579">
        <v>0</v>
      </c>
      <c r="AJ1579">
        <v>0</v>
      </c>
      <c r="AK1579">
        <v>0</v>
      </c>
      <c r="AL1579" s="24">
        <v>68748.08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 s="24">
        <v>68748.08</v>
      </c>
      <c r="AV1579">
        <v>0</v>
      </c>
      <c r="AW1579">
        <v>0</v>
      </c>
      <c r="AX1579">
        <v>311000</v>
      </c>
      <c r="AY1579" t="s">
        <v>161</v>
      </c>
      <c r="AZ1579">
        <v>93.34</v>
      </c>
      <c r="BA1579">
        <v>75.430000000000007</v>
      </c>
      <c r="BB1579">
        <v>17.91</v>
      </c>
      <c r="BC1579" t="s">
        <v>168</v>
      </c>
      <c r="BD1579">
        <v>1509</v>
      </c>
      <c r="BE1579" t="s">
        <v>169</v>
      </c>
      <c r="BF1579">
        <v>5094243050</v>
      </c>
      <c r="BG1579" t="s">
        <v>381</v>
      </c>
    </row>
    <row r="1580" spans="1:59">
      <c r="A1580">
        <v>1115</v>
      </c>
      <c r="B1580">
        <v>1115</v>
      </c>
      <c r="C1580">
        <v>10</v>
      </c>
      <c r="D1580">
        <v>2</v>
      </c>
      <c r="E1580" t="s">
        <v>152</v>
      </c>
      <c r="F1580" t="s">
        <v>153</v>
      </c>
      <c r="G1580" t="s">
        <v>154</v>
      </c>
      <c r="H1580">
        <v>1526007087</v>
      </c>
      <c r="I1580">
        <v>1000007367</v>
      </c>
      <c r="L1580" t="s">
        <v>381</v>
      </c>
      <c r="M1580">
        <v>5100001603</v>
      </c>
      <c r="N1580" t="s">
        <v>155</v>
      </c>
      <c r="O1580" t="s">
        <v>156</v>
      </c>
      <c r="P1580">
        <v>4110025468</v>
      </c>
      <c r="Q1580" t="s">
        <v>165</v>
      </c>
      <c r="R1580">
        <v>5000</v>
      </c>
      <c r="S1580" t="s">
        <v>166</v>
      </c>
      <c r="V1580" t="s">
        <v>167</v>
      </c>
      <c r="W1580">
        <v>1502020102</v>
      </c>
      <c r="X1580" t="s">
        <v>58</v>
      </c>
      <c r="Y1580" t="str">
        <f>VLOOKUP(W1580,Sheet4!$A$5:$B$72,2,0)</f>
        <v>MAXIMA HD</v>
      </c>
      <c r="Z1580">
        <v>87082900</v>
      </c>
      <c r="AA1580">
        <v>8</v>
      </c>
      <c r="AB1580" t="s">
        <v>159</v>
      </c>
      <c r="AC1580" s="24">
        <v>8593.51</v>
      </c>
      <c r="AD1580" t="s">
        <v>160</v>
      </c>
      <c r="AE1580" s="24">
        <v>68748.08</v>
      </c>
      <c r="AF1580">
        <v>0</v>
      </c>
      <c r="AG1580" s="24">
        <v>68748.08</v>
      </c>
      <c r="AH1580">
        <v>0</v>
      </c>
      <c r="AI1580">
        <v>0</v>
      </c>
      <c r="AJ1580">
        <v>0</v>
      </c>
      <c r="AK1580">
        <v>0</v>
      </c>
      <c r="AL1580" s="24">
        <v>68748.08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 s="24">
        <v>68748.08</v>
      </c>
      <c r="AV1580">
        <v>0</v>
      </c>
      <c r="AW1580">
        <v>0</v>
      </c>
      <c r="AX1580">
        <v>311000</v>
      </c>
      <c r="AY1580" t="s">
        <v>161</v>
      </c>
      <c r="AZ1580">
        <v>93.34</v>
      </c>
      <c r="BA1580">
        <v>75.430000000000007</v>
      </c>
      <c r="BB1580">
        <v>17.91</v>
      </c>
      <c r="BC1580" t="s">
        <v>168</v>
      </c>
      <c r="BD1580">
        <v>1509</v>
      </c>
      <c r="BE1580" t="s">
        <v>169</v>
      </c>
      <c r="BF1580">
        <v>5094243049</v>
      </c>
      <c r="BG1580" t="s">
        <v>381</v>
      </c>
    </row>
    <row r="1581" spans="1:59">
      <c r="A1581">
        <v>1115</v>
      </c>
      <c r="B1581">
        <v>1115</v>
      </c>
      <c r="C1581">
        <v>10</v>
      </c>
      <c r="D1581">
        <v>2</v>
      </c>
      <c r="E1581" t="s">
        <v>152</v>
      </c>
      <c r="F1581" t="s">
        <v>153</v>
      </c>
      <c r="G1581" t="s">
        <v>154</v>
      </c>
      <c r="H1581">
        <v>1526007086</v>
      </c>
      <c r="I1581">
        <v>1000007366</v>
      </c>
      <c r="L1581" t="s">
        <v>381</v>
      </c>
      <c r="M1581">
        <v>5100001603</v>
      </c>
      <c r="N1581" t="s">
        <v>155</v>
      </c>
      <c r="O1581" t="s">
        <v>156</v>
      </c>
      <c r="P1581">
        <v>4110025468</v>
      </c>
      <c r="Q1581" t="s">
        <v>165</v>
      </c>
      <c r="R1581">
        <v>5000</v>
      </c>
      <c r="S1581" t="s">
        <v>166</v>
      </c>
      <c r="V1581" t="s">
        <v>167</v>
      </c>
      <c r="W1581">
        <v>1502020102</v>
      </c>
      <c r="X1581" t="s">
        <v>58</v>
      </c>
      <c r="Y1581" t="str">
        <f>VLOOKUP(W1581,Sheet4!$A$5:$B$72,2,0)</f>
        <v>MAXIMA HD</v>
      </c>
      <c r="Z1581">
        <v>87082900</v>
      </c>
      <c r="AA1581">
        <v>8</v>
      </c>
      <c r="AB1581" t="s">
        <v>159</v>
      </c>
      <c r="AC1581" s="24">
        <v>8593.51</v>
      </c>
      <c r="AD1581" t="s">
        <v>160</v>
      </c>
      <c r="AE1581" s="24">
        <v>68748.08</v>
      </c>
      <c r="AF1581">
        <v>0</v>
      </c>
      <c r="AG1581" s="24">
        <v>68748.08</v>
      </c>
      <c r="AH1581">
        <v>0</v>
      </c>
      <c r="AI1581">
        <v>0</v>
      </c>
      <c r="AJ1581">
        <v>0</v>
      </c>
      <c r="AK1581">
        <v>0</v>
      </c>
      <c r="AL1581" s="24">
        <v>68748.08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 s="24">
        <v>68748.08</v>
      </c>
      <c r="AV1581">
        <v>0</v>
      </c>
      <c r="AW1581">
        <v>0</v>
      </c>
      <c r="AX1581">
        <v>311000</v>
      </c>
      <c r="AY1581" t="s">
        <v>161</v>
      </c>
      <c r="AZ1581">
        <v>93.34</v>
      </c>
      <c r="BA1581">
        <v>75.430000000000007</v>
      </c>
      <c r="BB1581">
        <v>17.91</v>
      </c>
      <c r="BC1581" t="s">
        <v>168</v>
      </c>
      <c r="BD1581">
        <v>1509</v>
      </c>
      <c r="BE1581" t="s">
        <v>169</v>
      </c>
      <c r="BF1581">
        <v>5094242977</v>
      </c>
      <c r="BG1581" t="s">
        <v>381</v>
      </c>
    </row>
    <row r="1582" spans="1:59">
      <c r="A1582">
        <v>1115</v>
      </c>
      <c r="B1582">
        <v>1115</v>
      </c>
      <c r="C1582">
        <v>10</v>
      </c>
      <c r="D1582">
        <v>2</v>
      </c>
      <c r="E1582" t="s">
        <v>152</v>
      </c>
      <c r="F1582" t="s">
        <v>153</v>
      </c>
      <c r="G1582" t="s">
        <v>154</v>
      </c>
      <c r="H1582">
        <v>1526007085</v>
      </c>
      <c r="I1582">
        <v>1000007365</v>
      </c>
      <c r="L1582" t="s">
        <v>381</v>
      </c>
      <c r="M1582">
        <v>5100001603</v>
      </c>
      <c r="N1582" t="s">
        <v>155</v>
      </c>
      <c r="O1582" t="s">
        <v>156</v>
      </c>
      <c r="P1582">
        <v>4110025468</v>
      </c>
      <c r="Q1582" t="s">
        <v>165</v>
      </c>
      <c r="R1582">
        <v>5000</v>
      </c>
      <c r="S1582" t="s">
        <v>166</v>
      </c>
      <c r="V1582" t="s">
        <v>167</v>
      </c>
      <c r="W1582">
        <v>1502020102</v>
      </c>
      <c r="X1582" t="s">
        <v>58</v>
      </c>
      <c r="Y1582" t="str">
        <f>VLOOKUP(W1582,Sheet4!$A$5:$B$72,2,0)</f>
        <v>MAXIMA HD</v>
      </c>
      <c r="Z1582">
        <v>87082900</v>
      </c>
      <c r="AA1582">
        <v>8</v>
      </c>
      <c r="AB1582" t="s">
        <v>159</v>
      </c>
      <c r="AC1582" s="24">
        <v>8593.51</v>
      </c>
      <c r="AD1582" t="s">
        <v>160</v>
      </c>
      <c r="AE1582" s="24">
        <v>68748.08</v>
      </c>
      <c r="AF1582">
        <v>0</v>
      </c>
      <c r="AG1582" s="24">
        <v>68748.08</v>
      </c>
      <c r="AH1582">
        <v>0</v>
      </c>
      <c r="AI1582">
        <v>0</v>
      </c>
      <c r="AJ1582">
        <v>0</v>
      </c>
      <c r="AK1582">
        <v>0</v>
      </c>
      <c r="AL1582" s="24">
        <v>68748.08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 s="24">
        <v>68748.08</v>
      </c>
      <c r="AV1582">
        <v>0</v>
      </c>
      <c r="AW1582">
        <v>0</v>
      </c>
      <c r="AX1582">
        <v>311000</v>
      </c>
      <c r="AY1582" t="s">
        <v>161</v>
      </c>
      <c r="AZ1582">
        <v>93.34</v>
      </c>
      <c r="BA1582">
        <v>75.430000000000007</v>
      </c>
      <c r="BB1582">
        <v>17.91</v>
      </c>
      <c r="BC1582" t="s">
        <v>168</v>
      </c>
      <c r="BD1582">
        <v>1509</v>
      </c>
      <c r="BE1582" t="s">
        <v>169</v>
      </c>
      <c r="BF1582">
        <v>5094241614</v>
      </c>
      <c r="BG1582" t="s">
        <v>381</v>
      </c>
    </row>
    <row r="1583" spans="1:59">
      <c r="A1583">
        <v>1115</v>
      </c>
      <c r="B1583">
        <v>1115</v>
      </c>
      <c r="C1583">
        <v>10</v>
      </c>
      <c r="D1583">
        <v>2</v>
      </c>
      <c r="E1583" t="s">
        <v>152</v>
      </c>
      <c r="F1583" t="s">
        <v>153</v>
      </c>
      <c r="G1583" t="s">
        <v>154</v>
      </c>
      <c r="H1583">
        <v>1526007084</v>
      </c>
      <c r="I1583">
        <v>1000007364</v>
      </c>
      <c r="L1583" t="s">
        <v>381</v>
      </c>
      <c r="M1583">
        <v>5100001666</v>
      </c>
      <c r="N1583" t="s">
        <v>155</v>
      </c>
      <c r="O1583" t="s">
        <v>156</v>
      </c>
      <c r="P1583">
        <v>4110027035</v>
      </c>
      <c r="Q1583" t="s">
        <v>225</v>
      </c>
      <c r="R1583">
        <v>5000</v>
      </c>
      <c r="S1583" t="s">
        <v>166</v>
      </c>
      <c r="V1583" t="s">
        <v>167</v>
      </c>
      <c r="W1583">
        <v>1502020105</v>
      </c>
      <c r="X1583" t="s">
        <v>226</v>
      </c>
      <c r="Y1583" t="str">
        <f>VLOOKUP(W1583,Sheet4!$A$5:$B$72,2,0)</f>
        <v>RE STYLING</v>
      </c>
      <c r="Z1583">
        <v>87082900</v>
      </c>
      <c r="AA1583">
        <v>15</v>
      </c>
      <c r="AB1583" t="s">
        <v>159</v>
      </c>
      <c r="AC1583" s="24">
        <v>6570.77</v>
      </c>
      <c r="AD1583" t="s">
        <v>160</v>
      </c>
      <c r="AE1583" s="24">
        <v>98561.55</v>
      </c>
      <c r="AF1583">
        <v>0</v>
      </c>
      <c r="AG1583" s="24">
        <v>98561.55</v>
      </c>
      <c r="AH1583">
        <v>0</v>
      </c>
      <c r="AI1583">
        <v>0</v>
      </c>
      <c r="AJ1583">
        <v>0</v>
      </c>
      <c r="AK1583">
        <v>0</v>
      </c>
      <c r="AL1583" s="24">
        <v>98561.55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 s="24">
        <v>98561.55</v>
      </c>
      <c r="AV1583">
        <v>0</v>
      </c>
      <c r="AW1583">
        <v>0</v>
      </c>
      <c r="AX1583">
        <v>311000</v>
      </c>
      <c r="AY1583" t="s">
        <v>161</v>
      </c>
      <c r="AZ1583">
        <v>49.75</v>
      </c>
      <c r="BA1583">
        <v>49.75</v>
      </c>
      <c r="BB1583">
        <v>0</v>
      </c>
      <c r="BC1583" t="s">
        <v>227</v>
      </c>
      <c r="BD1583">
        <v>1509</v>
      </c>
      <c r="BE1583" t="s">
        <v>169</v>
      </c>
      <c r="BF1583">
        <v>5094245029</v>
      </c>
      <c r="BG1583" t="s">
        <v>381</v>
      </c>
    </row>
    <row r="1584" spans="1:59">
      <c r="A1584">
        <v>1115</v>
      </c>
      <c r="B1584">
        <v>1115</v>
      </c>
      <c r="C1584">
        <v>10</v>
      </c>
      <c r="D1584">
        <v>2</v>
      </c>
      <c r="E1584" t="s">
        <v>152</v>
      </c>
      <c r="F1584" t="s">
        <v>153</v>
      </c>
      <c r="G1584" t="s">
        <v>154</v>
      </c>
      <c r="H1584">
        <v>1526007083</v>
      </c>
      <c r="I1584">
        <v>1000007363</v>
      </c>
      <c r="L1584" t="s">
        <v>381</v>
      </c>
      <c r="M1584">
        <v>5100001666</v>
      </c>
      <c r="N1584" t="s">
        <v>155</v>
      </c>
      <c r="O1584" t="s">
        <v>156</v>
      </c>
      <c r="P1584">
        <v>4110027035</v>
      </c>
      <c r="Q1584" t="s">
        <v>225</v>
      </c>
      <c r="R1584">
        <v>5000</v>
      </c>
      <c r="S1584" t="s">
        <v>166</v>
      </c>
      <c r="V1584" t="s">
        <v>167</v>
      </c>
      <c r="W1584">
        <v>1502020105</v>
      </c>
      <c r="X1584" t="s">
        <v>226</v>
      </c>
      <c r="Y1584" t="str">
        <f>VLOOKUP(W1584,Sheet4!$A$5:$B$72,2,0)</f>
        <v>RE STYLING</v>
      </c>
      <c r="Z1584">
        <v>87082900</v>
      </c>
      <c r="AA1584">
        <v>15</v>
      </c>
      <c r="AB1584" t="s">
        <v>159</v>
      </c>
      <c r="AC1584" s="24">
        <v>6570.77</v>
      </c>
      <c r="AD1584" t="s">
        <v>160</v>
      </c>
      <c r="AE1584" s="24">
        <v>98561.55</v>
      </c>
      <c r="AF1584">
        <v>0</v>
      </c>
      <c r="AG1584" s="24">
        <v>98561.55</v>
      </c>
      <c r="AH1584">
        <v>0</v>
      </c>
      <c r="AI1584">
        <v>0</v>
      </c>
      <c r="AJ1584">
        <v>0</v>
      </c>
      <c r="AK1584">
        <v>0</v>
      </c>
      <c r="AL1584" s="24">
        <v>98561.55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 s="24">
        <v>98561.55</v>
      </c>
      <c r="AV1584">
        <v>0</v>
      </c>
      <c r="AW1584">
        <v>0</v>
      </c>
      <c r="AX1584">
        <v>311000</v>
      </c>
      <c r="AY1584" t="s">
        <v>161</v>
      </c>
      <c r="AZ1584">
        <v>49.75</v>
      </c>
      <c r="BA1584">
        <v>49.75</v>
      </c>
      <c r="BB1584">
        <v>0</v>
      </c>
      <c r="BC1584" t="s">
        <v>227</v>
      </c>
      <c r="BD1584">
        <v>1509</v>
      </c>
      <c r="BE1584" t="s">
        <v>169</v>
      </c>
      <c r="BF1584">
        <v>5094250036</v>
      </c>
      <c r="BG1584" t="s">
        <v>381</v>
      </c>
    </row>
    <row r="1585" spans="1:59">
      <c r="A1585">
        <v>1115</v>
      </c>
      <c r="B1585">
        <v>1115</v>
      </c>
      <c r="C1585">
        <v>10</v>
      </c>
      <c r="D1585">
        <v>2</v>
      </c>
      <c r="E1585" t="s">
        <v>152</v>
      </c>
      <c r="F1585" t="s">
        <v>153</v>
      </c>
      <c r="G1585" t="s">
        <v>154</v>
      </c>
      <c r="H1585">
        <v>1526007082</v>
      </c>
      <c r="I1585">
        <v>1000007362</v>
      </c>
      <c r="L1585" t="s">
        <v>381</v>
      </c>
      <c r="M1585">
        <v>5100001603</v>
      </c>
      <c r="N1585" t="s">
        <v>155</v>
      </c>
      <c r="O1585" t="s">
        <v>156</v>
      </c>
      <c r="P1585">
        <v>4110025468</v>
      </c>
      <c r="Q1585" t="s">
        <v>165</v>
      </c>
      <c r="R1585">
        <v>5000</v>
      </c>
      <c r="S1585" t="s">
        <v>166</v>
      </c>
      <c r="V1585" t="s">
        <v>167</v>
      </c>
      <c r="W1585">
        <v>1502020102</v>
      </c>
      <c r="X1585" t="s">
        <v>58</v>
      </c>
      <c r="Y1585" t="str">
        <f>VLOOKUP(W1585,Sheet4!$A$5:$B$72,2,0)</f>
        <v>MAXIMA HD</v>
      </c>
      <c r="Z1585">
        <v>87082900</v>
      </c>
      <c r="AA1585">
        <v>8</v>
      </c>
      <c r="AB1585" t="s">
        <v>159</v>
      </c>
      <c r="AC1585" s="24">
        <v>8593.51</v>
      </c>
      <c r="AD1585" t="s">
        <v>160</v>
      </c>
      <c r="AE1585" s="24">
        <v>68748.08</v>
      </c>
      <c r="AF1585">
        <v>0</v>
      </c>
      <c r="AG1585" s="24">
        <v>68748.08</v>
      </c>
      <c r="AH1585">
        <v>0</v>
      </c>
      <c r="AI1585">
        <v>0</v>
      </c>
      <c r="AJ1585">
        <v>0</v>
      </c>
      <c r="AK1585">
        <v>0</v>
      </c>
      <c r="AL1585" s="24">
        <v>68748.08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 s="24">
        <v>68748.08</v>
      </c>
      <c r="AV1585">
        <v>0</v>
      </c>
      <c r="AW1585">
        <v>0</v>
      </c>
      <c r="AX1585">
        <v>311000</v>
      </c>
      <c r="AY1585" t="s">
        <v>161</v>
      </c>
      <c r="AZ1585">
        <v>93.34</v>
      </c>
      <c r="BA1585">
        <v>75.430000000000007</v>
      </c>
      <c r="BB1585">
        <v>17.91</v>
      </c>
      <c r="BC1585" t="s">
        <v>168</v>
      </c>
      <c r="BD1585">
        <v>1509</v>
      </c>
      <c r="BE1585" t="s">
        <v>169</v>
      </c>
      <c r="BF1585">
        <v>5094242972</v>
      </c>
      <c r="BG1585" t="s">
        <v>381</v>
      </c>
    </row>
    <row r="1586" spans="1:59">
      <c r="A1586">
        <v>1115</v>
      </c>
      <c r="B1586">
        <v>1115</v>
      </c>
      <c r="C1586">
        <v>10</v>
      </c>
      <c r="D1586">
        <v>2</v>
      </c>
      <c r="E1586" t="s">
        <v>152</v>
      </c>
      <c r="F1586" t="s">
        <v>153</v>
      </c>
      <c r="G1586" t="s">
        <v>154</v>
      </c>
      <c r="H1586">
        <v>1526007081</v>
      </c>
      <c r="I1586">
        <v>1000007361</v>
      </c>
      <c r="L1586" t="s">
        <v>381</v>
      </c>
      <c r="M1586">
        <v>5100001666</v>
      </c>
      <c r="N1586" t="s">
        <v>155</v>
      </c>
      <c r="O1586" t="s">
        <v>156</v>
      </c>
      <c r="P1586">
        <v>4110027035</v>
      </c>
      <c r="Q1586" t="s">
        <v>225</v>
      </c>
      <c r="R1586">
        <v>5000</v>
      </c>
      <c r="S1586" t="s">
        <v>166</v>
      </c>
      <c r="V1586" t="s">
        <v>167</v>
      </c>
      <c r="W1586">
        <v>1502020105</v>
      </c>
      <c r="X1586" t="s">
        <v>226</v>
      </c>
      <c r="Y1586" t="str">
        <f>VLOOKUP(W1586,Sheet4!$A$5:$B$72,2,0)</f>
        <v>RE STYLING</v>
      </c>
      <c r="Z1586">
        <v>87082900</v>
      </c>
      <c r="AA1586">
        <v>15</v>
      </c>
      <c r="AB1586" t="s">
        <v>159</v>
      </c>
      <c r="AC1586" s="24">
        <v>6570.77</v>
      </c>
      <c r="AD1586" t="s">
        <v>160</v>
      </c>
      <c r="AE1586" s="24">
        <v>98561.55</v>
      </c>
      <c r="AF1586">
        <v>0</v>
      </c>
      <c r="AG1586" s="24">
        <v>98561.55</v>
      </c>
      <c r="AH1586">
        <v>0</v>
      </c>
      <c r="AI1586">
        <v>0</v>
      </c>
      <c r="AJ1586">
        <v>0</v>
      </c>
      <c r="AK1586">
        <v>0</v>
      </c>
      <c r="AL1586" s="24">
        <v>98561.55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 s="24">
        <v>98561.55</v>
      </c>
      <c r="AV1586">
        <v>0</v>
      </c>
      <c r="AW1586">
        <v>0</v>
      </c>
      <c r="AX1586">
        <v>311000</v>
      </c>
      <c r="AY1586" t="s">
        <v>161</v>
      </c>
      <c r="AZ1586">
        <v>49.75</v>
      </c>
      <c r="BA1586">
        <v>49.75</v>
      </c>
      <c r="BB1586">
        <v>0</v>
      </c>
      <c r="BC1586" t="s">
        <v>227</v>
      </c>
      <c r="BD1586">
        <v>1509</v>
      </c>
      <c r="BE1586" t="s">
        <v>169</v>
      </c>
      <c r="BF1586">
        <v>5094245035</v>
      </c>
      <c r="BG1586" t="s">
        <v>381</v>
      </c>
    </row>
    <row r="1587" spans="1:59">
      <c r="A1587">
        <v>1115</v>
      </c>
      <c r="B1587">
        <v>1115</v>
      </c>
      <c r="C1587">
        <v>10</v>
      </c>
      <c r="D1587">
        <v>2</v>
      </c>
      <c r="E1587" t="s">
        <v>152</v>
      </c>
      <c r="F1587" t="s">
        <v>153</v>
      </c>
      <c r="G1587" t="s">
        <v>154</v>
      </c>
      <c r="H1587">
        <v>1526007079</v>
      </c>
      <c r="I1587">
        <v>1000007359</v>
      </c>
      <c r="L1587" t="s">
        <v>381</v>
      </c>
      <c r="M1587">
        <v>5100001666</v>
      </c>
      <c r="N1587" t="s">
        <v>155</v>
      </c>
      <c r="O1587" t="s">
        <v>156</v>
      </c>
      <c r="P1587">
        <v>4110027035</v>
      </c>
      <c r="Q1587" t="s">
        <v>225</v>
      </c>
      <c r="R1587">
        <v>5000</v>
      </c>
      <c r="S1587" t="s">
        <v>166</v>
      </c>
      <c r="V1587" t="s">
        <v>167</v>
      </c>
      <c r="W1587">
        <v>1502020105</v>
      </c>
      <c r="X1587" t="s">
        <v>226</v>
      </c>
      <c r="Y1587" t="str">
        <f>VLOOKUP(W1587,Sheet4!$A$5:$B$72,2,0)</f>
        <v>RE STYLING</v>
      </c>
      <c r="Z1587">
        <v>87082900</v>
      </c>
      <c r="AA1587">
        <v>15</v>
      </c>
      <c r="AB1587" t="s">
        <v>159</v>
      </c>
      <c r="AC1587" s="24">
        <v>6570.77</v>
      </c>
      <c r="AD1587" t="s">
        <v>160</v>
      </c>
      <c r="AE1587" s="24">
        <v>98561.55</v>
      </c>
      <c r="AF1587">
        <v>0</v>
      </c>
      <c r="AG1587" s="24">
        <v>98561.55</v>
      </c>
      <c r="AH1587">
        <v>0</v>
      </c>
      <c r="AI1587">
        <v>0</v>
      </c>
      <c r="AJ1587">
        <v>0</v>
      </c>
      <c r="AK1587">
        <v>0</v>
      </c>
      <c r="AL1587" s="24">
        <v>98561.55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 s="24">
        <v>98561.55</v>
      </c>
      <c r="AV1587">
        <v>0</v>
      </c>
      <c r="AW1587">
        <v>0</v>
      </c>
      <c r="AX1587">
        <v>311000</v>
      </c>
      <c r="AY1587" t="s">
        <v>161</v>
      </c>
      <c r="AZ1587">
        <v>49.75</v>
      </c>
      <c r="BA1587">
        <v>49.75</v>
      </c>
      <c r="BB1587">
        <v>0</v>
      </c>
      <c r="BC1587" t="s">
        <v>227</v>
      </c>
      <c r="BD1587">
        <v>1509</v>
      </c>
      <c r="BE1587" t="s">
        <v>169</v>
      </c>
      <c r="BF1587">
        <v>5094245263</v>
      </c>
      <c r="BG1587" t="s">
        <v>381</v>
      </c>
    </row>
    <row r="1588" spans="1:59">
      <c r="A1588">
        <v>1115</v>
      </c>
      <c r="B1588">
        <v>1115</v>
      </c>
      <c r="C1588">
        <v>10</v>
      </c>
      <c r="D1588">
        <v>2</v>
      </c>
      <c r="E1588" t="s">
        <v>152</v>
      </c>
      <c r="F1588" t="s">
        <v>153</v>
      </c>
      <c r="G1588" t="s">
        <v>154</v>
      </c>
      <c r="H1588">
        <v>1526007078</v>
      </c>
      <c r="I1588">
        <v>1000007358</v>
      </c>
      <c r="L1588" t="s">
        <v>381</v>
      </c>
      <c r="M1588">
        <v>5100001666</v>
      </c>
      <c r="N1588" t="s">
        <v>155</v>
      </c>
      <c r="O1588" t="s">
        <v>156</v>
      </c>
      <c r="P1588">
        <v>4110027035</v>
      </c>
      <c r="Q1588" t="s">
        <v>225</v>
      </c>
      <c r="R1588">
        <v>5000</v>
      </c>
      <c r="S1588" t="s">
        <v>166</v>
      </c>
      <c r="V1588" t="s">
        <v>167</v>
      </c>
      <c r="W1588">
        <v>1502020105</v>
      </c>
      <c r="X1588" t="s">
        <v>226</v>
      </c>
      <c r="Y1588" t="str">
        <f>VLOOKUP(W1588,Sheet4!$A$5:$B$72,2,0)</f>
        <v>RE STYLING</v>
      </c>
      <c r="Z1588">
        <v>87082900</v>
      </c>
      <c r="AA1588">
        <v>15</v>
      </c>
      <c r="AB1588" t="s">
        <v>159</v>
      </c>
      <c r="AC1588" s="24">
        <v>6570.77</v>
      </c>
      <c r="AD1588" t="s">
        <v>160</v>
      </c>
      <c r="AE1588" s="24">
        <v>98561.55</v>
      </c>
      <c r="AF1588">
        <v>0</v>
      </c>
      <c r="AG1588" s="24">
        <v>98561.55</v>
      </c>
      <c r="AH1588">
        <v>0</v>
      </c>
      <c r="AI1588">
        <v>0</v>
      </c>
      <c r="AJ1588">
        <v>0</v>
      </c>
      <c r="AK1588">
        <v>0</v>
      </c>
      <c r="AL1588" s="24">
        <v>98561.55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 s="24">
        <v>98561.55</v>
      </c>
      <c r="AV1588">
        <v>0</v>
      </c>
      <c r="AW1588">
        <v>0</v>
      </c>
      <c r="AX1588">
        <v>311000</v>
      </c>
      <c r="AY1588" t="s">
        <v>161</v>
      </c>
      <c r="AZ1588">
        <v>49.75</v>
      </c>
      <c r="BA1588">
        <v>49.75</v>
      </c>
      <c r="BB1588">
        <v>0</v>
      </c>
      <c r="BC1588" t="s">
        <v>227</v>
      </c>
      <c r="BD1588">
        <v>1509</v>
      </c>
      <c r="BE1588" t="s">
        <v>169</v>
      </c>
      <c r="BF1588">
        <v>5094249997</v>
      </c>
      <c r="BG1588" t="s">
        <v>381</v>
      </c>
    </row>
    <row r="1589" spans="1:59">
      <c r="A1589">
        <v>1115</v>
      </c>
      <c r="B1589">
        <v>1115</v>
      </c>
      <c r="C1589">
        <v>10</v>
      </c>
      <c r="D1589">
        <v>2</v>
      </c>
      <c r="E1589" t="s">
        <v>152</v>
      </c>
      <c r="F1589" t="s">
        <v>153</v>
      </c>
      <c r="G1589" t="s">
        <v>154</v>
      </c>
      <c r="H1589">
        <v>1526007077</v>
      </c>
      <c r="I1589">
        <v>1000007357</v>
      </c>
      <c r="L1589" t="s">
        <v>381</v>
      </c>
      <c r="M1589">
        <v>5100001666</v>
      </c>
      <c r="N1589" t="s">
        <v>155</v>
      </c>
      <c r="O1589" t="s">
        <v>156</v>
      </c>
      <c r="P1589">
        <v>4110027035</v>
      </c>
      <c r="Q1589" t="s">
        <v>225</v>
      </c>
      <c r="R1589">
        <v>5000</v>
      </c>
      <c r="S1589" t="s">
        <v>166</v>
      </c>
      <c r="V1589" t="s">
        <v>167</v>
      </c>
      <c r="W1589">
        <v>1502020105</v>
      </c>
      <c r="X1589" t="s">
        <v>226</v>
      </c>
      <c r="Y1589" t="str">
        <f>VLOOKUP(W1589,Sheet4!$A$5:$B$72,2,0)</f>
        <v>RE STYLING</v>
      </c>
      <c r="Z1589">
        <v>87082900</v>
      </c>
      <c r="AA1589">
        <v>15</v>
      </c>
      <c r="AB1589" t="s">
        <v>159</v>
      </c>
      <c r="AC1589" s="24">
        <v>6570.77</v>
      </c>
      <c r="AD1589" t="s">
        <v>160</v>
      </c>
      <c r="AE1589" s="24">
        <v>98561.55</v>
      </c>
      <c r="AF1589">
        <v>0</v>
      </c>
      <c r="AG1589" s="24">
        <v>98561.55</v>
      </c>
      <c r="AH1589">
        <v>0</v>
      </c>
      <c r="AI1589">
        <v>0</v>
      </c>
      <c r="AJ1589">
        <v>0</v>
      </c>
      <c r="AK1589">
        <v>0</v>
      </c>
      <c r="AL1589" s="24">
        <v>98561.55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 s="24">
        <v>98561.55</v>
      </c>
      <c r="AV1589">
        <v>0</v>
      </c>
      <c r="AW1589">
        <v>0</v>
      </c>
      <c r="AX1589">
        <v>311000</v>
      </c>
      <c r="AY1589" t="s">
        <v>161</v>
      </c>
      <c r="AZ1589">
        <v>49.75</v>
      </c>
      <c r="BA1589">
        <v>49.75</v>
      </c>
      <c r="BB1589">
        <v>0</v>
      </c>
      <c r="BC1589" t="s">
        <v>227</v>
      </c>
      <c r="BD1589">
        <v>1509</v>
      </c>
      <c r="BE1589" t="s">
        <v>169</v>
      </c>
      <c r="BF1589">
        <v>5094247185</v>
      </c>
      <c r="BG1589" t="s">
        <v>381</v>
      </c>
    </row>
    <row r="1590" spans="1:59">
      <c r="A1590">
        <v>1115</v>
      </c>
      <c r="B1590">
        <v>1115</v>
      </c>
      <c r="C1590">
        <v>10</v>
      </c>
      <c r="D1590">
        <v>2</v>
      </c>
      <c r="E1590" t="s">
        <v>152</v>
      </c>
      <c r="F1590" t="s">
        <v>153</v>
      </c>
      <c r="G1590" t="s">
        <v>154</v>
      </c>
      <c r="H1590">
        <v>1526007075</v>
      </c>
      <c r="I1590">
        <v>1000007355</v>
      </c>
      <c r="L1590" t="s">
        <v>381</v>
      </c>
      <c r="M1590">
        <v>5100001913</v>
      </c>
      <c r="N1590" t="s">
        <v>155</v>
      </c>
      <c r="O1590" t="s">
        <v>156</v>
      </c>
      <c r="P1590">
        <v>4110050475</v>
      </c>
      <c r="Q1590" t="s">
        <v>178</v>
      </c>
      <c r="R1590">
        <v>5000</v>
      </c>
      <c r="S1590" t="s">
        <v>166</v>
      </c>
      <c r="V1590" t="s">
        <v>167</v>
      </c>
      <c r="W1590">
        <v>1502040289</v>
      </c>
      <c r="X1590" t="s">
        <v>49</v>
      </c>
      <c r="Y1590" t="str">
        <f>VLOOKUP(W1590,Sheet4!$A$5:$B$72,2,0)</f>
        <v>SUPPORT TOP</v>
      </c>
      <c r="Z1590">
        <v>87082900</v>
      </c>
      <c r="AA1590">
        <v>384</v>
      </c>
      <c r="AB1590" t="s">
        <v>159</v>
      </c>
      <c r="AC1590">
        <v>174.61</v>
      </c>
      <c r="AD1590" t="s">
        <v>160</v>
      </c>
      <c r="AE1590" s="24">
        <v>67050.240000000005</v>
      </c>
      <c r="AF1590">
        <v>0</v>
      </c>
      <c r="AG1590" s="24">
        <v>67050.240000000005</v>
      </c>
      <c r="AH1590">
        <v>0</v>
      </c>
      <c r="AI1590">
        <v>0</v>
      </c>
      <c r="AJ1590">
        <v>0</v>
      </c>
      <c r="AK1590">
        <v>0</v>
      </c>
      <c r="AL1590" s="24">
        <v>67050.240000000005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 s="24">
        <v>67050.240000000005</v>
      </c>
      <c r="AV1590">
        <v>0</v>
      </c>
      <c r="AW1590">
        <v>0</v>
      </c>
      <c r="AX1590">
        <v>311000</v>
      </c>
      <c r="AY1590" t="s">
        <v>161</v>
      </c>
      <c r="AZ1590">
        <v>0</v>
      </c>
      <c r="BA1590">
        <v>0</v>
      </c>
      <c r="BB1590">
        <v>0</v>
      </c>
      <c r="BC1590" t="s">
        <v>179</v>
      </c>
      <c r="BD1590">
        <v>1511</v>
      </c>
      <c r="BE1590" t="s">
        <v>174</v>
      </c>
      <c r="BF1590">
        <v>5094246021</v>
      </c>
      <c r="BG1590" t="s">
        <v>381</v>
      </c>
    </row>
    <row r="1591" spans="1:59">
      <c r="A1591">
        <v>1115</v>
      </c>
      <c r="B1591">
        <v>1115</v>
      </c>
      <c r="C1591">
        <v>10</v>
      </c>
      <c r="D1591">
        <v>2</v>
      </c>
      <c r="E1591" t="s">
        <v>152</v>
      </c>
      <c r="F1591" t="s">
        <v>153</v>
      </c>
      <c r="G1591" t="s">
        <v>154</v>
      </c>
      <c r="H1591">
        <v>1526007073</v>
      </c>
      <c r="I1591">
        <v>1000007353</v>
      </c>
      <c r="L1591" t="s">
        <v>381</v>
      </c>
      <c r="M1591">
        <v>5100001099</v>
      </c>
      <c r="N1591" t="s">
        <v>155</v>
      </c>
      <c r="O1591" t="s">
        <v>156</v>
      </c>
      <c r="P1591">
        <v>4110004650</v>
      </c>
      <c r="Q1591" t="s">
        <v>177</v>
      </c>
      <c r="R1591">
        <v>5000</v>
      </c>
      <c r="S1591" t="s">
        <v>166</v>
      </c>
      <c r="V1591" t="s">
        <v>167</v>
      </c>
      <c r="W1591">
        <v>1502040119</v>
      </c>
      <c r="X1591" t="s">
        <v>46</v>
      </c>
      <c r="Y1591" t="str">
        <f>VLOOKUP(W1591,Sheet4!$A$5:$B$72,2,0)</f>
        <v>STARTING HANDLE</v>
      </c>
      <c r="Z1591">
        <v>87082900</v>
      </c>
      <c r="AA1591">
        <v>90</v>
      </c>
      <c r="AB1591" t="s">
        <v>159</v>
      </c>
      <c r="AC1591">
        <v>164.33</v>
      </c>
      <c r="AD1591" t="s">
        <v>160</v>
      </c>
      <c r="AE1591" s="24">
        <v>14789.7</v>
      </c>
      <c r="AF1591">
        <v>0</v>
      </c>
      <c r="AG1591" s="24">
        <v>14789.7</v>
      </c>
      <c r="AH1591">
        <v>0</v>
      </c>
      <c r="AI1591">
        <v>0</v>
      </c>
      <c r="AJ1591">
        <v>0</v>
      </c>
      <c r="AK1591">
        <v>0</v>
      </c>
      <c r="AL1591" s="24">
        <v>14789.7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 s="24">
        <v>14789.7</v>
      </c>
      <c r="AV1591">
        <v>0</v>
      </c>
      <c r="AW1591">
        <v>0</v>
      </c>
      <c r="AX1591">
        <v>311000</v>
      </c>
      <c r="AY1591" t="s">
        <v>161</v>
      </c>
      <c r="AZ1591">
        <v>1.63</v>
      </c>
      <c r="BA1591">
        <v>1.1020000000000001</v>
      </c>
      <c r="BB1591">
        <v>0.52800000000000002</v>
      </c>
      <c r="BC1591" t="s">
        <v>300</v>
      </c>
      <c r="BD1591">
        <v>1511</v>
      </c>
      <c r="BE1591" t="s">
        <v>174</v>
      </c>
      <c r="BF1591">
        <v>5094239004</v>
      </c>
      <c r="BG1591" t="s">
        <v>381</v>
      </c>
    </row>
    <row r="1592" spans="1:59">
      <c r="A1592">
        <v>1115</v>
      </c>
      <c r="B1592">
        <v>1115</v>
      </c>
      <c r="C1592">
        <v>10</v>
      </c>
      <c r="D1592">
        <v>2</v>
      </c>
      <c r="E1592" t="s">
        <v>152</v>
      </c>
      <c r="F1592" t="s">
        <v>153</v>
      </c>
      <c r="G1592" t="s">
        <v>154</v>
      </c>
      <c r="H1592">
        <v>1526007072</v>
      </c>
      <c r="I1592">
        <v>1000007352</v>
      </c>
      <c r="L1592" t="s">
        <v>381</v>
      </c>
      <c r="M1592">
        <v>5100001588</v>
      </c>
      <c r="N1592" t="s">
        <v>155</v>
      </c>
      <c r="O1592" t="s">
        <v>156</v>
      </c>
      <c r="P1592">
        <v>4110025058</v>
      </c>
      <c r="Q1592" t="s">
        <v>180</v>
      </c>
      <c r="R1592">
        <v>5000</v>
      </c>
      <c r="S1592" t="s">
        <v>166</v>
      </c>
      <c r="V1592" t="s">
        <v>167</v>
      </c>
      <c r="W1592">
        <v>1502040235</v>
      </c>
      <c r="X1592" t="s">
        <v>47</v>
      </c>
      <c r="Y1592" t="str">
        <f>VLOOKUP(W1592,Sheet4!$A$5:$B$72,2,0)</f>
        <v>STARTING HANDLE</v>
      </c>
      <c r="Z1592">
        <v>87082900</v>
      </c>
      <c r="AA1592">
        <v>360</v>
      </c>
      <c r="AB1592" t="s">
        <v>159</v>
      </c>
      <c r="AC1592">
        <v>217.33</v>
      </c>
      <c r="AD1592" t="s">
        <v>160</v>
      </c>
      <c r="AE1592" s="24">
        <v>78238.8</v>
      </c>
      <c r="AF1592">
        <v>0</v>
      </c>
      <c r="AG1592" s="24">
        <v>78238.8</v>
      </c>
      <c r="AH1592">
        <v>0</v>
      </c>
      <c r="AI1592">
        <v>0</v>
      </c>
      <c r="AJ1592">
        <v>0</v>
      </c>
      <c r="AK1592">
        <v>0</v>
      </c>
      <c r="AL1592" s="24">
        <v>78238.8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 s="24">
        <v>78238.8</v>
      </c>
      <c r="AV1592">
        <v>0</v>
      </c>
      <c r="AW1592">
        <v>0</v>
      </c>
      <c r="AX1592">
        <v>311000</v>
      </c>
      <c r="AY1592" t="s">
        <v>161</v>
      </c>
      <c r="AZ1592">
        <v>1.19</v>
      </c>
      <c r="BA1592">
        <v>1.19</v>
      </c>
      <c r="BB1592">
        <v>0</v>
      </c>
      <c r="BC1592" t="s">
        <v>181</v>
      </c>
      <c r="BD1592">
        <v>1511</v>
      </c>
      <c r="BE1592" t="s">
        <v>174</v>
      </c>
      <c r="BF1592">
        <v>5094244324</v>
      </c>
      <c r="BG1592" t="s">
        <v>381</v>
      </c>
    </row>
    <row r="1593" spans="1:59">
      <c r="A1593">
        <v>1115</v>
      </c>
      <c r="B1593">
        <v>1115</v>
      </c>
      <c r="C1593">
        <v>10</v>
      </c>
      <c r="D1593">
        <v>2</v>
      </c>
      <c r="E1593" t="s">
        <v>152</v>
      </c>
      <c r="F1593" t="s">
        <v>153</v>
      </c>
      <c r="G1593" t="s">
        <v>154</v>
      </c>
      <c r="H1593">
        <v>1526007153</v>
      </c>
      <c r="I1593">
        <v>1000007442</v>
      </c>
      <c r="L1593" t="s">
        <v>381</v>
      </c>
      <c r="M1593">
        <v>5100001928</v>
      </c>
      <c r="N1593" t="s">
        <v>155</v>
      </c>
      <c r="O1593" t="s">
        <v>156</v>
      </c>
      <c r="P1593">
        <v>4110057393</v>
      </c>
      <c r="Q1593" t="s">
        <v>192</v>
      </c>
      <c r="R1593">
        <v>5000</v>
      </c>
      <c r="S1593" t="s">
        <v>166</v>
      </c>
      <c r="V1593" t="s">
        <v>167</v>
      </c>
      <c r="W1593">
        <v>1502020122</v>
      </c>
      <c r="X1593" t="s">
        <v>70</v>
      </c>
      <c r="Y1593" t="str">
        <f>VLOOKUP(W1593,Sheet4!$A$5:$B$72,2,0)</f>
        <v>MAX UG NEW EV</v>
      </c>
      <c r="Z1593">
        <v>87082900</v>
      </c>
      <c r="AA1593">
        <v>10</v>
      </c>
      <c r="AB1593" t="s">
        <v>159</v>
      </c>
      <c r="AC1593" s="24">
        <v>9566.51</v>
      </c>
      <c r="AD1593" t="s">
        <v>160</v>
      </c>
      <c r="AE1593" s="24">
        <v>95665.1</v>
      </c>
      <c r="AF1593">
        <v>0</v>
      </c>
      <c r="AG1593" s="24">
        <v>95665.1</v>
      </c>
      <c r="AH1593">
        <v>0</v>
      </c>
      <c r="AI1593">
        <v>0</v>
      </c>
      <c r="AJ1593">
        <v>0</v>
      </c>
      <c r="AK1593">
        <v>0</v>
      </c>
      <c r="AL1593" s="24">
        <v>95665.1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 s="24">
        <v>95665.1</v>
      </c>
      <c r="AV1593">
        <v>0</v>
      </c>
      <c r="AW1593">
        <v>0</v>
      </c>
      <c r="AX1593">
        <v>311000</v>
      </c>
      <c r="AY1593" t="s">
        <v>161</v>
      </c>
      <c r="AZ1593">
        <v>0</v>
      </c>
      <c r="BA1593">
        <v>61</v>
      </c>
      <c r="BB1593">
        <v>-61</v>
      </c>
      <c r="BC1593" t="s">
        <v>193</v>
      </c>
      <c r="BD1593">
        <v>1509</v>
      </c>
      <c r="BE1593" t="s">
        <v>169</v>
      </c>
      <c r="BF1593">
        <v>5094249369</v>
      </c>
      <c r="BG1593" t="s">
        <v>381</v>
      </c>
    </row>
    <row r="1594" spans="1:59">
      <c r="A1594">
        <v>1115</v>
      </c>
      <c r="B1594">
        <v>1115</v>
      </c>
      <c r="C1594">
        <v>10</v>
      </c>
      <c r="D1594">
        <v>2</v>
      </c>
      <c r="E1594" t="s">
        <v>152</v>
      </c>
      <c r="F1594" t="s">
        <v>153</v>
      </c>
      <c r="G1594" t="s">
        <v>154</v>
      </c>
      <c r="H1594">
        <v>1526007152</v>
      </c>
      <c r="I1594">
        <v>1000007441</v>
      </c>
      <c r="L1594" t="s">
        <v>381</v>
      </c>
      <c r="M1594">
        <v>5100001928</v>
      </c>
      <c r="N1594" t="s">
        <v>155</v>
      </c>
      <c r="O1594" t="s">
        <v>156</v>
      </c>
      <c r="P1594">
        <v>4110057393</v>
      </c>
      <c r="Q1594" t="s">
        <v>192</v>
      </c>
      <c r="R1594">
        <v>5000</v>
      </c>
      <c r="S1594" t="s">
        <v>166</v>
      </c>
      <c r="V1594" t="s">
        <v>167</v>
      </c>
      <c r="W1594">
        <v>1502020122</v>
      </c>
      <c r="X1594" t="s">
        <v>70</v>
      </c>
      <c r="Y1594" t="str">
        <f>VLOOKUP(W1594,Sheet4!$A$5:$B$72,2,0)</f>
        <v>MAX UG NEW EV</v>
      </c>
      <c r="Z1594">
        <v>87082900</v>
      </c>
      <c r="AA1594">
        <v>10</v>
      </c>
      <c r="AB1594" t="s">
        <v>159</v>
      </c>
      <c r="AC1594" s="24">
        <v>9566.51</v>
      </c>
      <c r="AD1594" t="s">
        <v>160</v>
      </c>
      <c r="AE1594" s="24">
        <v>95665.1</v>
      </c>
      <c r="AF1594">
        <v>0</v>
      </c>
      <c r="AG1594" s="24">
        <v>95665.1</v>
      </c>
      <c r="AH1594">
        <v>0</v>
      </c>
      <c r="AI1594">
        <v>0</v>
      </c>
      <c r="AJ1594">
        <v>0</v>
      </c>
      <c r="AK1594">
        <v>0</v>
      </c>
      <c r="AL1594" s="24">
        <v>95665.1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 s="24">
        <v>95665.1</v>
      </c>
      <c r="AV1594">
        <v>0</v>
      </c>
      <c r="AW1594">
        <v>0</v>
      </c>
      <c r="AX1594">
        <v>311000</v>
      </c>
      <c r="AY1594" t="s">
        <v>161</v>
      </c>
      <c r="AZ1594">
        <v>0</v>
      </c>
      <c r="BA1594">
        <v>61</v>
      </c>
      <c r="BB1594">
        <v>-61</v>
      </c>
      <c r="BC1594" t="s">
        <v>193</v>
      </c>
      <c r="BD1594">
        <v>1509</v>
      </c>
      <c r="BE1594" t="s">
        <v>169</v>
      </c>
      <c r="BF1594">
        <v>5094247555</v>
      </c>
      <c r="BG1594" t="s">
        <v>381</v>
      </c>
    </row>
    <row r="1595" spans="1:59">
      <c r="A1595">
        <v>1115</v>
      </c>
      <c r="B1595">
        <v>1115</v>
      </c>
      <c r="C1595">
        <v>10</v>
      </c>
      <c r="D1595">
        <v>2</v>
      </c>
      <c r="E1595" t="s">
        <v>152</v>
      </c>
      <c r="F1595" t="s">
        <v>153</v>
      </c>
      <c r="G1595" t="s">
        <v>154</v>
      </c>
      <c r="H1595">
        <v>1526007151</v>
      </c>
      <c r="I1595">
        <v>1000007440</v>
      </c>
      <c r="L1595" t="s">
        <v>381</v>
      </c>
      <c r="M1595">
        <v>5100001636</v>
      </c>
      <c r="N1595" t="s">
        <v>155</v>
      </c>
      <c r="O1595" t="s">
        <v>156</v>
      </c>
      <c r="P1595">
        <v>4110026445</v>
      </c>
      <c r="Q1595" t="s">
        <v>170</v>
      </c>
      <c r="R1595">
        <v>5000</v>
      </c>
      <c r="S1595" t="s">
        <v>166</v>
      </c>
      <c r="V1595" t="s">
        <v>167</v>
      </c>
      <c r="W1595">
        <v>1502020104</v>
      </c>
      <c r="X1595" t="s">
        <v>26</v>
      </c>
      <c r="Y1595" t="str">
        <f>VLOOKUP(W1595,Sheet4!$A$5:$B$72,2,0)</f>
        <v>RE STYLING</v>
      </c>
      <c r="Z1595">
        <v>87082900</v>
      </c>
      <c r="AA1595">
        <v>15</v>
      </c>
      <c r="AB1595" t="s">
        <v>159</v>
      </c>
      <c r="AC1595" s="24">
        <v>6585.55</v>
      </c>
      <c r="AD1595" t="s">
        <v>160</v>
      </c>
      <c r="AE1595" s="24">
        <v>98783.25</v>
      </c>
      <c r="AF1595">
        <v>0</v>
      </c>
      <c r="AG1595" s="24">
        <v>98783.25</v>
      </c>
      <c r="AH1595">
        <v>0</v>
      </c>
      <c r="AI1595">
        <v>0</v>
      </c>
      <c r="AJ1595">
        <v>0</v>
      </c>
      <c r="AK1595">
        <v>0</v>
      </c>
      <c r="AL1595" s="24">
        <v>98783.25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 s="24">
        <v>98783.25</v>
      </c>
      <c r="AV1595">
        <v>0</v>
      </c>
      <c r="AW1595">
        <v>0</v>
      </c>
      <c r="AX1595">
        <v>311000</v>
      </c>
      <c r="AY1595" t="s">
        <v>161</v>
      </c>
      <c r="AZ1595">
        <v>49.75</v>
      </c>
      <c r="BA1595">
        <v>49.75</v>
      </c>
      <c r="BB1595">
        <v>0</v>
      </c>
      <c r="BC1595" t="s">
        <v>171</v>
      </c>
      <c r="BD1595">
        <v>1509</v>
      </c>
      <c r="BE1595" t="s">
        <v>169</v>
      </c>
      <c r="BF1595" t="s">
        <v>163</v>
      </c>
      <c r="BG1595" t="s">
        <v>164</v>
      </c>
    </row>
    <row r="1596" spans="1:59">
      <c r="A1596">
        <v>1115</v>
      </c>
      <c r="B1596">
        <v>1115</v>
      </c>
      <c r="C1596">
        <v>10</v>
      </c>
      <c r="D1596">
        <v>2</v>
      </c>
      <c r="E1596" t="s">
        <v>152</v>
      </c>
      <c r="F1596" t="s">
        <v>153</v>
      </c>
      <c r="G1596" t="s">
        <v>154</v>
      </c>
      <c r="H1596">
        <v>1526007150</v>
      </c>
      <c r="I1596">
        <v>1000007439</v>
      </c>
      <c r="L1596" t="s">
        <v>381</v>
      </c>
      <c r="M1596">
        <v>5100001636</v>
      </c>
      <c r="N1596" t="s">
        <v>155</v>
      </c>
      <c r="O1596" t="s">
        <v>156</v>
      </c>
      <c r="P1596">
        <v>4110026445</v>
      </c>
      <c r="Q1596" t="s">
        <v>170</v>
      </c>
      <c r="R1596">
        <v>5000</v>
      </c>
      <c r="S1596" t="s">
        <v>166</v>
      </c>
      <c r="V1596" t="s">
        <v>167</v>
      </c>
      <c r="W1596">
        <v>1502020104</v>
      </c>
      <c r="X1596" t="s">
        <v>26</v>
      </c>
      <c r="Y1596" t="str">
        <f>VLOOKUP(W1596,Sheet4!$A$5:$B$72,2,0)</f>
        <v>RE STYLING</v>
      </c>
      <c r="Z1596">
        <v>87082900</v>
      </c>
      <c r="AA1596">
        <v>15</v>
      </c>
      <c r="AB1596" t="s">
        <v>159</v>
      </c>
      <c r="AC1596" s="24">
        <v>6585.55</v>
      </c>
      <c r="AD1596" t="s">
        <v>160</v>
      </c>
      <c r="AE1596" s="24">
        <v>98783.25</v>
      </c>
      <c r="AF1596">
        <v>0</v>
      </c>
      <c r="AG1596" s="24">
        <v>98783.25</v>
      </c>
      <c r="AH1596">
        <v>0</v>
      </c>
      <c r="AI1596">
        <v>0</v>
      </c>
      <c r="AJ1596">
        <v>0</v>
      </c>
      <c r="AK1596">
        <v>0</v>
      </c>
      <c r="AL1596" s="24">
        <v>98783.25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 s="24">
        <v>98783.25</v>
      </c>
      <c r="AV1596">
        <v>0</v>
      </c>
      <c r="AW1596">
        <v>0</v>
      </c>
      <c r="AX1596">
        <v>311000</v>
      </c>
      <c r="AY1596" t="s">
        <v>161</v>
      </c>
      <c r="AZ1596">
        <v>49.75</v>
      </c>
      <c r="BA1596">
        <v>49.75</v>
      </c>
      <c r="BB1596">
        <v>0</v>
      </c>
      <c r="BC1596" t="s">
        <v>171</v>
      </c>
      <c r="BD1596">
        <v>1509</v>
      </c>
      <c r="BE1596" t="s">
        <v>169</v>
      </c>
      <c r="BF1596" t="s">
        <v>163</v>
      </c>
      <c r="BG1596" t="s">
        <v>164</v>
      </c>
    </row>
    <row r="1597" spans="1:59">
      <c r="A1597">
        <v>1115</v>
      </c>
      <c r="B1597">
        <v>1115</v>
      </c>
      <c r="C1597">
        <v>10</v>
      </c>
      <c r="D1597">
        <v>2</v>
      </c>
      <c r="E1597" t="s">
        <v>152</v>
      </c>
      <c r="F1597" t="s">
        <v>153</v>
      </c>
      <c r="G1597" t="s">
        <v>154</v>
      </c>
      <c r="H1597">
        <v>1526007149</v>
      </c>
      <c r="I1597">
        <v>1000007438</v>
      </c>
      <c r="L1597" t="s">
        <v>381</v>
      </c>
      <c r="M1597">
        <v>5100001636</v>
      </c>
      <c r="N1597" t="s">
        <v>155</v>
      </c>
      <c r="O1597" t="s">
        <v>156</v>
      </c>
      <c r="P1597">
        <v>4110026445</v>
      </c>
      <c r="Q1597" t="s">
        <v>170</v>
      </c>
      <c r="R1597">
        <v>5000</v>
      </c>
      <c r="S1597" t="s">
        <v>166</v>
      </c>
      <c r="V1597" t="s">
        <v>167</v>
      </c>
      <c r="W1597">
        <v>1502020104</v>
      </c>
      <c r="X1597" t="s">
        <v>26</v>
      </c>
      <c r="Y1597" t="str">
        <f>VLOOKUP(W1597,Sheet4!$A$5:$B$72,2,0)</f>
        <v>RE STYLING</v>
      </c>
      <c r="Z1597">
        <v>87082900</v>
      </c>
      <c r="AA1597">
        <v>15</v>
      </c>
      <c r="AB1597" t="s">
        <v>159</v>
      </c>
      <c r="AC1597" s="24">
        <v>6585.55</v>
      </c>
      <c r="AD1597" t="s">
        <v>160</v>
      </c>
      <c r="AE1597" s="24">
        <v>98783.25</v>
      </c>
      <c r="AF1597">
        <v>0</v>
      </c>
      <c r="AG1597" s="24">
        <v>98783.25</v>
      </c>
      <c r="AH1597">
        <v>0</v>
      </c>
      <c r="AI1597">
        <v>0</v>
      </c>
      <c r="AJ1597">
        <v>0</v>
      </c>
      <c r="AK1597">
        <v>0</v>
      </c>
      <c r="AL1597" s="24">
        <v>98783.25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 s="24">
        <v>98783.25</v>
      </c>
      <c r="AV1597">
        <v>0</v>
      </c>
      <c r="AW1597">
        <v>0</v>
      </c>
      <c r="AX1597">
        <v>311000</v>
      </c>
      <c r="AY1597" t="s">
        <v>161</v>
      </c>
      <c r="AZ1597">
        <v>49.75</v>
      </c>
      <c r="BA1597">
        <v>49.75</v>
      </c>
      <c r="BB1597">
        <v>0</v>
      </c>
      <c r="BC1597" t="s">
        <v>171</v>
      </c>
      <c r="BD1597">
        <v>1509</v>
      </c>
      <c r="BE1597" t="s">
        <v>169</v>
      </c>
      <c r="BF1597">
        <v>5094266804</v>
      </c>
      <c r="BG1597" t="s">
        <v>381</v>
      </c>
    </row>
    <row r="1598" spans="1:59">
      <c r="A1598">
        <v>1115</v>
      </c>
      <c r="B1598">
        <v>1115</v>
      </c>
      <c r="C1598">
        <v>10</v>
      </c>
      <c r="D1598">
        <v>2</v>
      </c>
      <c r="E1598" t="s">
        <v>152</v>
      </c>
      <c r="F1598" t="s">
        <v>153</v>
      </c>
      <c r="G1598" t="s">
        <v>154</v>
      </c>
      <c r="H1598">
        <v>1526007148</v>
      </c>
      <c r="I1598">
        <v>1000007437</v>
      </c>
      <c r="L1598" t="s">
        <v>381</v>
      </c>
      <c r="M1598">
        <v>5100001636</v>
      </c>
      <c r="N1598" t="s">
        <v>155</v>
      </c>
      <c r="O1598" t="s">
        <v>156</v>
      </c>
      <c r="P1598">
        <v>4110026445</v>
      </c>
      <c r="Q1598" t="s">
        <v>170</v>
      </c>
      <c r="R1598">
        <v>5000</v>
      </c>
      <c r="S1598" t="s">
        <v>166</v>
      </c>
      <c r="V1598" t="s">
        <v>167</v>
      </c>
      <c r="W1598">
        <v>1502020104</v>
      </c>
      <c r="X1598" t="s">
        <v>26</v>
      </c>
      <c r="Y1598" t="str">
        <f>VLOOKUP(W1598,Sheet4!$A$5:$B$72,2,0)</f>
        <v>RE STYLING</v>
      </c>
      <c r="Z1598">
        <v>87082900</v>
      </c>
      <c r="AA1598">
        <v>15</v>
      </c>
      <c r="AB1598" t="s">
        <v>159</v>
      </c>
      <c r="AC1598" s="24">
        <v>6585.55</v>
      </c>
      <c r="AD1598" t="s">
        <v>160</v>
      </c>
      <c r="AE1598" s="24">
        <v>98783.25</v>
      </c>
      <c r="AF1598">
        <v>0</v>
      </c>
      <c r="AG1598" s="24">
        <v>98783.25</v>
      </c>
      <c r="AH1598">
        <v>0</v>
      </c>
      <c r="AI1598">
        <v>0</v>
      </c>
      <c r="AJ1598">
        <v>0</v>
      </c>
      <c r="AK1598">
        <v>0</v>
      </c>
      <c r="AL1598" s="24">
        <v>98783.25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 s="24">
        <v>98783.25</v>
      </c>
      <c r="AV1598">
        <v>0</v>
      </c>
      <c r="AW1598">
        <v>0</v>
      </c>
      <c r="AX1598">
        <v>311000</v>
      </c>
      <c r="AY1598" t="s">
        <v>161</v>
      </c>
      <c r="AZ1598">
        <v>49.75</v>
      </c>
      <c r="BA1598">
        <v>49.75</v>
      </c>
      <c r="BB1598">
        <v>0</v>
      </c>
      <c r="BC1598" t="s">
        <v>171</v>
      </c>
      <c r="BD1598">
        <v>1509</v>
      </c>
      <c r="BE1598" t="s">
        <v>169</v>
      </c>
      <c r="BF1598">
        <v>5094249798</v>
      </c>
      <c r="BG1598" t="s">
        <v>381</v>
      </c>
    </row>
    <row r="1599" spans="1:59">
      <c r="A1599">
        <v>1115</v>
      </c>
      <c r="B1599">
        <v>1115</v>
      </c>
      <c r="C1599">
        <v>10</v>
      </c>
      <c r="D1599">
        <v>2</v>
      </c>
      <c r="E1599" t="s">
        <v>152</v>
      </c>
      <c r="F1599" t="s">
        <v>153</v>
      </c>
      <c r="G1599" t="s">
        <v>154</v>
      </c>
      <c r="H1599">
        <v>1526007147</v>
      </c>
      <c r="I1599">
        <v>1000007436</v>
      </c>
      <c r="L1599" t="s">
        <v>381</v>
      </c>
      <c r="M1599">
        <v>5100001636</v>
      </c>
      <c r="N1599" t="s">
        <v>155</v>
      </c>
      <c r="O1599" t="s">
        <v>156</v>
      </c>
      <c r="P1599">
        <v>4110026445</v>
      </c>
      <c r="Q1599" t="s">
        <v>170</v>
      </c>
      <c r="R1599">
        <v>5000</v>
      </c>
      <c r="S1599" t="s">
        <v>166</v>
      </c>
      <c r="V1599" t="s">
        <v>167</v>
      </c>
      <c r="W1599">
        <v>1502020104</v>
      </c>
      <c r="X1599" t="s">
        <v>26</v>
      </c>
      <c r="Y1599" t="str">
        <f>VLOOKUP(W1599,Sheet4!$A$5:$B$72,2,0)</f>
        <v>RE STYLING</v>
      </c>
      <c r="Z1599">
        <v>87082900</v>
      </c>
      <c r="AA1599">
        <v>15</v>
      </c>
      <c r="AB1599" t="s">
        <v>159</v>
      </c>
      <c r="AC1599" s="24">
        <v>6585.55</v>
      </c>
      <c r="AD1599" t="s">
        <v>160</v>
      </c>
      <c r="AE1599" s="24">
        <v>98783.25</v>
      </c>
      <c r="AF1599">
        <v>0</v>
      </c>
      <c r="AG1599" s="24">
        <v>98783.25</v>
      </c>
      <c r="AH1599">
        <v>0</v>
      </c>
      <c r="AI1599">
        <v>0</v>
      </c>
      <c r="AJ1599">
        <v>0</v>
      </c>
      <c r="AK1599">
        <v>0</v>
      </c>
      <c r="AL1599" s="24">
        <v>98783.25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 s="24">
        <v>98783.25</v>
      </c>
      <c r="AV1599">
        <v>0</v>
      </c>
      <c r="AW1599">
        <v>0</v>
      </c>
      <c r="AX1599">
        <v>311000</v>
      </c>
      <c r="AY1599" t="s">
        <v>161</v>
      </c>
      <c r="AZ1599">
        <v>49.75</v>
      </c>
      <c r="BA1599">
        <v>49.75</v>
      </c>
      <c r="BB1599">
        <v>0</v>
      </c>
      <c r="BC1599" t="s">
        <v>171</v>
      </c>
      <c r="BD1599">
        <v>1509</v>
      </c>
      <c r="BE1599" t="s">
        <v>169</v>
      </c>
      <c r="BF1599">
        <v>5094249828</v>
      </c>
      <c r="BG1599" t="s">
        <v>381</v>
      </c>
    </row>
    <row r="1600" spans="1:59">
      <c r="A1600">
        <v>1115</v>
      </c>
      <c r="B1600">
        <v>1115</v>
      </c>
      <c r="C1600">
        <v>10</v>
      </c>
      <c r="D1600">
        <v>2</v>
      </c>
      <c r="E1600" t="s">
        <v>152</v>
      </c>
      <c r="F1600" t="s">
        <v>153</v>
      </c>
      <c r="G1600" t="s">
        <v>154</v>
      </c>
      <c r="H1600">
        <v>1526007146</v>
      </c>
      <c r="I1600">
        <v>1000007435</v>
      </c>
      <c r="L1600" t="s">
        <v>381</v>
      </c>
      <c r="M1600">
        <v>5100001934</v>
      </c>
      <c r="N1600" t="s">
        <v>155</v>
      </c>
      <c r="O1600" t="s">
        <v>156</v>
      </c>
      <c r="P1600">
        <v>4110058649</v>
      </c>
      <c r="Q1600" t="s">
        <v>196</v>
      </c>
      <c r="R1600">
        <v>5000</v>
      </c>
      <c r="S1600" t="s">
        <v>166</v>
      </c>
      <c r="V1600" t="s">
        <v>167</v>
      </c>
      <c r="W1600">
        <v>1502040217</v>
      </c>
      <c r="X1600" t="s">
        <v>197</v>
      </c>
      <c r="Y1600" t="str">
        <f>VLOOKUP(W1600,Sheet4!$A$5:$B$72,2,0)</f>
        <v>FRONT MUDGARD GOGO</v>
      </c>
      <c r="Z1600">
        <v>87082900</v>
      </c>
      <c r="AA1600">
        <v>120</v>
      </c>
      <c r="AB1600" t="s">
        <v>159</v>
      </c>
      <c r="AC1600">
        <v>380.93</v>
      </c>
      <c r="AD1600" t="s">
        <v>160</v>
      </c>
      <c r="AE1600" s="24">
        <v>45711.6</v>
      </c>
      <c r="AF1600">
        <v>0</v>
      </c>
      <c r="AG1600" s="24">
        <v>45711.6</v>
      </c>
      <c r="AH1600">
        <v>0</v>
      </c>
      <c r="AI1600">
        <v>0</v>
      </c>
      <c r="AJ1600">
        <v>0</v>
      </c>
      <c r="AK1600">
        <v>0</v>
      </c>
      <c r="AL1600" s="24">
        <v>45711.6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 s="24">
        <v>45711.6</v>
      </c>
      <c r="AV1600">
        <v>0</v>
      </c>
      <c r="AW1600">
        <v>0</v>
      </c>
      <c r="AX1600">
        <v>311000</v>
      </c>
      <c r="AY1600" t="s">
        <v>161</v>
      </c>
      <c r="AZ1600">
        <v>2.13</v>
      </c>
      <c r="BA1600">
        <v>2.13</v>
      </c>
      <c r="BB1600">
        <v>0</v>
      </c>
      <c r="BC1600" t="s">
        <v>198</v>
      </c>
      <c r="BD1600">
        <v>1511</v>
      </c>
      <c r="BE1600" t="s">
        <v>174</v>
      </c>
      <c r="BF1600">
        <v>5094269441</v>
      </c>
      <c r="BG1600" t="s">
        <v>381</v>
      </c>
    </row>
    <row r="1601" spans="1:59">
      <c r="A1601">
        <v>1115</v>
      </c>
      <c r="B1601">
        <v>1115</v>
      </c>
      <c r="C1601">
        <v>10</v>
      </c>
      <c r="D1601">
        <v>2</v>
      </c>
      <c r="E1601" t="s">
        <v>152</v>
      </c>
      <c r="F1601" t="s">
        <v>153</v>
      </c>
      <c r="G1601" t="s">
        <v>154</v>
      </c>
      <c r="H1601">
        <v>1526007145</v>
      </c>
      <c r="I1601">
        <v>1000007434</v>
      </c>
      <c r="L1601" t="s">
        <v>381</v>
      </c>
      <c r="M1601">
        <v>5100001603</v>
      </c>
      <c r="N1601" t="s">
        <v>155</v>
      </c>
      <c r="O1601" t="s">
        <v>156</v>
      </c>
      <c r="P1601">
        <v>4110025468</v>
      </c>
      <c r="Q1601" t="s">
        <v>165</v>
      </c>
      <c r="R1601">
        <v>5000</v>
      </c>
      <c r="S1601" t="s">
        <v>166</v>
      </c>
      <c r="V1601" t="s">
        <v>167</v>
      </c>
      <c r="W1601">
        <v>1502020102</v>
      </c>
      <c r="X1601" t="s">
        <v>58</v>
      </c>
      <c r="Y1601" t="str">
        <f>VLOOKUP(W1601,Sheet4!$A$5:$B$72,2,0)</f>
        <v>MAXIMA HD</v>
      </c>
      <c r="Z1601">
        <v>87082900</v>
      </c>
      <c r="AA1601">
        <v>6</v>
      </c>
      <c r="AB1601" t="s">
        <v>159</v>
      </c>
      <c r="AC1601" s="24">
        <v>8593.51</v>
      </c>
      <c r="AD1601" t="s">
        <v>160</v>
      </c>
      <c r="AE1601" s="24">
        <v>51561.06</v>
      </c>
      <c r="AF1601">
        <v>0</v>
      </c>
      <c r="AG1601" s="24">
        <v>51561.06</v>
      </c>
      <c r="AH1601">
        <v>0</v>
      </c>
      <c r="AI1601">
        <v>0</v>
      </c>
      <c r="AJ1601">
        <v>0</v>
      </c>
      <c r="AK1601">
        <v>0</v>
      </c>
      <c r="AL1601" s="24">
        <v>51561.06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 s="24">
        <v>51561.06</v>
      </c>
      <c r="AV1601">
        <v>0</v>
      </c>
      <c r="AW1601">
        <v>0</v>
      </c>
      <c r="AX1601">
        <v>311000</v>
      </c>
      <c r="AY1601" t="s">
        <v>161</v>
      </c>
      <c r="AZ1601">
        <v>93.34</v>
      </c>
      <c r="BA1601">
        <v>75.430000000000007</v>
      </c>
      <c r="BB1601">
        <v>17.91</v>
      </c>
      <c r="BC1601" t="s">
        <v>168</v>
      </c>
      <c r="BD1601">
        <v>1509</v>
      </c>
      <c r="BE1601" t="s">
        <v>169</v>
      </c>
      <c r="BF1601">
        <v>5094269533</v>
      </c>
      <c r="BG1601" t="s">
        <v>381</v>
      </c>
    </row>
    <row r="1602" spans="1:59">
      <c r="A1602">
        <v>1115</v>
      </c>
      <c r="B1602">
        <v>1115</v>
      </c>
      <c r="C1602">
        <v>10</v>
      </c>
      <c r="D1602">
        <v>2</v>
      </c>
      <c r="E1602" t="s">
        <v>152</v>
      </c>
      <c r="F1602" t="s">
        <v>153</v>
      </c>
      <c r="G1602" t="s">
        <v>154</v>
      </c>
      <c r="H1602">
        <v>1526007144</v>
      </c>
      <c r="I1602">
        <v>1000007433</v>
      </c>
      <c r="L1602" t="s">
        <v>381</v>
      </c>
      <c r="M1602">
        <v>5100001603</v>
      </c>
      <c r="N1602" t="s">
        <v>155</v>
      </c>
      <c r="O1602" t="s">
        <v>156</v>
      </c>
      <c r="P1602">
        <v>4110025468</v>
      </c>
      <c r="Q1602" t="s">
        <v>165</v>
      </c>
      <c r="R1602">
        <v>5000</v>
      </c>
      <c r="S1602" t="s">
        <v>166</v>
      </c>
      <c r="V1602" t="s">
        <v>167</v>
      </c>
      <c r="W1602">
        <v>1502020102</v>
      </c>
      <c r="X1602" t="s">
        <v>58</v>
      </c>
      <c r="Y1602" t="str">
        <f>VLOOKUP(W1602,Sheet4!$A$5:$B$72,2,0)</f>
        <v>MAXIMA HD</v>
      </c>
      <c r="Z1602">
        <v>87082900</v>
      </c>
      <c r="AA1602">
        <v>8</v>
      </c>
      <c r="AB1602" t="s">
        <v>159</v>
      </c>
      <c r="AC1602" s="24">
        <v>8593.51</v>
      </c>
      <c r="AD1602" t="s">
        <v>160</v>
      </c>
      <c r="AE1602" s="24">
        <v>68748.08</v>
      </c>
      <c r="AF1602">
        <v>0</v>
      </c>
      <c r="AG1602" s="24">
        <v>68748.08</v>
      </c>
      <c r="AH1602">
        <v>0</v>
      </c>
      <c r="AI1602">
        <v>0</v>
      </c>
      <c r="AJ1602">
        <v>0</v>
      </c>
      <c r="AK1602">
        <v>0</v>
      </c>
      <c r="AL1602" s="24">
        <v>68748.08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 s="24">
        <v>68748.08</v>
      </c>
      <c r="AV1602">
        <v>0</v>
      </c>
      <c r="AW1602">
        <v>0</v>
      </c>
      <c r="AX1602">
        <v>311000</v>
      </c>
      <c r="AY1602" t="s">
        <v>161</v>
      </c>
      <c r="AZ1602">
        <v>93.34</v>
      </c>
      <c r="BA1602">
        <v>75.430000000000007</v>
      </c>
      <c r="BB1602">
        <v>17.91</v>
      </c>
      <c r="BC1602" t="s">
        <v>168</v>
      </c>
      <c r="BD1602">
        <v>1509</v>
      </c>
      <c r="BE1602" t="s">
        <v>169</v>
      </c>
      <c r="BF1602">
        <v>5094247762</v>
      </c>
      <c r="BG1602" t="s">
        <v>381</v>
      </c>
    </row>
    <row r="1603" spans="1:59">
      <c r="A1603">
        <v>1115</v>
      </c>
      <c r="B1603">
        <v>1115</v>
      </c>
      <c r="C1603">
        <v>10</v>
      </c>
      <c r="D1603">
        <v>2</v>
      </c>
      <c r="E1603" t="s">
        <v>152</v>
      </c>
      <c r="F1603" t="s">
        <v>153</v>
      </c>
      <c r="G1603" t="s">
        <v>154</v>
      </c>
      <c r="H1603">
        <v>1526007143</v>
      </c>
      <c r="I1603">
        <v>1000007432</v>
      </c>
      <c r="L1603" t="s">
        <v>381</v>
      </c>
      <c r="M1603">
        <v>5100001603</v>
      </c>
      <c r="N1603" t="s">
        <v>155</v>
      </c>
      <c r="O1603" t="s">
        <v>156</v>
      </c>
      <c r="P1603">
        <v>4110025468</v>
      </c>
      <c r="Q1603" t="s">
        <v>165</v>
      </c>
      <c r="R1603">
        <v>5000</v>
      </c>
      <c r="S1603" t="s">
        <v>166</v>
      </c>
      <c r="V1603" t="s">
        <v>167</v>
      </c>
      <c r="W1603">
        <v>1502020102</v>
      </c>
      <c r="X1603" t="s">
        <v>58</v>
      </c>
      <c r="Y1603" t="str">
        <f>VLOOKUP(W1603,Sheet4!$A$5:$B$72,2,0)</f>
        <v>MAXIMA HD</v>
      </c>
      <c r="Z1603">
        <v>87082900</v>
      </c>
      <c r="AA1603">
        <v>8</v>
      </c>
      <c r="AB1603" t="s">
        <v>159</v>
      </c>
      <c r="AC1603" s="24">
        <v>8593.51</v>
      </c>
      <c r="AD1603" t="s">
        <v>160</v>
      </c>
      <c r="AE1603" s="24">
        <v>68748.08</v>
      </c>
      <c r="AF1603">
        <v>0</v>
      </c>
      <c r="AG1603" s="24">
        <v>68748.08</v>
      </c>
      <c r="AH1603">
        <v>0</v>
      </c>
      <c r="AI1603">
        <v>0</v>
      </c>
      <c r="AJ1603">
        <v>0</v>
      </c>
      <c r="AK1603">
        <v>0</v>
      </c>
      <c r="AL1603" s="24">
        <v>68748.08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 s="24">
        <v>68748.08</v>
      </c>
      <c r="AV1603">
        <v>0</v>
      </c>
      <c r="AW1603">
        <v>0</v>
      </c>
      <c r="AX1603">
        <v>311000</v>
      </c>
      <c r="AY1603" t="s">
        <v>161</v>
      </c>
      <c r="AZ1603">
        <v>93.34</v>
      </c>
      <c r="BA1603">
        <v>75.430000000000007</v>
      </c>
      <c r="BB1603">
        <v>17.91</v>
      </c>
      <c r="BC1603" t="s">
        <v>168</v>
      </c>
      <c r="BD1603">
        <v>1509</v>
      </c>
      <c r="BE1603" t="s">
        <v>169</v>
      </c>
      <c r="BF1603">
        <v>5094249219</v>
      </c>
      <c r="BG1603" t="s">
        <v>381</v>
      </c>
    </row>
    <row r="1604" spans="1:59">
      <c r="A1604">
        <v>1115</v>
      </c>
      <c r="B1604">
        <v>1115</v>
      </c>
      <c r="C1604">
        <v>10</v>
      </c>
      <c r="D1604">
        <v>2</v>
      </c>
      <c r="E1604" t="s">
        <v>152</v>
      </c>
      <c r="F1604" t="s">
        <v>153</v>
      </c>
      <c r="G1604" t="s">
        <v>154</v>
      </c>
      <c r="H1604">
        <v>1526007142</v>
      </c>
      <c r="I1604">
        <v>1000007431</v>
      </c>
      <c r="L1604" t="s">
        <v>381</v>
      </c>
      <c r="M1604">
        <v>5100001603</v>
      </c>
      <c r="N1604" t="s">
        <v>155</v>
      </c>
      <c r="O1604" t="s">
        <v>156</v>
      </c>
      <c r="P1604">
        <v>4110025468</v>
      </c>
      <c r="Q1604" t="s">
        <v>165</v>
      </c>
      <c r="R1604">
        <v>5000</v>
      </c>
      <c r="S1604" t="s">
        <v>166</v>
      </c>
      <c r="V1604" t="s">
        <v>167</v>
      </c>
      <c r="W1604">
        <v>1502020102</v>
      </c>
      <c r="X1604" t="s">
        <v>58</v>
      </c>
      <c r="Y1604" t="str">
        <f>VLOOKUP(W1604,Sheet4!$A$5:$B$72,2,0)</f>
        <v>MAXIMA HD</v>
      </c>
      <c r="Z1604">
        <v>87082900</v>
      </c>
      <c r="AA1604">
        <v>8</v>
      </c>
      <c r="AB1604" t="s">
        <v>159</v>
      </c>
      <c r="AC1604" s="24">
        <v>8593.51</v>
      </c>
      <c r="AD1604" t="s">
        <v>160</v>
      </c>
      <c r="AE1604" s="24">
        <v>68748.08</v>
      </c>
      <c r="AF1604">
        <v>0</v>
      </c>
      <c r="AG1604" s="24">
        <v>68748.08</v>
      </c>
      <c r="AH1604">
        <v>0</v>
      </c>
      <c r="AI1604">
        <v>0</v>
      </c>
      <c r="AJ1604">
        <v>0</v>
      </c>
      <c r="AK1604">
        <v>0</v>
      </c>
      <c r="AL1604" s="24">
        <v>68748.08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 s="24">
        <v>68748.08</v>
      </c>
      <c r="AV1604">
        <v>0</v>
      </c>
      <c r="AW1604">
        <v>0</v>
      </c>
      <c r="AX1604">
        <v>311000</v>
      </c>
      <c r="AY1604" t="s">
        <v>161</v>
      </c>
      <c r="AZ1604">
        <v>93.34</v>
      </c>
      <c r="BA1604">
        <v>75.430000000000007</v>
      </c>
      <c r="BB1604">
        <v>17.91</v>
      </c>
      <c r="BC1604" t="s">
        <v>168</v>
      </c>
      <c r="BD1604">
        <v>1509</v>
      </c>
      <c r="BE1604" t="s">
        <v>169</v>
      </c>
      <c r="BF1604">
        <v>5094249055</v>
      </c>
      <c r="BG1604" t="s">
        <v>381</v>
      </c>
    </row>
    <row r="1605" spans="1:59">
      <c r="A1605">
        <v>1115</v>
      </c>
      <c r="B1605">
        <v>1115</v>
      </c>
      <c r="C1605">
        <v>10</v>
      </c>
      <c r="D1605">
        <v>2</v>
      </c>
      <c r="E1605" t="s">
        <v>152</v>
      </c>
      <c r="F1605" t="s">
        <v>153</v>
      </c>
      <c r="G1605" t="s">
        <v>154</v>
      </c>
      <c r="H1605">
        <v>1526007141</v>
      </c>
      <c r="I1605">
        <v>1000007430</v>
      </c>
      <c r="L1605" t="s">
        <v>381</v>
      </c>
      <c r="M1605">
        <v>5100001603</v>
      </c>
      <c r="N1605" t="s">
        <v>155</v>
      </c>
      <c r="O1605" t="s">
        <v>156</v>
      </c>
      <c r="P1605">
        <v>4110025468</v>
      </c>
      <c r="Q1605" t="s">
        <v>165</v>
      </c>
      <c r="R1605">
        <v>5000</v>
      </c>
      <c r="S1605" t="s">
        <v>166</v>
      </c>
      <c r="V1605" t="s">
        <v>167</v>
      </c>
      <c r="W1605">
        <v>1502020102</v>
      </c>
      <c r="X1605" t="s">
        <v>58</v>
      </c>
      <c r="Y1605" t="str">
        <f>VLOOKUP(W1605,Sheet4!$A$5:$B$72,2,0)</f>
        <v>MAXIMA HD</v>
      </c>
      <c r="Z1605">
        <v>87082900</v>
      </c>
      <c r="AA1605">
        <v>8</v>
      </c>
      <c r="AB1605" t="s">
        <v>159</v>
      </c>
      <c r="AC1605" s="24">
        <v>8593.51</v>
      </c>
      <c r="AD1605" t="s">
        <v>160</v>
      </c>
      <c r="AE1605" s="24">
        <v>68748.08</v>
      </c>
      <c r="AF1605">
        <v>0</v>
      </c>
      <c r="AG1605" s="24">
        <v>68748.08</v>
      </c>
      <c r="AH1605">
        <v>0</v>
      </c>
      <c r="AI1605">
        <v>0</v>
      </c>
      <c r="AJ1605">
        <v>0</v>
      </c>
      <c r="AK1605">
        <v>0</v>
      </c>
      <c r="AL1605" s="24">
        <v>68748.08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 s="24">
        <v>68748.08</v>
      </c>
      <c r="AV1605">
        <v>0</v>
      </c>
      <c r="AW1605">
        <v>0</v>
      </c>
      <c r="AX1605">
        <v>311000</v>
      </c>
      <c r="AY1605" t="s">
        <v>161</v>
      </c>
      <c r="AZ1605">
        <v>93.34</v>
      </c>
      <c r="BA1605">
        <v>75.430000000000007</v>
      </c>
      <c r="BB1605">
        <v>17.91</v>
      </c>
      <c r="BC1605" t="s">
        <v>168</v>
      </c>
      <c r="BD1605">
        <v>1509</v>
      </c>
      <c r="BE1605" t="s">
        <v>169</v>
      </c>
      <c r="BF1605">
        <v>5094247494</v>
      </c>
      <c r="BG1605" t="s">
        <v>381</v>
      </c>
    </row>
    <row r="1606" spans="1:59">
      <c r="A1606">
        <v>1115</v>
      </c>
      <c r="B1606">
        <v>1115</v>
      </c>
      <c r="C1606">
        <v>10</v>
      </c>
      <c r="D1606">
        <v>2</v>
      </c>
      <c r="E1606" t="s">
        <v>152</v>
      </c>
      <c r="F1606" t="s">
        <v>153</v>
      </c>
      <c r="G1606" t="s">
        <v>154</v>
      </c>
      <c r="H1606">
        <v>1526007140</v>
      </c>
      <c r="I1606">
        <v>1000007429</v>
      </c>
      <c r="L1606" t="s">
        <v>381</v>
      </c>
      <c r="M1606">
        <v>5100001928</v>
      </c>
      <c r="N1606" t="s">
        <v>155</v>
      </c>
      <c r="O1606" t="s">
        <v>156</v>
      </c>
      <c r="P1606">
        <v>4110057393</v>
      </c>
      <c r="Q1606" t="s">
        <v>192</v>
      </c>
      <c r="R1606">
        <v>5000</v>
      </c>
      <c r="S1606" t="s">
        <v>166</v>
      </c>
      <c r="V1606" t="s">
        <v>167</v>
      </c>
      <c r="W1606">
        <v>1502020122</v>
      </c>
      <c r="X1606" t="s">
        <v>70</v>
      </c>
      <c r="Y1606" t="str">
        <f>VLOOKUP(W1606,Sheet4!$A$5:$B$72,2,0)</f>
        <v>MAX UG NEW EV</v>
      </c>
      <c r="Z1606">
        <v>87082900</v>
      </c>
      <c r="AA1606">
        <v>10</v>
      </c>
      <c r="AB1606" t="s">
        <v>159</v>
      </c>
      <c r="AC1606" s="24">
        <v>9566.51</v>
      </c>
      <c r="AD1606" t="s">
        <v>160</v>
      </c>
      <c r="AE1606" s="24">
        <v>95665.1</v>
      </c>
      <c r="AF1606">
        <v>0</v>
      </c>
      <c r="AG1606" s="24">
        <v>95665.1</v>
      </c>
      <c r="AH1606">
        <v>0</v>
      </c>
      <c r="AI1606">
        <v>0</v>
      </c>
      <c r="AJ1606">
        <v>0</v>
      </c>
      <c r="AK1606">
        <v>0</v>
      </c>
      <c r="AL1606" s="24">
        <v>95665.1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 s="24">
        <v>95665.1</v>
      </c>
      <c r="AV1606">
        <v>0</v>
      </c>
      <c r="AW1606">
        <v>0</v>
      </c>
      <c r="AX1606">
        <v>311000</v>
      </c>
      <c r="AY1606" t="s">
        <v>161</v>
      </c>
      <c r="AZ1606">
        <v>0</v>
      </c>
      <c r="BA1606">
        <v>61</v>
      </c>
      <c r="BB1606">
        <v>-61</v>
      </c>
      <c r="BC1606" t="s">
        <v>193</v>
      </c>
      <c r="BD1606">
        <v>1509</v>
      </c>
      <c r="BE1606" t="s">
        <v>169</v>
      </c>
      <c r="BF1606">
        <v>5094249108</v>
      </c>
      <c r="BG1606" t="s">
        <v>381</v>
      </c>
    </row>
    <row r="1607" spans="1:59">
      <c r="A1607">
        <v>1115</v>
      </c>
      <c r="B1607">
        <v>1115</v>
      </c>
      <c r="C1607">
        <v>10</v>
      </c>
      <c r="D1607">
        <v>2</v>
      </c>
      <c r="E1607" t="s">
        <v>152</v>
      </c>
      <c r="F1607" t="s">
        <v>153</v>
      </c>
      <c r="G1607" t="s">
        <v>154</v>
      </c>
      <c r="H1607">
        <v>1526007138</v>
      </c>
      <c r="I1607">
        <v>1000007427</v>
      </c>
      <c r="L1607" t="s">
        <v>381</v>
      </c>
      <c r="M1607">
        <v>5100001928</v>
      </c>
      <c r="N1607" t="s">
        <v>155</v>
      </c>
      <c r="O1607" t="s">
        <v>156</v>
      </c>
      <c r="P1607">
        <v>4110057393</v>
      </c>
      <c r="Q1607" t="s">
        <v>192</v>
      </c>
      <c r="R1607">
        <v>5000</v>
      </c>
      <c r="S1607" t="s">
        <v>166</v>
      </c>
      <c r="V1607" t="s">
        <v>167</v>
      </c>
      <c r="W1607">
        <v>1502020122</v>
      </c>
      <c r="X1607" t="s">
        <v>70</v>
      </c>
      <c r="Y1607" t="str">
        <f>VLOOKUP(W1607,Sheet4!$A$5:$B$72,2,0)</f>
        <v>MAX UG NEW EV</v>
      </c>
      <c r="Z1607">
        <v>87082900</v>
      </c>
      <c r="AA1607">
        <v>10</v>
      </c>
      <c r="AB1607" t="s">
        <v>159</v>
      </c>
      <c r="AC1607" s="24">
        <v>9566.51</v>
      </c>
      <c r="AD1607" t="s">
        <v>160</v>
      </c>
      <c r="AE1607" s="24">
        <v>95665.1</v>
      </c>
      <c r="AF1607">
        <v>0</v>
      </c>
      <c r="AG1607" s="24">
        <v>95665.1</v>
      </c>
      <c r="AH1607">
        <v>0</v>
      </c>
      <c r="AI1607">
        <v>0</v>
      </c>
      <c r="AJ1607">
        <v>0</v>
      </c>
      <c r="AK1607">
        <v>0</v>
      </c>
      <c r="AL1607" s="24">
        <v>95665.1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 s="24">
        <v>95665.1</v>
      </c>
      <c r="AV1607">
        <v>0</v>
      </c>
      <c r="AW1607">
        <v>0</v>
      </c>
      <c r="AX1607">
        <v>311000</v>
      </c>
      <c r="AY1607" t="s">
        <v>161</v>
      </c>
      <c r="AZ1607">
        <v>0</v>
      </c>
      <c r="BA1607">
        <v>61</v>
      </c>
      <c r="BB1607">
        <v>-61</v>
      </c>
      <c r="BC1607" t="s">
        <v>193</v>
      </c>
      <c r="BD1607">
        <v>1509</v>
      </c>
      <c r="BE1607" t="s">
        <v>169</v>
      </c>
      <c r="BF1607">
        <v>5094249177</v>
      </c>
      <c r="BG1607" t="s">
        <v>381</v>
      </c>
    </row>
    <row r="1608" spans="1:59">
      <c r="A1608">
        <v>1115</v>
      </c>
      <c r="B1608">
        <v>1115</v>
      </c>
      <c r="C1608">
        <v>10</v>
      </c>
      <c r="D1608">
        <v>2</v>
      </c>
      <c r="E1608" t="s">
        <v>152</v>
      </c>
      <c r="F1608" t="s">
        <v>153</v>
      </c>
      <c r="G1608" t="s">
        <v>154</v>
      </c>
      <c r="H1608">
        <v>1526007137</v>
      </c>
      <c r="I1608">
        <v>1000007426</v>
      </c>
      <c r="L1608" t="s">
        <v>381</v>
      </c>
      <c r="M1608">
        <v>5100001913</v>
      </c>
      <c r="N1608" t="s">
        <v>155</v>
      </c>
      <c r="O1608" t="s">
        <v>156</v>
      </c>
      <c r="P1608">
        <v>4110050475</v>
      </c>
      <c r="Q1608" t="s">
        <v>178</v>
      </c>
      <c r="R1608">
        <v>5000</v>
      </c>
      <c r="S1608" t="s">
        <v>166</v>
      </c>
      <c r="V1608" t="s">
        <v>167</v>
      </c>
      <c r="W1608">
        <v>1502040289</v>
      </c>
      <c r="X1608" t="s">
        <v>49</v>
      </c>
      <c r="Y1608" t="str">
        <f>VLOOKUP(W1608,Sheet4!$A$5:$B$72,2,0)</f>
        <v>SUPPORT TOP</v>
      </c>
      <c r="Z1608">
        <v>87082900</v>
      </c>
      <c r="AA1608">
        <v>384</v>
      </c>
      <c r="AB1608" t="s">
        <v>159</v>
      </c>
      <c r="AC1608">
        <v>174.61</v>
      </c>
      <c r="AD1608" t="s">
        <v>160</v>
      </c>
      <c r="AE1608" s="24">
        <v>67050.240000000005</v>
      </c>
      <c r="AF1608">
        <v>0</v>
      </c>
      <c r="AG1608" s="24">
        <v>67050.240000000005</v>
      </c>
      <c r="AH1608">
        <v>0</v>
      </c>
      <c r="AI1608">
        <v>0</v>
      </c>
      <c r="AJ1608">
        <v>0</v>
      </c>
      <c r="AK1608">
        <v>0</v>
      </c>
      <c r="AL1608" s="24">
        <v>67050.240000000005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 s="24">
        <v>67050.240000000005</v>
      </c>
      <c r="AV1608">
        <v>0</v>
      </c>
      <c r="AW1608">
        <v>0</v>
      </c>
      <c r="AX1608">
        <v>311000</v>
      </c>
      <c r="AY1608" t="s">
        <v>161</v>
      </c>
      <c r="AZ1608">
        <v>0</v>
      </c>
      <c r="BA1608">
        <v>0</v>
      </c>
      <c r="BB1608">
        <v>0</v>
      </c>
      <c r="BC1608" t="s">
        <v>179</v>
      </c>
      <c r="BD1608">
        <v>1511</v>
      </c>
      <c r="BE1608" t="s">
        <v>174</v>
      </c>
      <c r="BF1608">
        <v>5094256569</v>
      </c>
      <c r="BG1608" t="s">
        <v>381</v>
      </c>
    </row>
    <row r="1609" spans="1:59">
      <c r="A1609">
        <v>1115</v>
      </c>
      <c r="B1609">
        <v>1115</v>
      </c>
      <c r="C1609">
        <v>10</v>
      </c>
      <c r="D1609">
        <v>2</v>
      </c>
      <c r="E1609" t="s">
        <v>152</v>
      </c>
      <c r="F1609" t="s">
        <v>153</v>
      </c>
      <c r="G1609" t="s">
        <v>154</v>
      </c>
      <c r="H1609">
        <v>1526007136</v>
      </c>
      <c r="I1609">
        <v>1000007425</v>
      </c>
      <c r="L1609" t="s">
        <v>381</v>
      </c>
      <c r="M1609">
        <v>5100001934</v>
      </c>
      <c r="N1609" t="s">
        <v>155</v>
      </c>
      <c r="O1609" t="s">
        <v>156</v>
      </c>
      <c r="P1609">
        <v>4110058649</v>
      </c>
      <c r="Q1609" t="s">
        <v>196</v>
      </c>
      <c r="R1609">
        <v>5000</v>
      </c>
      <c r="S1609" t="s">
        <v>166</v>
      </c>
      <c r="V1609" t="s">
        <v>167</v>
      </c>
      <c r="W1609">
        <v>1502040217</v>
      </c>
      <c r="X1609" t="s">
        <v>197</v>
      </c>
      <c r="Y1609" t="str">
        <f>VLOOKUP(W1609,Sheet4!$A$5:$B$72,2,0)</f>
        <v>FRONT MUDGARD GOGO</v>
      </c>
      <c r="Z1609">
        <v>87082900</v>
      </c>
      <c r="AA1609">
        <v>210</v>
      </c>
      <c r="AB1609" t="s">
        <v>159</v>
      </c>
      <c r="AC1609">
        <v>380.93</v>
      </c>
      <c r="AD1609" t="s">
        <v>160</v>
      </c>
      <c r="AE1609" s="24">
        <v>79995.3</v>
      </c>
      <c r="AF1609">
        <v>0</v>
      </c>
      <c r="AG1609" s="24">
        <v>79995.3</v>
      </c>
      <c r="AH1609">
        <v>0</v>
      </c>
      <c r="AI1609">
        <v>0</v>
      </c>
      <c r="AJ1609">
        <v>0</v>
      </c>
      <c r="AK1609">
        <v>0</v>
      </c>
      <c r="AL1609" s="24">
        <v>79995.3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 s="24">
        <v>79995.3</v>
      </c>
      <c r="AV1609">
        <v>0</v>
      </c>
      <c r="AW1609">
        <v>0</v>
      </c>
      <c r="AX1609">
        <v>311000</v>
      </c>
      <c r="AY1609" t="s">
        <v>161</v>
      </c>
      <c r="AZ1609">
        <v>2.13</v>
      </c>
      <c r="BA1609">
        <v>2.13</v>
      </c>
      <c r="BB1609">
        <v>0</v>
      </c>
      <c r="BC1609" t="s">
        <v>198</v>
      </c>
      <c r="BD1609">
        <v>1511</v>
      </c>
      <c r="BE1609" t="s">
        <v>174</v>
      </c>
      <c r="BF1609">
        <v>5094247660</v>
      </c>
      <c r="BG1609" t="s">
        <v>381</v>
      </c>
    </row>
    <row r="1610" spans="1:59">
      <c r="A1610">
        <v>1115</v>
      </c>
      <c r="B1610">
        <v>1115</v>
      </c>
      <c r="C1610">
        <v>10</v>
      </c>
      <c r="D1610">
        <v>2</v>
      </c>
      <c r="E1610" t="s">
        <v>152</v>
      </c>
      <c r="F1610" t="s">
        <v>153</v>
      </c>
      <c r="G1610" t="s">
        <v>154</v>
      </c>
      <c r="H1610">
        <v>1526007135</v>
      </c>
      <c r="I1610">
        <v>1000007424</v>
      </c>
      <c r="L1610" t="s">
        <v>381</v>
      </c>
      <c r="M1610">
        <v>5100001603</v>
      </c>
      <c r="N1610" t="s">
        <v>155</v>
      </c>
      <c r="O1610" t="s">
        <v>156</v>
      </c>
      <c r="P1610">
        <v>4110025468</v>
      </c>
      <c r="Q1610" t="s">
        <v>165</v>
      </c>
      <c r="R1610">
        <v>5000</v>
      </c>
      <c r="S1610" t="s">
        <v>166</v>
      </c>
      <c r="V1610" t="s">
        <v>167</v>
      </c>
      <c r="W1610">
        <v>1502020102</v>
      </c>
      <c r="X1610" t="s">
        <v>58</v>
      </c>
      <c r="Y1610" t="str">
        <f>VLOOKUP(W1610,Sheet4!$A$5:$B$72,2,0)</f>
        <v>MAXIMA HD</v>
      </c>
      <c r="Z1610">
        <v>87082900</v>
      </c>
      <c r="AA1610">
        <v>6</v>
      </c>
      <c r="AB1610" t="s">
        <v>159</v>
      </c>
      <c r="AC1610" s="24">
        <v>8593.51</v>
      </c>
      <c r="AD1610" t="s">
        <v>160</v>
      </c>
      <c r="AE1610" s="24">
        <v>51561.06</v>
      </c>
      <c r="AF1610">
        <v>0</v>
      </c>
      <c r="AG1610" s="24">
        <v>51561.06</v>
      </c>
      <c r="AH1610">
        <v>0</v>
      </c>
      <c r="AI1610">
        <v>0</v>
      </c>
      <c r="AJ1610">
        <v>0</v>
      </c>
      <c r="AK1610">
        <v>0</v>
      </c>
      <c r="AL1610" s="24">
        <v>51561.06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 s="24">
        <v>51561.06</v>
      </c>
      <c r="AV1610">
        <v>0</v>
      </c>
      <c r="AW1610">
        <v>0</v>
      </c>
      <c r="AX1610">
        <v>311000</v>
      </c>
      <c r="AY1610" t="s">
        <v>161</v>
      </c>
      <c r="AZ1610">
        <v>93.34</v>
      </c>
      <c r="BA1610">
        <v>75.430000000000007</v>
      </c>
      <c r="BB1610">
        <v>17.91</v>
      </c>
      <c r="BC1610" t="s">
        <v>168</v>
      </c>
      <c r="BD1610">
        <v>1509</v>
      </c>
      <c r="BE1610" t="s">
        <v>169</v>
      </c>
      <c r="BF1610">
        <v>5094249053</v>
      </c>
      <c r="BG1610" t="s">
        <v>381</v>
      </c>
    </row>
    <row r="1611" spans="1:59">
      <c r="A1611">
        <v>1115</v>
      </c>
      <c r="B1611">
        <v>1115</v>
      </c>
      <c r="C1611">
        <v>10</v>
      </c>
      <c r="D1611">
        <v>2</v>
      </c>
      <c r="E1611" t="s">
        <v>152</v>
      </c>
      <c r="F1611" t="s">
        <v>153</v>
      </c>
      <c r="G1611" t="s">
        <v>154</v>
      </c>
      <c r="H1611">
        <v>1526007131</v>
      </c>
      <c r="I1611">
        <v>1000007420</v>
      </c>
      <c r="L1611" t="s">
        <v>381</v>
      </c>
      <c r="M1611">
        <v>5100001552</v>
      </c>
      <c r="N1611" t="s">
        <v>155</v>
      </c>
      <c r="O1611" t="s">
        <v>156</v>
      </c>
      <c r="P1611">
        <v>4110023205</v>
      </c>
      <c r="Q1611" t="s">
        <v>378</v>
      </c>
      <c r="R1611">
        <v>5000</v>
      </c>
      <c r="S1611" t="s">
        <v>166</v>
      </c>
      <c r="V1611" t="s">
        <v>167</v>
      </c>
      <c r="W1611">
        <v>1502040233</v>
      </c>
      <c r="X1611" t="s">
        <v>37</v>
      </c>
      <c r="Y1611" t="str">
        <f>VLOOKUP(W1611,Sheet4!$A$5:$B$72,2,0)</f>
        <v>FRONT MUDGAURD</v>
      </c>
      <c r="Z1611">
        <v>87082900</v>
      </c>
      <c r="AA1611">
        <v>200</v>
      </c>
      <c r="AB1611" t="s">
        <v>159</v>
      </c>
      <c r="AC1611">
        <v>317.45999999999998</v>
      </c>
      <c r="AD1611" t="s">
        <v>160</v>
      </c>
      <c r="AE1611" s="24">
        <v>63492</v>
      </c>
      <c r="AF1611">
        <v>0</v>
      </c>
      <c r="AG1611" s="24">
        <v>63492</v>
      </c>
      <c r="AH1611">
        <v>0</v>
      </c>
      <c r="AI1611">
        <v>0</v>
      </c>
      <c r="AJ1611">
        <v>0</v>
      </c>
      <c r="AK1611">
        <v>0</v>
      </c>
      <c r="AL1611" s="24">
        <v>63492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 s="24">
        <v>63492</v>
      </c>
      <c r="AV1611">
        <v>0</v>
      </c>
      <c r="AW1611">
        <v>0</v>
      </c>
      <c r="AX1611">
        <v>311000</v>
      </c>
      <c r="AY1611" t="s">
        <v>161</v>
      </c>
      <c r="AZ1611">
        <v>3.4</v>
      </c>
      <c r="BA1611">
        <v>2</v>
      </c>
      <c r="BB1611">
        <v>1.4</v>
      </c>
      <c r="BC1611" t="s">
        <v>238</v>
      </c>
      <c r="BD1611">
        <v>1511</v>
      </c>
      <c r="BE1611" t="s">
        <v>174</v>
      </c>
      <c r="BF1611">
        <v>5094245996</v>
      </c>
      <c r="BG1611" t="s">
        <v>381</v>
      </c>
    </row>
    <row r="1612" spans="1:59">
      <c r="A1612">
        <v>1115</v>
      </c>
      <c r="B1612">
        <v>1115</v>
      </c>
      <c r="C1612">
        <v>10</v>
      </c>
      <c r="D1612">
        <v>2</v>
      </c>
      <c r="E1612" t="s">
        <v>152</v>
      </c>
      <c r="F1612" t="s">
        <v>153</v>
      </c>
      <c r="G1612" t="s">
        <v>154</v>
      </c>
      <c r="H1612">
        <v>1526007130</v>
      </c>
      <c r="I1612">
        <v>1000007419</v>
      </c>
      <c r="L1612" t="s">
        <v>381</v>
      </c>
      <c r="M1612">
        <v>5100001919</v>
      </c>
      <c r="N1612" t="s">
        <v>155</v>
      </c>
      <c r="O1612" t="s">
        <v>156</v>
      </c>
      <c r="P1612">
        <v>5500000930</v>
      </c>
      <c r="Q1612" t="s">
        <v>157</v>
      </c>
      <c r="R1612">
        <v>5356</v>
      </c>
      <c r="S1612" t="s">
        <v>158</v>
      </c>
      <c r="W1612">
        <v>1402010547</v>
      </c>
      <c r="X1612" t="s">
        <v>369</v>
      </c>
      <c r="Y1612" t="str">
        <f>VLOOKUP(W1612,Sheet4!$A$5:$B$72,2,0)</f>
        <v>FRONT MUDGAURD</v>
      </c>
      <c r="Z1612">
        <v>87082900</v>
      </c>
      <c r="AA1612">
        <v>65</v>
      </c>
      <c r="AB1612" t="s">
        <v>159</v>
      </c>
      <c r="AC1612">
        <v>108.65</v>
      </c>
      <c r="AD1612" t="s">
        <v>160</v>
      </c>
      <c r="AE1612" s="24">
        <v>7062.25</v>
      </c>
      <c r="AF1612">
        <v>0</v>
      </c>
      <c r="AG1612" s="24">
        <v>7062.25</v>
      </c>
      <c r="AH1612">
        <v>0</v>
      </c>
      <c r="AI1612">
        <v>0</v>
      </c>
      <c r="AJ1612">
        <v>0</v>
      </c>
      <c r="AK1612">
        <v>0</v>
      </c>
      <c r="AL1612" s="24">
        <v>7062.25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s="24">
        <v>7062.25</v>
      </c>
      <c r="AV1612">
        <v>0</v>
      </c>
      <c r="AW1612">
        <v>0</v>
      </c>
      <c r="AX1612">
        <v>311001</v>
      </c>
      <c r="AY1612" t="s">
        <v>370</v>
      </c>
      <c r="AZ1612">
        <v>1.75</v>
      </c>
      <c r="BA1612">
        <v>1.75</v>
      </c>
      <c r="BB1612">
        <v>0</v>
      </c>
      <c r="BC1612">
        <v>2000001019</v>
      </c>
      <c r="BD1612">
        <v>1402</v>
      </c>
      <c r="BE1612" t="s">
        <v>371</v>
      </c>
      <c r="BF1612" t="s">
        <v>163</v>
      </c>
      <c r="BG1612" t="s">
        <v>164</v>
      </c>
    </row>
    <row r="1613" spans="1:59">
      <c r="A1613">
        <v>1115</v>
      </c>
      <c r="B1613">
        <v>1115</v>
      </c>
      <c r="C1613">
        <v>10</v>
      </c>
      <c r="D1613">
        <v>2</v>
      </c>
      <c r="E1613" t="s">
        <v>152</v>
      </c>
      <c r="F1613" t="s">
        <v>153</v>
      </c>
      <c r="G1613" t="s">
        <v>154</v>
      </c>
      <c r="H1613">
        <v>1526007129</v>
      </c>
      <c r="I1613">
        <v>1000007418</v>
      </c>
      <c r="L1613" t="s">
        <v>381</v>
      </c>
      <c r="M1613">
        <v>5100001919</v>
      </c>
      <c r="N1613" t="s">
        <v>155</v>
      </c>
      <c r="O1613" t="s">
        <v>156</v>
      </c>
      <c r="P1613">
        <v>5500000930</v>
      </c>
      <c r="Q1613" t="s">
        <v>157</v>
      </c>
      <c r="R1613">
        <v>5356</v>
      </c>
      <c r="S1613" t="s">
        <v>158</v>
      </c>
      <c r="W1613">
        <v>1402010546</v>
      </c>
      <c r="X1613" t="s">
        <v>372</v>
      </c>
      <c r="Y1613" t="str">
        <f>VLOOKUP(W1613,Sheet4!$A$5:$B$72,2,0)</f>
        <v>FRONT MUDGAURD</v>
      </c>
      <c r="Z1613">
        <v>87082900</v>
      </c>
      <c r="AA1613">
        <v>65</v>
      </c>
      <c r="AB1613" t="s">
        <v>159</v>
      </c>
      <c r="AC1613">
        <v>108.65</v>
      </c>
      <c r="AD1613" t="s">
        <v>160</v>
      </c>
      <c r="AE1613" s="24">
        <v>7062.25</v>
      </c>
      <c r="AF1613">
        <v>0</v>
      </c>
      <c r="AG1613" s="24">
        <v>7062.25</v>
      </c>
      <c r="AH1613">
        <v>0</v>
      </c>
      <c r="AI1613">
        <v>0</v>
      </c>
      <c r="AJ1613">
        <v>0</v>
      </c>
      <c r="AK1613">
        <v>0</v>
      </c>
      <c r="AL1613" s="24">
        <v>7062.25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 s="24">
        <v>7062.25</v>
      </c>
      <c r="AV1613">
        <v>0</v>
      </c>
      <c r="AW1613">
        <v>0</v>
      </c>
      <c r="AX1613">
        <v>311001</v>
      </c>
      <c r="AY1613" t="s">
        <v>370</v>
      </c>
      <c r="AZ1613">
        <v>1.75</v>
      </c>
      <c r="BA1613">
        <v>1.75</v>
      </c>
      <c r="BB1613">
        <v>0</v>
      </c>
      <c r="BC1613">
        <v>2000001018</v>
      </c>
      <c r="BD1613">
        <v>1402</v>
      </c>
      <c r="BE1613" t="s">
        <v>371</v>
      </c>
      <c r="BF1613" t="s">
        <v>163</v>
      </c>
      <c r="BG1613" t="s">
        <v>164</v>
      </c>
    </row>
    <row r="1614" spans="1:59">
      <c r="A1614">
        <v>1115</v>
      </c>
      <c r="B1614">
        <v>1115</v>
      </c>
      <c r="C1614">
        <v>10</v>
      </c>
      <c r="D1614">
        <v>2</v>
      </c>
      <c r="E1614" t="s">
        <v>152</v>
      </c>
      <c r="F1614" t="s">
        <v>153</v>
      </c>
      <c r="G1614" t="s">
        <v>154</v>
      </c>
      <c r="H1614">
        <v>1526007128</v>
      </c>
      <c r="I1614">
        <v>1000007416</v>
      </c>
      <c r="L1614" t="s">
        <v>381</v>
      </c>
      <c r="M1614">
        <v>5100001407</v>
      </c>
      <c r="N1614" t="s">
        <v>155</v>
      </c>
      <c r="O1614" t="s">
        <v>156</v>
      </c>
      <c r="P1614">
        <v>4110019623</v>
      </c>
      <c r="Q1614" t="s">
        <v>188</v>
      </c>
      <c r="R1614">
        <v>5000</v>
      </c>
      <c r="S1614" t="s">
        <v>166</v>
      </c>
      <c r="V1614" t="s">
        <v>167</v>
      </c>
      <c r="W1614">
        <v>1502040216</v>
      </c>
      <c r="X1614" t="s">
        <v>64</v>
      </c>
      <c r="Y1614" t="str">
        <f>VLOOKUP(W1614,Sheet4!$A$5:$B$72,2,0)</f>
        <v>FRONT MUDGAURD</v>
      </c>
      <c r="Z1614">
        <v>87082900</v>
      </c>
      <c r="AA1614" s="24">
        <v>1280</v>
      </c>
      <c r="AB1614" t="s">
        <v>159</v>
      </c>
      <c r="AC1614">
        <v>174.11</v>
      </c>
      <c r="AD1614" t="s">
        <v>160</v>
      </c>
      <c r="AE1614" s="24">
        <v>222860.79999999999</v>
      </c>
      <c r="AF1614">
        <v>0</v>
      </c>
      <c r="AG1614" s="24">
        <v>222860.79999999999</v>
      </c>
      <c r="AH1614">
        <v>0</v>
      </c>
      <c r="AI1614">
        <v>0</v>
      </c>
      <c r="AJ1614">
        <v>0</v>
      </c>
      <c r="AK1614">
        <v>0</v>
      </c>
      <c r="AL1614" s="24">
        <v>222860.79999999999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 s="24">
        <v>222860.79999999999</v>
      </c>
      <c r="AV1614">
        <v>0</v>
      </c>
      <c r="AW1614">
        <v>0</v>
      </c>
      <c r="AX1614">
        <v>311000</v>
      </c>
      <c r="AY1614" t="s">
        <v>161</v>
      </c>
      <c r="AZ1614">
        <v>2.573</v>
      </c>
      <c r="BA1614">
        <v>1.4910000000000001</v>
      </c>
      <c r="BB1614">
        <v>1.0820000000000001</v>
      </c>
      <c r="BC1614" t="s">
        <v>189</v>
      </c>
      <c r="BD1614">
        <v>1511</v>
      </c>
      <c r="BE1614" t="s">
        <v>174</v>
      </c>
      <c r="BF1614">
        <v>5094245992</v>
      </c>
      <c r="BG1614" t="s">
        <v>381</v>
      </c>
    </row>
    <row r="1615" spans="1:59">
      <c r="A1615">
        <v>1115</v>
      </c>
      <c r="B1615">
        <v>1115</v>
      </c>
      <c r="C1615">
        <v>10</v>
      </c>
      <c r="D1615">
        <v>2</v>
      </c>
      <c r="E1615" t="s">
        <v>152</v>
      </c>
      <c r="F1615" t="s">
        <v>153</v>
      </c>
      <c r="G1615" t="s">
        <v>154</v>
      </c>
      <c r="H1615">
        <v>1526007127</v>
      </c>
      <c r="I1615">
        <v>1000007415</v>
      </c>
      <c r="L1615" t="s">
        <v>381</v>
      </c>
      <c r="M1615">
        <v>5100001928</v>
      </c>
      <c r="N1615" t="s">
        <v>155</v>
      </c>
      <c r="O1615" t="s">
        <v>156</v>
      </c>
      <c r="P1615">
        <v>4110057393</v>
      </c>
      <c r="Q1615" t="s">
        <v>192</v>
      </c>
      <c r="R1615">
        <v>5000</v>
      </c>
      <c r="S1615" t="s">
        <v>166</v>
      </c>
      <c r="V1615" t="s">
        <v>167</v>
      </c>
      <c r="W1615">
        <v>1502020122</v>
      </c>
      <c r="X1615" t="s">
        <v>70</v>
      </c>
      <c r="Y1615" t="str">
        <f>VLOOKUP(W1615,Sheet4!$A$5:$B$72,2,0)</f>
        <v>MAX UG NEW EV</v>
      </c>
      <c r="Z1615">
        <v>87082900</v>
      </c>
      <c r="AA1615">
        <v>10</v>
      </c>
      <c r="AB1615" t="s">
        <v>159</v>
      </c>
      <c r="AC1615" s="24">
        <v>9566.51</v>
      </c>
      <c r="AD1615" t="s">
        <v>160</v>
      </c>
      <c r="AE1615" s="24">
        <v>95665.1</v>
      </c>
      <c r="AF1615">
        <v>0</v>
      </c>
      <c r="AG1615" s="24">
        <v>95665.1</v>
      </c>
      <c r="AH1615">
        <v>0</v>
      </c>
      <c r="AI1615">
        <v>0</v>
      </c>
      <c r="AJ1615">
        <v>0</v>
      </c>
      <c r="AK1615">
        <v>0</v>
      </c>
      <c r="AL1615" s="24">
        <v>95665.1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 s="24">
        <v>95665.1</v>
      </c>
      <c r="AV1615">
        <v>0</v>
      </c>
      <c r="AW1615">
        <v>0</v>
      </c>
      <c r="AX1615">
        <v>311000</v>
      </c>
      <c r="AY1615" t="s">
        <v>161</v>
      </c>
      <c r="AZ1615">
        <v>0</v>
      </c>
      <c r="BA1615">
        <v>61</v>
      </c>
      <c r="BB1615">
        <v>-61</v>
      </c>
      <c r="BC1615" t="s">
        <v>193</v>
      </c>
      <c r="BD1615">
        <v>1509</v>
      </c>
      <c r="BE1615" t="s">
        <v>169</v>
      </c>
      <c r="BF1615">
        <v>5094249052</v>
      </c>
      <c r="BG1615" t="s">
        <v>381</v>
      </c>
    </row>
    <row r="1616" spans="1:59">
      <c r="A1616">
        <v>1115</v>
      </c>
      <c r="B1616">
        <v>1115</v>
      </c>
      <c r="C1616">
        <v>10</v>
      </c>
      <c r="D1616">
        <v>2</v>
      </c>
      <c r="E1616" t="s">
        <v>152</v>
      </c>
      <c r="F1616" t="s">
        <v>153</v>
      </c>
      <c r="G1616" t="s">
        <v>154</v>
      </c>
      <c r="H1616">
        <v>1526007126</v>
      </c>
      <c r="I1616">
        <v>1000007414</v>
      </c>
      <c r="L1616" t="s">
        <v>381</v>
      </c>
      <c r="M1616">
        <v>5100001928</v>
      </c>
      <c r="N1616" t="s">
        <v>155</v>
      </c>
      <c r="O1616" t="s">
        <v>156</v>
      </c>
      <c r="P1616">
        <v>4110057393</v>
      </c>
      <c r="Q1616" t="s">
        <v>192</v>
      </c>
      <c r="R1616">
        <v>5000</v>
      </c>
      <c r="S1616" t="s">
        <v>166</v>
      </c>
      <c r="V1616" t="s">
        <v>167</v>
      </c>
      <c r="W1616">
        <v>1502020122</v>
      </c>
      <c r="X1616" t="s">
        <v>70</v>
      </c>
      <c r="Y1616" t="str">
        <f>VLOOKUP(W1616,Sheet4!$A$5:$B$72,2,0)</f>
        <v>MAX UG NEW EV</v>
      </c>
      <c r="Z1616">
        <v>87082900</v>
      </c>
      <c r="AA1616">
        <v>10</v>
      </c>
      <c r="AB1616" t="s">
        <v>159</v>
      </c>
      <c r="AC1616" s="24">
        <v>9566.51</v>
      </c>
      <c r="AD1616" t="s">
        <v>160</v>
      </c>
      <c r="AE1616" s="24">
        <v>95665.1</v>
      </c>
      <c r="AF1616">
        <v>0</v>
      </c>
      <c r="AG1616" s="24">
        <v>95665.1</v>
      </c>
      <c r="AH1616">
        <v>0</v>
      </c>
      <c r="AI1616">
        <v>0</v>
      </c>
      <c r="AJ1616">
        <v>0</v>
      </c>
      <c r="AK1616">
        <v>0</v>
      </c>
      <c r="AL1616" s="24">
        <v>95665.1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 s="24">
        <v>95665.1</v>
      </c>
      <c r="AV1616">
        <v>0</v>
      </c>
      <c r="AW1616">
        <v>0</v>
      </c>
      <c r="AX1616">
        <v>311000</v>
      </c>
      <c r="AY1616" t="s">
        <v>161</v>
      </c>
      <c r="AZ1616">
        <v>0</v>
      </c>
      <c r="BA1616">
        <v>61</v>
      </c>
      <c r="BB1616">
        <v>-61</v>
      </c>
      <c r="BC1616" t="s">
        <v>193</v>
      </c>
      <c r="BD1616">
        <v>1509</v>
      </c>
      <c r="BE1616" t="s">
        <v>169</v>
      </c>
      <c r="BF1616">
        <v>5094247640</v>
      </c>
      <c r="BG1616" t="s">
        <v>381</v>
      </c>
    </row>
    <row r="1617" spans="1:59">
      <c r="A1617">
        <v>1115</v>
      </c>
      <c r="B1617">
        <v>1115</v>
      </c>
      <c r="C1617">
        <v>10</v>
      </c>
      <c r="D1617">
        <v>2</v>
      </c>
      <c r="E1617" t="s">
        <v>152</v>
      </c>
      <c r="F1617" t="s">
        <v>153</v>
      </c>
      <c r="G1617" t="s">
        <v>154</v>
      </c>
      <c r="H1617">
        <v>1526007125</v>
      </c>
      <c r="I1617">
        <v>1000007413</v>
      </c>
      <c r="L1617" t="s">
        <v>381</v>
      </c>
      <c r="M1617">
        <v>5100001928</v>
      </c>
      <c r="N1617" t="s">
        <v>155</v>
      </c>
      <c r="O1617" t="s">
        <v>156</v>
      </c>
      <c r="P1617">
        <v>4110057393</v>
      </c>
      <c r="Q1617" t="s">
        <v>192</v>
      </c>
      <c r="R1617">
        <v>5000</v>
      </c>
      <c r="S1617" t="s">
        <v>166</v>
      </c>
      <c r="V1617" t="s">
        <v>167</v>
      </c>
      <c r="W1617">
        <v>1502020122</v>
      </c>
      <c r="X1617" t="s">
        <v>70</v>
      </c>
      <c r="Y1617" t="str">
        <f>VLOOKUP(W1617,Sheet4!$A$5:$B$72,2,0)</f>
        <v>MAX UG NEW EV</v>
      </c>
      <c r="Z1617">
        <v>87082900</v>
      </c>
      <c r="AA1617">
        <v>10</v>
      </c>
      <c r="AB1617" t="s">
        <v>159</v>
      </c>
      <c r="AC1617" s="24">
        <v>9566.51</v>
      </c>
      <c r="AD1617" t="s">
        <v>160</v>
      </c>
      <c r="AE1617" s="24">
        <v>95665.1</v>
      </c>
      <c r="AF1617">
        <v>0</v>
      </c>
      <c r="AG1617" s="24">
        <v>95665.1</v>
      </c>
      <c r="AH1617">
        <v>0</v>
      </c>
      <c r="AI1617">
        <v>0</v>
      </c>
      <c r="AJ1617">
        <v>0</v>
      </c>
      <c r="AK1617">
        <v>0</v>
      </c>
      <c r="AL1617" s="24">
        <v>95665.1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 s="24">
        <v>95665.1</v>
      </c>
      <c r="AV1617">
        <v>0</v>
      </c>
      <c r="AW1617">
        <v>0</v>
      </c>
      <c r="AX1617">
        <v>311000</v>
      </c>
      <c r="AY1617" t="s">
        <v>161</v>
      </c>
      <c r="AZ1617">
        <v>0</v>
      </c>
      <c r="BA1617">
        <v>61</v>
      </c>
      <c r="BB1617">
        <v>-61</v>
      </c>
      <c r="BC1617" t="s">
        <v>193</v>
      </c>
      <c r="BD1617">
        <v>1509</v>
      </c>
      <c r="BE1617" t="s">
        <v>169</v>
      </c>
      <c r="BF1617">
        <v>5094247663</v>
      </c>
      <c r="BG1617" t="s">
        <v>381</v>
      </c>
    </row>
    <row r="1618" spans="1:59">
      <c r="A1618">
        <v>1115</v>
      </c>
      <c r="B1618">
        <v>1115</v>
      </c>
      <c r="C1618">
        <v>10</v>
      </c>
      <c r="D1618">
        <v>2</v>
      </c>
      <c r="E1618" t="s">
        <v>152</v>
      </c>
      <c r="F1618" t="s">
        <v>153</v>
      </c>
      <c r="G1618" t="s">
        <v>154</v>
      </c>
      <c r="H1618">
        <v>1526007124</v>
      </c>
      <c r="I1618">
        <v>1000007412</v>
      </c>
      <c r="L1618" t="s">
        <v>381</v>
      </c>
      <c r="M1618">
        <v>5100001603</v>
      </c>
      <c r="N1618" t="s">
        <v>155</v>
      </c>
      <c r="O1618" t="s">
        <v>156</v>
      </c>
      <c r="P1618">
        <v>4110025468</v>
      </c>
      <c r="Q1618" t="s">
        <v>165</v>
      </c>
      <c r="R1618">
        <v>5000</v>
      </c>
      <c r="S1618" t="s">
        <v>166</v>
      </c>
      <c r="V1618" t="s">
        <v>167</v>
      </c>
      <c r="W1618">
        <v>1502020102</v>
      </c>
      <c r="X1618" t="s">
        <v>58</v>
      </c>
      <c r="Y1618" t="str">
        <f>VLOOKUP(W1618,Sheet4!$A$5:$B$72,2,0)</f>
        <v>MAXIMA HD</v>
      </c>
      <c r="Z1618">
        <v>87082900</v>
      </c>
      <c r="AA1618">
        <v>8</v>
      </c>
      <c r="AB1618" t="s">
        <v>159</v>
      </c>
      <c r="AC1618" s="24">
        <v>8593.51</v>
      </c>
      <c r="AD1618" t="s">
        <v>160</v>
      </c>
      <c r="AE1618" s="24">
        <v>68748.08</v>
      </c>
      <c r="AF1618">
        <v>0</v>
      </c>
      <c r="AG1618" s="24">
        <v>68748.08</v>
      </c>
      <c r="AH1618">
        <v>0</v>
      </c>
      <c r="AI1618">
        <v>0</v>
      </c>
      <c r="AJ1618">
        <v>0</v>
      </c>
      <c r="AK1618">
        <v>0</v>
      </c>
      <c r="AL1618" s="24">
        <v>68748.08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 s="24">
        <v>68748.08</v>
      </c>
      <c r="AV1618">
        <v>0</v>
      </c>
      <c r="AW1618">
        <v>0</v>
      </c>
      <c r="AX1618">
        <v>311000</v>
      </c>
      <c r="AY1618" t="s">
        <v>161</v>
      </c>
      <c r="AZ1618">
        <v>93.34</v>
      </c>
      <c r="BA1618">
        <v>75.430000000000007</v>
      </c>
      <c r="BB1618">
        <v>17.91</v>
      </c>
      <c r="BC1618" t="s">
        <v>168</v>
      </c>
      <c r="BD1618">
        <v>1509</v>
      </c>
      <c r="BE1618" t="s">
        <v>169</v>
      </c>
      <c r="BF1618">
        <v>5094247662</v>
      </c>
      <c r="BG1618" t="s">
        <v>381</v>
      </c>
    </row>
    <row r="1619" spans="1:59">
      <c r="A1619">
        <v>1115</v>
      </c>
      <c r="B1619">
        <v>1115</v>
      </c>
      <c r="C1619">
        <v>10</v>
      </c>
      <c r="D1619">
        <v>2</v>
      </c>
      <c r="E1619" t="s">
        <v>152</v>
      </c>
      <c r="F1619" t="s">
        <v>153</v>
      </c>
      <c r="G1619" t="s">
        <v>154</v>
      </c>
      <c r="H1619">
        <v>1526007123</v>
      </c>
      <c r="I1619">
        <v>1000007411</v>
      </c>
      <c r="L1619" t="s">
        <v>381</v>
      </c>
      <c r="M1619">
        <v>5100001603</v>
      </c>
      <c r="N1619" t="s">
        <v>155</v>
      </c>
      <c r="O1619" t="s">
        <v>156</v>
      </c>
      <c r="P1619">
        <v>4110025468</v>
      </c>
      <c r="Q1619" t="s">
        <v>165</v>
      </c>
      <c r="R1619">
        <v>5000</v>
      </c>
      <c r="S1619" t="s">
        <v>166</v>
      </c>
      <c r="V1619" t="s">
        <v>167</v>
      </c>
      <c r="W1619">
        <v>1502020102</v>
      </c>
      <c r="X1619" t="s">
        <v>58</v>
      </c>
      <c r="Y1619" t="str">
        <f>VLOOKUP(W1619,Sheet4!$A$5:$B$72,2,0)</f>
        <v>MAXIMA HD</v>
      </c>
      <c r="Z1619">
        <v>87082900</v>
      </c>
      <c r="AA1619">
        <v>8</v>
      </c>
      <c r="AB1619" t="s">
        <v>159</v>
      </c>
      <c r="AC1619" s="24">
        <v>8593.51</v>
      </c>
      <c r="AD1619" t="s">
        <v>160</v>
      </c>
      <c r="AE1619" s="24">
        <v>68748.08</v>
      </c>
      <c r="AF1619">
        <v>0</v>
      </c>
      <c r="AG1619" s="24">
        <v>68748.08</v>
      </c>
      <c r="AH1619">
        <v>0</v>
      </c>
      <c r="AI1619">
        <v>0</v>
      </c>
      <c r="AJ1619">
        <v>0</v>
      </c>
      <c r="AK1619">
        <v>0</v>
      </c>
      <c r="AL1619" s="24">
        <v>68748.08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 s="24">
        <v>68748.08</v>
      </c>
      <c r="AV1619">
        <v>0</v>
      </c>
      <c r="AW1619">
        <v>0</v>
      </c>
      <c r="AX1619">
        <v>311000</v>
      </c>
      <c r="AY1619" t="s">
        <v>161</v>
      </c>
      <c r="AZ1619">
        <v>93.34</v>
      </c>
      <c r="BA1619">
        <v>75.430000000000007</v>
      </c>
      <c r="BB1619">
        <v>17.91</v>
      </c>
      <c r="BC1619" t="s">
        <v>168</v>
      </c>
      <c r="BD1619">
        <v>1509</v>
      </c>
      <c r="BE1619" t="s">
        <v>169</v>
      </c>
      <c r="BF1619">
        <v>5094249023</v>
      </c>
      <c r="BG1619" t="s">
        <v>381</v>
      </c>
    </row>
    <row r="1620" spans="1:59">
      <c r="A1620">
        <v>1115</v>
      </c>
      <c r="B1620">
        <v>1115</v>
      </c>
      <c r="C1620">
        <v>10</v>
      </c>
      <c r="D1620">
        <v>2</v>
      </c>
      <c r="E1620" t="s">
        <v>152</v>
      </c>
      <c r="F1620" t="s">
        <v>153</v>
      </c>
      <c r="G1620" t="s">
        <v>154</v>
      </c>
      <c r="H1620">
        <v>1526007122</v>
      </c>
      <c r="I1620">
        <v>1000007410</v>
      </c>
      <c r="L1620" t="s">
        <v>381</v>
      </c>
      <c r="M1620">
        <v>5100001603</v>
      </c>
      <c r="N1620" t="s">
        <v>155</v>
      </c>
      <c r="O1620" t="s">
        <v>156</v>
      </c>
      <c r="P1620">
        <v>4110025468</v>
      </c>
      <c r="Q1620" t="s">
        <v>165</v>
      </c>
      <c r="R1620">
        <v>5000</v>
      </c>
      <c r="S1620" t="s">
        <v>166</v>
      </c>
      <c r="V1620" t="s">
        <v>167</v>
      </c>
      <c r="W1620">
        <v>1502020102</v>
      </c>
      <c r="X1620" t="s">
        <v>58</v>
      </c>
      <c r="Y1620" t="str">
        <f>VLOOKUP(W1620,Sheet4!$A$5:$B$72,2,0)</f>
        <v>MAXIMA HD</v>
      </c>
      <c r="Z1620">
        <v>87082900</v>
      </c>
      <c r="AA1620">
        <v>8</v>
      </c>
      <c r="AB1620" t="s">
        <v>159</v>
      </c>
      <c r="AC1620" s="24">
        <v>8593.51</v>
      </c>
      <c r="AD1620" t="s">
        <v>160</v>
      </c>
      <c r="AE1620" s="24">
        <v>68748.08</v>
      </c>
      <c r="AF1620">
        <v>0</v>
      </c>
      <c r="AG1620" s="24">
        <v>68748.08</v>
      </c>
      <c r="AH1620">
        <v>0</v>
      </c>
      <c r="AI1620">
        <v>0</v>
      </c>
      <c r="AJ1620">
        <v>0</v>
      </c>
      <c r="AK1620">
        <v>0</v>
      </c>
      <c r="AL1620" s="24">
        <v>68748.08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 s="24">
        <v>68748.08</v>
      </c>
      <c r="AV1620">
        <v>0</v>
      </c>
      <c r="AW1620">
        <v>0</v>
      </c>
      <c r="AX1620">
        <v>311000</v>
      </c>
      <c r="AY1620" t="s">
        <v>161</v>
      </c>
      <c r="AZ1620">
        <v>93.34</v>
      </c>
      <c r="BA1620">
        <v>75.430000000000007</v>
      </c>
      <c r="BB1620">
        <v>17.91</v>
      </c>
      <c r="BC1620" t="s">
        <v>168</v>
      </c>
      <c r="BD1620">
        <v>1509</v>
      </c>
      <c r="BE1620" t="s">
        <v>169</v>
      </c>
      <c r="BF1620">
        <v>5094249278</v>
      </c>
      <c r="BG1620" t="s">
        <v>381</v>
      </c>
    </row>
    <row r="1621" spans="1:59">
      <c r="A1621">
        <v>1115</v>
      </c>
      <c r="B1621">
        <v>1115</v>
      </c>
      <c r="C1621">
        <v>10</v>
      </c>
      <c r="D1621">
        <v>2</v>
      </c>
      <c r="E1621" t="s">
        <v>152</v>
      </c>
      <c r="F1621" t="s">
        <v>153</v>
      </c>
      <c r="G1621" t="s">
        <v>154</v>
      </c>
      <c r="H1621">
        <v>1526007121</v>
      </c>
      <c r="I1621">
        <v>1000007409</v>
      </c>
      <c r="L1621" t="s">
        <v>381</v>
      </c>
      <c r="M1621">
        <v>5100001636</v>
      </c>
      <c r="N1621" t="s">
        <v>155</v>
      </c>
      <c r="O1621" t="s">
        <v>156</v>
      </c>
      <c r="P1621">
        <v>4110026445</v>
      </c>
      <c r="Q1621" t="s">
        <v>170</v>
      </c>
      <c r="R1621">
        <v>5000</v>
      </c>
      <c r="S1621" t="s">
        <v>166</v>
      </c>
      <c r="V1621" t="s">
        <v>167</v>
      </c>
      <c r="W1621">
        <v>1502020104</v>
      </c>
      <c r="X1621" t="s">
        <v>26</v>
      </c>
      <c r="Y1621" t="str">
        <f>VLOOKUP(W1621,Sheet4!$A$5:$B$72,2,0)</f>
        <v>RE STYLING</v>
      </c>
      <c r="Z1621">
        <v>87082900</v>
      </c>
      <c r="AA1621">
        <v>15</v>
      </c>
      <c r="AB1621" t="s">
        <v>159</v>
      </c>
      <c r="AC1621" s="24">
        <v>6585.55</v>
      </c>
      <c r="AD1621" t="s">
        <v>160</v>
      </c>
      <c r="AE1621" s="24">
        <v>98783.25</v>
      </c>
      <c r="AF1621">
        <v>0</v>
      </c>
      <c r="AG1621" s="24">
        <v>98783.25</v>
      </c>
      <c r="AH1621">
        <v>0</v>
      </c>
      <c r="AI1621">
        <v>0</v>
      </c>
      <c r="AJ1621">
        <v>0</v>
      </c>
      <c r="AK1621">
        <v>0</v>
      </c>
      <c r="AL1621" s="24">
        <v>98783.25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 s="24">
        <v>98783.25</v>
      </c>
      <c r="AV1621">
        <v>0</v>
      </c>
      <c r="AW1621">
        <v>0</v>
      </c>
      <c r="AX1621">
        <v>311000</v>
      </c>
      <c r="AY1621" t="s">
        <v>161</v>
      </c>
      <c r="AZ1621">
        <v>49.75</v>
      </c>
      <c r="BA1621">
        <v>49.75</v>
      </c>
      <c r="BB1621">
        <v>0</v>
      </c>
      <c r="BC1621" t="s">
        <v>171</v>
      </c>
      <c r="BD1621">
        <v>1509</v>
      </c>
      <c r="BE1621" t="s">
        <v>169</v>
      </c>
      <c r="BF1621">
        <v>5094249617</v>
      </c>
      <c r="BG1621" t="s">
        <v>381</v>
      </c>
    </row>
    <row r="1622" spans="1:59">
      <c r="A1622">
        <v>1115</v>
      </c>
      <c r="B1622">
        <v>1115</v>
      </c>
      <c r="C1622">
        <v>10</v>
      </c>
      <c r="D1622">
        <v>2</v>
      </c>
      <c r="E1622" t="s">
        <v>152</v>
      </c>
      <c r="F1622" t="s">
        <v>153</v>
      </c>
      <c r="G1622" t="s">
        <v>154</v>
      </c>
      <c r="H1622">
        <v>1526007120</v>
      </c>
      <c r="I1622">
        <v>1000007408</v>
      </c>
      <c r="L1622" t="s">
        <v>381</v>
      </c>
      <c r="M1622">
        <v>5100001636</v>
      </c>
      <c r="N1622" t="s">
        <v>155</v>
      </c>
      <c r="O1622" t="s">
        <v>156</v>
      </c>
      <c r="P1622">
        <v>4110026445</v>
      </c>
      <c r="Q1622" t="s">
        <v>170</v>
      </c>
      <c r="R1622">
        <v>5000</v>
      </c>
      <c r="S1622" t="s">
        <v>166</v>
      </c>
      <c r="V1622" t="s">
        <v>167</v>
      </c>
      <c r="W1622">
        <v>1502020104</v>
      </c>
      <c r="X1622" t="s">
        <v>26</v>
      </c>
      <c r="Y1622" t="str">
        <f>VLOOKUP(W1622,Sheet4!$A$5:$B$72,2,0)</f>
        <v>RE STYLING</v>
      </c>
      <c r="Z1622">
        <v>87082900</v>
      </c>
      <c r="AA1622">
        <v>15</v>
      </c>
      <c r="AB1622" t="s">
        <v>159</v>
      </c>
      <c r="AC1622" s="24">
        <v>6585.55</v>
      </c>
      <c r="AD1622" t="s">
        <v>160</v>
      </c>
      <c r="AE1622" s="24">
        <v>98783.25</v>
      </c>
      <c r="AF1622">
        <v>0</v>
      </c>
      <c r="AG1622" s="24">
        <v>98783.25</v>
      </c>
      <c r="AH1622">
        <v>0</v>
      </c>
      <c r="AI1622">
        <v>0</v>
      </c>
      <c r="AJ1622">
        <v>0</v>
      </c>
      <c r="AK1622">
        <v>0</v>
      </c>
      <c r="AL1622" s="24">
        <v>98783.25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 s="24">
        <v>98783.25</v>
      </c>
      <c r="AV1622">
        <v>0</v>
      </c>
      <c r="AW1622">
        <v>0</v>
      </c>
      <c r="AX1622">
        <v>311000</v>
      </c>
      <c r="AY1622" t="s">
        <v>161</v>
      </c>
      <c r="AZ1622">
        <v>49.75</v>
      </c>
      <c r="BA1622">
        <v>49.75</v>
      </c>
      <c r="BB1622">
        <v>0</v>
      </c>
      <c r="BC1622" t="s">
        <v>171</v>
      </c>
      <c r="BD1622">
        <v>1509</v>
      </c>
      <c r="BE1622" t="s">
        <v>169</v>
      </c>
      <c r="BF1622">
        <v>5094249616</v>
      </c>
      <c r="BG1622" t="s">
        <v>381</v>
      </c>
    </row>
    <row r="1623" spans="1:59">
      <c r="A1623">
        <v>1115</v>
      </c>
      <c r="B1623">
        <v>1115</v>
      </c>
      <c r="C1623">
        <v>10</v>
      </c>
      <c r="D1623">
        <v>2</v>
      </c>
      <c r="E1623" t="s">
        <v>152</v>
      </c>
      <c r="F1623" t="s">
        <v>153</v>
      </c>
      <c r="G1623" t="s">
        <v>154</v>
      </c>
      <c r="H1623">
        <v>1526007119</v>
      </c>
      <c r="I1623">
        <v>1000007407</v>
      </c>
      <c r="L1623" t="s">
        <v>381</v>
      </c>
      <c r="M1623">
        <v>5100001636</v>
      </c>
      <c r="N1623" t="s">
        <v>155</v>
      </c>
      <c r="O1623" t="s">
        <v>156</v>
      </c>
      <c r="P1623">
        <v>4110026445</v>
      </c>
      <c r="Q1623" t="s">
        <v>170</v>
      </c>
      <c r="R1623">
        <v>5000</v>
      </c>
      <c r="S1623" t="s">
        <v>166</v>
      </c>
      <c r="V1623" t="s">
        <v>167</v>
      </c>
      <c r="W1623">
        <v>1502020104</v>
      </c>
      <c r="X1623" t="s">
        <v>26</v>
      </c>
      <c r="Y1623" t="str">
        <f>VLOOKUP(W1623,Sheet4!$A$5:$B$72,2,0)</f>
        <v>RE STYLING</v>
      </c>
      <c r="Z1623">
        <v>87082900</v>
      </c>
      <c r="AA1623">
        <v>15</v>
      </c>
      <c r="AB1623" t="s">
        <v>159</v>
      </c>
      <c r="AC1623" s="24">
        <v>6585.55</v>
      </c>
      <c r="AD1623" t="s">
        <v>160</v>
      </c>
      <c r="AE1623" s="24">
        <v>98783.25</v>
      </c>
      <c r="AF1623">
        <v>0</v>
      </c>
      <c r="AG1623" s="24">
        <v>98783.25</v>
      </c>
      <c r="AH1623">
        <v>0</v>
      </c>
      <c r="AI1623">
        <v>0</v>
      </c>
      <c r="AJ1623">
        <v>0</v>
      </c>
      <c r="AK1623">
        <v>0</v>
      </c>
      <c r="AL1623" s="24">
        <v>98783.25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 s="24">
        <v>98783.25</v>
      </c>
      <c r="AV1623">
        <v>0</v>
      </c>
      <c r="AW1623">
        <v>0</v>
      </c>
      <c r="AX1623">
        <v>311000</v>
      </c>
      <c r="AY1623" t="s">
        <v>161</v>
      </c>
      <c r="AZ1623">
        <v>49.75</v>
      </c>
      <c r="BA1623">
        <v>49.75</v>
      </c>
      <c r="BB1623">
        <v>0</v>
      </c>
      <c r="BC1623" t="s">
        <v>171</v>
      </c>
      <c r="BD1623">
        <v>1509</v>
      </c>
      <c r="BE1623" t="s">
        <v>169</v>
      </c>
      <c r="BF1623">
        <v>5094249827</v>
      </c>
      <c r="BG1623" t="s">
        <v>381</v>
      </c>
    </row>
    <row r="1624" spans="1:59">
      <c r="A1624">
        <v>1115</v>
      </c>
      <c r="B1624">
        <v>1115</v>
      </c>
      <c r="C1624">
        <v>10</v>
      </c>
      <c r="D1624">
        <v>2</v>
      </c>
      <c r="E1624" t="s">
        <v>152</v>
      </c>
      <c r="F1624" t="s">
        <v>153</v>
      </c>
      <c r="G1624" t="s">
        <v>154</v>
      </c>
      <c r="H1624">
        <v>1526007071</v>
      </c>
      <c r="I1624">
        <v>1000007351</v>
      </c>
      <c r="L1624" t="s">
        <v>381</v>
      </c>
      <c r="M1624">
        <v>5200000318</v>
      </c>
      <c r="N1624" t="s">
        <v>304</v>
      </c>
      <c r="O1624" t="s">
        <v>305</v>
      </c>
      <c r="P1624">
        <v>4310001697</v>
      </c>
      <c r="Q1624" t="s">
        <v>177</v>
      </c>
      <c r="R1624">
        <v>5000</v>
      </c>
      <c r="S1624" t="s">
        <v>166</v>
      </c>
      <c r="V1624" t="s">
        <v>167</v>
      </c>
      <c r="W1624">
        <v>1502010023</v>
      </c>
      <c r="X1624" t="s">
        <v>382</v>
      </c>
      <c r="Y1624" t="str">
        <f>VLOOKUP(W1624,Sheet4!$A$5:$B$72,2,0)</f>
        <v>ENG BKT</v>
      </c>
      <c r="Z1624">
        <v>87082900</v>
      </c>
      <c r="AA1624">
        <v>240</v>
      </c>
      <c r="AB1624" t="s">
        <v>159</v>
      </c>
      <c r="AC1624">
        <v>132.82</v>
      </c>
      <c r="AD1624" t="s">
        <v>160</v>
      </c>
      <c r="AE1624" s="24">
        <v>31876.799999999999</v>
      </c>
      <c r="AF1624">
        <v>0</v>
      </c>
      <c r="AG1624" s="24">
        <v>31876.799999999999</v>
      </c>
      <c r="AH1624">
        <v>0</v>
      </c>
      <c r="AI1624">
        <v>0</v>
      </c>
      <c r="AJ1624">
        <v>0</v>
      </c>
      <c r="AK1624">
        <v>0</v>
      </c>
      <c r="AL1624" s="24">
        <v>31876.799999999999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 s="24">
        <v>31876.799999999999</v>
      </c>
      <c r="AV1624">
        <v>0</v>
      </c>
      <c r="AW1624">
        <v>0</v>
      </c>
      <c r="AX1624">
        <v>311000</v>
      </c>
      <c r="AY1624" t="s">
        <v>161</v>
      </c>
      <c r="AZ1624">
        <v>1.28</v>
      </c>
      <c r="BA1624">
        <v>1.28</v>
      </c>
      <c r="BB1624">
        <v>0</v>
      </c>
      <c r="BC1624" t="s">
        <v>383</v>
      </c>
      <c r="BD1624">
        <v>1508</v>
      </c>
      <c r="BE1624" t="s">
        <v>162</v>
      </c>
      <c r="BF1624">
        <v>5094237850</v>
      </c>
      <c r="BG1624" t="s">
        <v>381</v>
      </c>
    </row>
    <row r="1625" spans="1:59">
      <c r="A1625">
        <v>1115</v>
      </c>
      <c r="B1625">
        <v>1115</v>
      </c>
      <c r="C1625">
        <v>10</v>
      </c>
      <c r="D1625">
        <v>2</v>
      </c>
      <c r="E1625" t="s">
        <v>152</v>
      </c>
      <c r="F1625" t="s">
        <v>153</v>
      </c>
      <c r="G1625" t="s">
        <v>154</v>
      </c>
      <c r="H1625">
        <v>1526007022</v>
      </c>
      <c r="I1625">
        <v>1000007307</v>
      </c>
      <c r="L1625" t="s">
        <v>381</v>
      </c>
      <c r="M1625">
        <v>5100001636</v>
      </c>
      <c r="N1625" t="s">
        <v>155</v>
      </c>
      <c r="O1625" t="s">
        <v>156</v>
      </c>
      <c r="P1625">
        <v>4110026445</v>
      </c>
      <c r="Q1625" t="s">
        <v>170</v>
      </c>
      <c r="R1625">
        <v>5000</v>
      </c>
      <c r="S1625" t="s">
        <v>166</v>
      </c>
      <c r="V1625" t="s">
        <v>167</v>
      </c>
      <c r="W1625">
        <v>1502020104</v>
      </c>
      <c r="X1625" t="s">
        <v>26</v>
      </c>
      <c r="Y1625" t="str">
        <f>VLOOKUP(W1625,Sheet4!$A$5:$B$72,2,0)</f>
        <v>RE STYLING</v>
      </c>
      <c r="Z1625">
        <v>87082900</v>
      </c>
      <c r="AA1625">
        <v>15</v>
      </c>
      <c r="AB1625" t="s">
        <v>159</v>
      </c>
      <c r="AC1625" s="24">
        <v>6585.55</v>
      </c>
      <c r="AD1625" t="s">
        <v>160</v>
      </c>
      <c r="AE1625" s="24">
        <v>98783.25</v>
      </c>
      <c r="AF1625">
        <v>0</v>
      </c>
      <c r="AG1625" s="24">
        <v>98783.25</v>
      </c>
      <c r="AH1625">
        <v>0</v>
      </c>
      <c r="AI1625">
        <v>0</v>
      </c>
      <c r="AJ1625">
        <v>0</v>
      </c>
      <c r="AK1625">
        <v>0</v>
      </c>
      <c r="AL1625" s="24">
        <v>98783.25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 s="24">
        <v>98783.25</v>
      </c>
      <c r="AV1625">
        <v>0</v>
      </c>
      <c r="AW1625">
        <v>0</v>
      </c>
      <c r="AX1625">
        <v>311000</v>
      </c>
      <c r="AY1625" t="s">
        <v>161</v>
      </c>
      <c r="AZ1625">
        <v>49.75</v>
      </c>
      <c r="BA1625">
        <v>49.75</v>
      </c>
      <c r="BB1625">
        <v>0</v>
      </c>
      <c r="BC1625" t="s">
        <v>171</v>
      </c>
      <c r="BD1625">
        <v>1509</v>
      </c>
      <c r="BE1625" t="s">
        <v>169</v>
      </c>
      <c r="BF1625">
        <v>5094247179</v>
      </c>
      <c r="BG1625" t="s">
        <v>381</v>
      </c>
    </row>
    <row r="1626" spans="1:59">
      <c r="A1626">
        <v>1115</v>
      </c>
      <c r="B1626">
        <v>1115</v>
      </c>
      <c r="C1626">
        <v>10</v>
      </c>
      <c r="D1626">
        <v>2</v>
      </c>
      <c r="E1626" t="s">
        <v>152</v>
      </c>
      <c r="F1626" t="s">
        <v>153</v>
      </c>
      <c r="G1626" t="s">
        <v>154</v>
      </c>
      <c r="H1626">
        <v>1526007021</v>
      </c>
      <c r="I1626">
        <v>1000007306</v>
      </c>
      <c r="L1626" t="s">
        <v>381</v>
      </c>
      <c r="M1626">
        <v>5100001101</v>
      </c>
      <c r="N1626" t="s">
        <v>155</v>
      </c>
      <c r="O1626" t="s">
        <v>156</v>
      </c>
      <c r="P1626">
        <v>4110004653</v>
      </c>
      <c r="Q1626" t="s">
        <v>177</v>
      </c>
      <c r="R1626">
        <v>5000</v>
      </c>
      <c r="S1626" t="s">
        <v>166</v>
      </c>
      <c r="V1626" t="s">
        <v>167</v>
      </c>
      <c r="W1626">
        <v>1502040194</v>
      </c>
      <c r="X1626" t="s">
        <v>44</v>
      </c>
      <c r="Y1626" t="str">
        <f>VLOOKUP(W1626,Sheet4!$A$5:$B$72,2,0)</f>
        <v>CRADEL</v>
      </c>
      <c r="Z1626">
        <v>87082900</v>
      </c>
      <c r="AA1626">
        <v>48</v>
      </c>
      <c r="AB1626" t="s">
        <v>159</v>
      </c>
      <c r="AC1626">
        <v>956.92</v>
      </c>
      <c r="AD1626" t="s">
        <v>160</v>
      </c>
      <c r="AE1626" s="24">
        <v>45932.160000000003</v>
      </c>
      <c r="AF1626">
        <v>0</v>
      </c>
      <c r="AG1626" s="24">
        <v>45932.160000000003</v>
      </c>
      <c r="AH1626">
        <v>0</v>
      </c>
      <c r="AI1626">
        <v>0</v>
      </c>
      <c r="AJ1626">
        <v>0</v>
      </c>
      <c r="AK1626">
        <v>0</v>
      </c>
      <c r="AL1626" s="24">
        <v>45932.160000000003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 s="24">
        <v>45932.160000000003</v>
      </c>
      <c r="AV1626">
        <v>0</v>
      </c>
      <c r="AW1626">
        <v>0</v>
      </c>
      <c r="AX1626">
        <v>311000</v>
      </c>
      <c r="AY1626" t="s">
        <v>161</v>
      </c>
      <c r="AZ1626">
        <v>6.3769999999999998</v>
      </c>
      <c r="BA1626">
        <v>6.3769999999999998</v>
      </c>
      <c r="BB1626">
        <v>0</v>
      </c>
      <c r="BC1626" t="s">
        <v>184</v>
      </c>
      <c r="BD1626">
        <v>1511</v>
      </c>
      <c r="BE1626" t="s">
        <v>174</v>
      </c>
      <c r="BF1626">
        <v>5094242033</v>
      </c>
      <c r="BG1626" t="s">
        <v>381</v>
      </c>
    </row>
    <row r="1627" spans="1:59">
      <c r="A1627">
        <v>1115</v>
      </c>
      <c r="B1627">
        <v>1115</v>
      </c>
      <c r="C1627">
        <v>10</v>
      </c>
      <c r="D1627">
        <v>2</v>
      </c>
      <c r="E1627" t="s">
        <v>152</v>
      </c>
      <c r="F1627" t="s">
        <v>153</v>
      </c>
      <c r="G1627" t="s">
        <v>154</v>
      </c>
      <c r="H1627">
        <v>1526007020</v>
      </c>
      <c r="I1627">
        <v>1000007305</v>
      </c>
      <c r="L1627" t="s">
        <v>381</v>
      </c>
      <c r="M1627">
        <v>5100001101</v>
      </c>
      <c r="N1627" t="s">
        <v>155</v>
      </c>
      <c r="O1627" t="s">
        <v>156</v>
      </c>
      <c r="P1627">
        <v>4110004653</v>
      </c>
      <c r="Q1627" t="s">
        <v>177</v>
      </c>
      <c r="R1627">
        <v>5000</v>
      </c>
      <c r="S1627" t="s">
        <v>166</v>
      </c>
      <c r="V1627" t="s">
        <v>167</v>
      </c>
      <c r="W1627">
        <v>1502040194</v>
      </c>
      <c r="X1627" t="s">
        <v>44</v>
      </c>
      <c r="Y1627" t="str">
        <f>VLOOKUP(W1627,Sheet4!$A$5:$B$72,2,0)</f>
        <v>CRADEL</v>
      </c>
      <c r="Z1627">
        <v>87082900</v>
      </c>
      <c r="AA1627">
        <v>48</v>
      </c>
      <c r="AB1627" t="s">
        <v>159</v>
      </c>
      <c r="AC1627">
        <v>956.92</v>
      </c>
      <c r="AD1627" t="s">
        <v>160</v>
      </c>
      <c r="AE1627" s="24">
        <v>45932.160000000003</v>
      </c>
      <c r="AF1627">
        <v>0</v>
      </c>
      <c r="AG1627" s="24">
        <v>45932.160000000003</v>
      </c>
      <c r="AH1627">
        <v>0</v>
      </c>
      <c r="AI1627">
        <v>0</v>
      </c>
      <c r="AJ1627">
        <v>0</v>
      </c>
      <c r="AK1627">
        <v>0</v>
      </c>
      <c r="AL1627" s="24">
        <v>45932.160000000003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 s="24">
        <v>45932.160000000003</v>
      </c>
      <c r="AV1627">
        <v>0</v>
      </c>
      <c r="AW1627">
        <v>0</v>
      </c>
      <c r="AX1627">
        <v>311000</v>
      </c>
      <c r="AY1627" t="s">
        <v>161</v>
      </c>
      <c r="AZ1627">
        <v>6.3769999999999998</v>
      </c>
      <c r="BA1627">
        <v>6.3769999999999998</v>
      </c>
      <c r="BB1627">
        <v>0</v>
      </c>
      <c r="BC1627" t="s">
        <v>184</v>
      </c>
      <c r="BD1627">
        <v>1511</v>
      </c>
      <c r="BE1627" t="s">
        <v>174</v>
      </c>
      <c r="BF1627">
        <v>5094242666</v>
      </c>
      <c r="BG1627" t="s">
        <v>381</v>
      </c>
    </row>
    <row r="1628" spans="1:59">
      <c r="A1628">
        <v>1115</v>
      </c>
      <c r="B1628">
        <v>1115</v>
      </c>
      <c r="C1628">
        <v>10</v>
      </c>
      <c r="D1628">
        <v>2</v>
      </c>
      <c r="E1628" t="s">
        <v>152</v>
      </c>
      <c r="F1628" t="s">
        <v>153</v>
      </c>
      <c r="G1628" t="s">
        <v>154</v>
      </c>
      <c r="H1628">
        <v>1526007019</v>
      </c>
      <c r="I1628">
        <v>1000007304</v>
      </c>
      <c r="L1628" t="s">
        <v>381</v>
      </c>
      <c r="M1628">
        <v>5100001101</v>
      </c>
      <c r="N1628" t="s">
        <v>155</v>
      </c>
      <c r="O1628" t="s">
        <v>156</v>
      </c>
      <c r="P1628">
        <v>4110004653</v>
      </c>
      <c r="Q1628" t="s">
        <v>177</v>
      </c>
      <c r="R1628">
        <v>5000</v>
      </c>
      <c r="S1628" t="s">
        <v>166</v>
      </c>
      <c r="V1628" t="s">
        <v>167</v>
      </c>
      <c r="W1628">
        <v>1502040194</v>
      </c>
      <c r="X1628" t="s">
        <v>44</v>
      </c>
      <c r="Y1628" t="str">
        <f>VLOOKUP(W1628,Sheet4!$A$5:$B$72,2,0)</f>
        <v>CRADEL</v>
      </c>
      <c r="Z1628">
        <v>87082900</v>
      </c>
      <c r="AA1628">
        <v>48</v>
      </c>
      <c r="AB1628" t="s">
        <v>159</v>
      </c>
      <c r="AC1628">
        <v>956.92</v>
      </c>
      <c r="AD1628" t="s">
        <v>160</v>
      </c>
      <c r="AE1628" s="24">
        <v>45932.160000000003</v>
      </c>
      <c r="AF1628">
        <v>0</v>
      </c>
      <c r="AG1628" s="24">
        <v>45932.160000000003</v>
      </c>
      <c r="AH1628">
        <v>0</v>
      </c>
      <c r="AI1628">
        <v>0</v>
      </c>
      <c r="AJ1628">
        <v>0</v>
      </c>
      <c r="AK1628">
        <v>0</v>
      </c>
      <c r="AL1628" s="24">
        <v>45932.160000000003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 s="24">
        <v>45932.160000000003</v>
      </c>
      <c r="AV1628">
        <v>0</v>
      </c>
      <c r="AW1628">
        <v>0</v>
      </c>
      <c r="AX1628">
        <v>311000</v>
      </c>
      <c r="AY1628" t="s">
        <v>161</v>
      </c>
      <c r="AZ1628">
        <v>6.3769999999999998</v>
      </c>
      <c r="BA1628">
        <v>6.3769999999999998</v>
      </c>
      <c r="BB1628">
        <v>0</v>
      </c>
      <c r="BC1628" t="s">
        <v>184</v>
      </c>
      <c r="BD1628">
        <v>1511</v>
      </c>
      <c r="BE1628" t="s">
        <v>174</v>
      </c>
      <c r="BF1628">
        <v>5094234512</v>
      </c>
      <c r="BG1628" t="s">
        <v>381</v>
      </c>
    </row>
    <row r="1629" spans="1:59">
      <c r="A1629">
        <v>1115</v>
      </c>
      <c r="B1629">
        <v>1115</v>
      </c>
      <c r="C1629">
        <v>10</v>
      </c>
      <c r="D1629">
        <v>2</v>
      </c>
      <c r="E1629" t="s">
        <v>152</v>
      </c>
      <c r="F1629" t="s">
        <v>153</v>
      </c>
      <c r="G1629" t="s">
        <v>154</v>
      </c>
      <c r="H1629">
        <v>1526007018</v>
      </c>
      <c r="I1629">
        <v>1000007303</v>
      </c>
      <c r="L1629" t="s">
        <v>381</v>
      </c>
      <c r="M1629">
        <v>5100001603</v>
      </c>
      <c r="N1629" t="s">
        <v>155</v>
      </c>
      <c r="O1629" t="s">
        <v>156</v>
      </c>
      <c r="P1629">
        <v>4110025468</v>
      </c>
      <c r="Q1629" t="s">
        <v>165</v>
      </c>
      <c r="R1629">
        <v>5000</v>
      </c>
      <c r="S1629" t="s">
        <v>166</v>
      </c>
      <c r="V1629" t="s">
        <v>167</v>
      </c>
      <c r="W1629">
        <v>1502020102</v>
      </c>
      <c r="X1629" t="s">
        <v>58</v>
      </c>
      <c r="Y1629" t="str">
        <f>VLOOKUP(W1629,Sheet4!$A$5:$B$72,2,0)</f>
        <v>MAXIMA HD</v>
      </c>
      <c r="Z1629">
        <v>87082900</v>
      </c>
      <c r="AA1629">
        <v>8</v>
      </c>
      <c r="AB1629" t="s">
        <v>159</v>
      </c>
      <c r="AC1629" s="24">
        <v>8593.51</v>
      </c>
      <c r="AD1629" t="s">
        <v>160</v>
      </c>
      <c r="AE1629" s="24">
        <v>68748.08</v>
      </c>
      <c r="AF1629">
        <v>0</v>
      </c>
      <c r="AG1629" s="24">
        <v>68748.08</v>
      </c>
      <c r="AH1629">
        <v>0</v>
      </c>
      <c r="AI1629">
        <v>0</v>
      </c>
      <c r="AJ1629">
        <v>0</v>
      </c>
      <c r="AK1629">
        <v>0</v>
      </c>
      <c r="AL1629" s="24">
        <v>68748.08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 s="24">
        <v>68748.08</v>
      </c>
      <c r="AV1629">
        <v>0</v>
      </c>
      <c r="AW1629">
        <v>0</v>
      </c>
      <c r="AX1629">
        <v>311000</v>
      </c>
      <c r="AY1629" t="s">
        <v>161</v>
      </c>
      <c r="AZ1629">
        <v>93.34</v>
      </c>
      <c r="BA1629">
        <v>75.430000000000007</v>
      </c>
      <c r="BB1629">
        <v>17.91</v>
      </c>
      <c r="BC1629" t="s">
        <v>168</v>
      </c>
      <c r="BD1629">
        <v>1509</v>
      </c>
      <c r="BE1629" t="s">
        <v>169</v>
      </c>
      <c r="BF1629">
        <v>5094247517</v>
      </c>
      <c r="BG1629" t="s">
        <v>381</v>
      </c>
    </row>
    <row r="1630" spans="1:59">
      <c r="A1630">
        <v>1115</v>
      </c>
      <c r="B1630">
        <v>1115</v>
      </c>
      <c r="C1630">
        <v>10</v>
      </c>
      <c r="D1630">
        <v>2</v>
      </c>
      <c r="E1630" t="s">
        <v>152</v>
      </c>
      <c r="F1630" t="s">
        <v>153</v>
      </c>
      <c r="G1630" t="s">
        <v>154</v>
      </c>
      <c r="H1630">
        <v>1526007016</v>
      </c>
      <c r="I1630">
        <v>1000007302</v>
      </c>
      <c r="L1630" t="s">
        <v>381</v>
      </c>
      <c r="M1630">
        <v>5100001603</v>
      </c>
      <c r="N1630" t="s">
        <v>155</v>
      </c>
      <c r="O1630" t="s">
        <v>156</v>
      </c>
      <c r="P1630">
        <v>4110025468</v>
      </c>
      <c r="Q1630" t="s">
        <v>165</v>
      </c>
      <c r="R1630">
        <v>5000</v>
      </c>
      <c r="S1630" t="s">
        <v>166</v>
      </c>
      <c r="V1630" t="s">
        <v>167</v>
      </c>
      <c r="W1630">
        <v>1502020102</v>
      </c>
      <c r="X1630" t="s">
        <v>58</v>
      </c>
      <c r="Y1630" t="str">
        <f>VLOOKUP(W1630,Sheet4!$A$5:$B$72,2,0)</f>
        <v>MAXIMA HD</v>
      </c>
      <c r="Z1630">
        <v>87082900</v>
      </c>
      <c r="AA1630">
        <v>8</v>
      </c>
      <c r="AB1630" t="s">
        <v>159</v>
      </c>
      <c r="AC1630" s="24">
        <v>8593.51</v>
      </c>
      <c r="AD1630" t="s">
        <v>160</v>
      </c>
      <c r="AE1630" s="24">
        <v>68748.08</v>
      </c>
      <c r="AF1630">
        <v>0</v>
      </c>
      <c r="AG1630" s="24">
        <v>68748.08</v>
      </c>
      <c r="AH1630">
        <v>0</v>
      </c>
      <c r="AI1630">
        <v>0</v>
      </c>
      <c r="AJ1630">
        <v>0</v>
      </c>
      <c r="AK1630">
        <v>0</v>
      </c>
      <c r="AL1630" s="24">
        <v>68748.08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 s="24">
        <v>68748.08</v>
      </c>
      <c r="AV1630">
        <v>0</v>
      </c>
      <c r="AW1630">
        <v>0</v>
      </c>
      <c r="AX1630">
        <v>311000</v>
      </c>
      <c r="AY1630" t="s">
        <v>161</v>
      </c>
      <c r="AZ1630">
        <v>93.34</v>
      </c>
      <c r="BA1630">
        <v>75.430000000000007</v>
      </c>
      <c r="BB1630">
        <v>17.91</v>
      </c>
      <c r="BC1630" t="s">
        <v>168</v>
      </c>
      <c r="BD1630">
        <v>1509</v>
      </c>
      <c r="BE1630" t="s">
        <v>169</v>
      </c>
      <c r="BF1630">
        <v>5094234835</v>
      </c>
      <c r="BG1630" t="s">
        <v>381</v>
      </c>
    </row>
    <row r="1631" spans="1:59">
      <c r="A1631">
        <v>1115</v>
      </c>
      <c r="B1631">
        <v>1115</v>
      </c>
      <c r="C1631">
        <v>10</v>
      </c>
      <c r="D1631">
        <v>2</v>
      </c>
      <c r="E1631" t="s">
        <v>152</v>
      </c>
      <c r="F1631" t="s">
        <v>153</v>
      </c>
      <c r="G1631" t="s">
        <v>154</v>
      </c>
      <c r="H1631">
        <v>1526007015</v>
      </c>
      <c r="I1631">
        <v>1000007301</v>
      </c>
      <c r="L1631" t="s">
        <v>381</v>
      </c>
      <c r="M1631">
        <v>5100001588</v>
      </c>
      <c r="N1631" t="s">
        <v>155</v>
      </c>
      <c r="O1631" t="s">
        <v>156</v>
      </c>
      <c r="P1631">
        <v>4110025058</v>
      </c>
      <c r="Q1631" t="s">
        <v>180</v>
      </c>
      <c r="R1631">
        <v>5000</v>
      </c>
      <c r="S1631" t="s">
        <v>166</v>
      </c>
      <c r="V1631" t="s">
        <v>167</v>
      </c>
      <c r="W1631">
        <v>1502040235</v>
      </c>
      <c r="X1631" t="s">
        <v>47</v>
      </c>
      <c r="Y1631" t="str">
        <f>VLOOKUP(W1631,Sheet4!$A$5:$B$72,2,0)</f>
        <v>STARTING HANDLE</v>
      </c>
      <c r="Z1631">
        <v>87082900</v>
      </c>
      <c r="AA1631">
        <v>540</v>
      </c>
      <c r="AB1631" t="s">
        <v>159</v>
      </c>
      <c r="AC1631">
        <v>217.33</v>
      </c>
      <c r="AD1631" t="s">
        <v>160</v>
      </c>
      <c r="AE1631" s="24">
        <v>117358.2</v>
      </c>
      <c r="AF1631">
        <v>0</v>
      </c>
      <c r="AG1631" s="24">
        <v>117358.2</v>
      </c>
      <c r="AH1631">
        <v>0</v>
      </c>
      <c r="AI1631">
        <v>0</v>
      </c>
      <c r="AJ1631">
        <v>0</v>
      </c>
      <c r="AK1631">
        <v>0</v>
      </c>
      <c r="AL1631" s="24">
        <v>117358.2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 s="24">
        <v>117358.2</v>
      </c>
      <c r="AV1631">
        <v>0</v>
      </c>
      <c r="AW1631">
        <v>0</v>
      </c>
      <c r="AX1631">
        <v>311000</v>
      </c>
      <c r="AY1631" t="s">
        <v>161</v>
      </c>
      <c r="AZ1631">
        <v>1.19</v>
      </c>
      <c r="BA1631">
        <v>1.19</v>
      </c>
      <c r="BB1631">
        <v>0</v>
      </c>
      <c r="BC1631" t="s">
        <v>181</v>
      </c>
      <c r="BD1631">
        <v>1511</v>
      </c>
      <c r="BE1631" t="s">
        <v>174</v>
      </c>
      <c r="BF1631">
        <v>5094240696</v>
      </c>
      <c r="BG1631" t="s">
        <v>381</v>
      </c>
    </row>
    <row r="1632" spans="1:59">
      <c r="A1632">
        <v>1115</v>
      </c>
      <c r="B1632">
        <v>1115</v>
      </c>
      <c r="C1632">
        <v>10</v>
      </c>
      <c r="D1632">
        <v>2</v>
      </c>
      <c r="E1632" t="s">
        <v>152</v>
      </c>
      <c r="F1632" t="s">
        <v>153</v>
      </c>
      <c r="G1632" t="s">
        <v>154</v>
      </c>
      <c r="H1632">
        <v>1526007014</v>
      </c>
      <c r="I1632">
        <v>1000007300</v>
      </c>
      <c r="L1632" t="s">
        <v>381</v>
      </c>
      <c r="M1632">
        <v>5100001099</v>
      </c>
      <c r="N1632" t="s">
        <v>155</v>
      </c>
      <c r="O1632" t="s">
        <v>156</v>
      </c>
      <c r="P1632">
        <v>4110004650</v>
      </c>
      <c r="Q1632" t="s">
        <v>177</v>
      </c>
      <c r="R1632">
        <v>5000</v>
      </c>
      <c r="S1632" t="s">
        <v>166</v>
      </c>
      <c r="V1632" t="s">
        <v>167</v>
      </c>
      <c r="W1632">
        <v>1502040127</v>
      </c>
      <c r="X1632" t="s">
        <v>307</v>
      </c>
      <c r="Y1632" t="str">
        <f>VLOOKUP(W1632,Sheet4!$A$5:$B$72,2,0)</f>
        <v>ENG BKT</v>
      </c>
      <c r="Z1632">
        <v>87141090</v>
      </c>
      <c r="AA1632">
        <v>84</v>
      </c>
      <c r="AB1632" t="s">
        <v>159</v>
      </c>
      <c r="AC1632">
        <v>266.62</v>
      </c>
      <c r="AD1632" t="s">
        <v>160</v>
      </c>
      <c r="AE1632" s="24">
        <v>22396.080000000002</v>
      </c>
      <c r="AF1632">
        <v>0</v>
      </c>
      <c r="AG1632" s="24">
        <v>22396.080000000002</v>
      </c>
      <c r="AH1632">
        <v>0</v>
      </c>
      <c r="AI1632">
        <v>0</v>
      </c>
      <c r="AJ1632">
        <v>0</v>
      </c>
      <c r="AK1632">
        <v>0</v>
      </c>
      <c r="AL1632" s="24">
        <v>22396.080000000002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 s="24">
        <v>22396.080000000002</v>
      </c>
      <c r="AV1632">
        <v>0</v>
      </c>
      <c r="AW1632">
        <v>0</v>
      </c>
      <c r="AX1632">
        <v>311000</v>
      </c>
      <c r="AY1632" t="s">
        <v>161</v>
      </c>
      <c r="AZ1632">
        <v>1.31</v>
      </c>
      <c r="BA1632">
        <v>1.31</v>
      </c>
      <c r="BB1632">
        <v>0</v>
      </c>
      <c r="BC1632" t="s">
        <v>308</v>
      </c>
      <c r="BD1632">
        <v>1511</v>
      </c>
      <c r="BE1632" t="s">
        <v>174</v>
      </c>
      <c r="BF1632">
        <v>5094233544</v>
      </c>
      <c r="BG1632" t="s">
        <v>381</v>
      </c>
    </row>
    <row r="1633" spans="1:59">
      <c r="A1633">
        <v>1115</v>
      </c>
      <c r="B1633">
        <v>1115</v>
      </c>
      <c r="C1633">
        <v>10</v>
      </c>
      <c r="D1633">
        <v>2</v>
      </c>
      <c r="E1633" t="s">
        <v>152</v>
      </c>
      <c r="F1633" t="s">
        <v>153</v>
      </c>
      <c r="G1633" t="s">
        <v>154</v>
      </c>
      <c r="H1633">
        <v>1526007013</v>
      </c>
      <c r="I1633">
        <v>1000007299</v>
      </c>
      <c r="L1633" t="s">
        <v>381</v>
      </c>
      <c r="M1633">
        <v>5100001603</v>
      </c>
      <c r="N1633" t="s">
        <v>155</v>
      </c>
      <c r="O1633" t="s">
        <v>156</v>
      </c>
      <c r="P1633">
        <v>4110025468</v>
      </c>
      <c r="Q1633" t="s">
        <v>165</v>
      </c>
      <c r="R1633">
        <v>5000</v>
      </c>
      <c r="S1633" t="s">
        <v>166</v>
      </c>
      <c r="V1633" t="s">
        <v>167</v>
      </c>
      <c r="W1633">
        <v>1502020102</v>
      </c>
      <c r="X1633" t="s">
        <v>58</v>
      </c>
      <c r="Y1633" t="str">
        <f>VLOOKUP(W1633,Sheet4!$A$5:$B$72,2,0)</f>
        <v>MAXIMA HD</v>
      </c>
      <c r="Z1633">
        <v>87082900</v>
      </c>
      <c r="AA1633">
        <v>8</v>
      </c>
      <c r="AB1633" t="s">
        <v>159</v>
      </c>
      <c r="AC1633" s="24">
        <v>8593.51</v>
      </c>
      <c r="AD1633" t="s">
        <v>160</v>
      </c>
      <c r="AE1633" s="24">
        <v>68748.08</v>
      </c>
      <c r="AF1633">
        <v>0</v>
      </c>
      <c r="AG1633" s="24">
        <v>68748.08</v>
      </c>
      <c r="AH1633">
        <v>0</v>
      </c>
      <c r="AI1633">
        <v>0</v>
      </c>
      <c r="AJ1633">
        <v>0</v>
      </c>
      <c r="AK1633">
        <v>0</v>
      </c>
      <c r="AL1633" s="24">
        <v>68748.08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 s="24">
        <v>68748.08</v>
      </c>
      <c r="AV1633">
        <v>0</v>
      </c>
      <c r="AW1633">
        <v>0</v>
      </c>
      <c r="AX1633">
        <v>311000</v>
      </c>
      <c r="AY1633" t="s">
        <v>161</v>
      </c>
      <c r="AZ1633">
        <v>93.34</v>
      </c>
      <c r="BA1633">
        <v>75.430000000000007</v>
      </c>
      <c r="BB1633">
        <v>17.91</v>
      </c>
      <c r="BC1633" t="s">
        <v>168</v>
      </c>
      <c r="BD1633">
        <v>1509</v>
      </c>
      <c r="BE1633" t="s">
        <v>169</v>
      </c>
      <c r="BF1633">
        <v>5094242631</v>
      </c>
      <c r="BG1633" t="s">
        <v>381</v>
      </c>
    </row>
    <row r="1634" spans="1:59">
      <c r="A1634">
        <v>1115</v>
      </c>
      <c r="B1634">
        <v>1115</v>
      </c>
      <c r="C1634">
        <v>10</v>
      </c>
      <c r="D1634">
        <v>2</v>
      </c>
      <c r="E1634" t="s">
        <v>152</v>
      </c>
      <c r="F1634" t="s">
        <v>153</v>
      </c>
      <c r="G1634" t="s">
        <v>154</v>
      </c>
      <c r="H1634">
        <v>1526007012</v>
      </c>
      <c r="I1634">
        <v>1000007298</v>
      </c>
      <c r="L1634" t="s">
        <v>381</v>
      </c>
      <c r="M1634">
        <v>5100001603</v>
      </c>
      <c r="N1634" t="s">
        <v>155</v>
      </c>
      <c r="O1634" t="s">
        <v>156</v>
      </c>
      <c r="P1634">
        <v>4110025468</v>
      </c>
      <c r="Q1634" t="s">
        <v>165</v>
      </c>
      <c r="R1634">
        <v>5000</v>
      </c>
      <c r="S1634" t="s">
        <v>166</v>
      </c>
      <c r="V1634" t="s">
        <v>167</v>
      </c>
      <c r="W1634">
        <v>1502020102</v>
      </c>
      <c r="X1634" t="s">
        <v>58</v>
      </c>
      <c r="Y1634" t="str">
        <f>VLOOKUP(W1634,Sheet4!$A$5:$B$72,2,0)</f>
        <v>MAXIMA HD</v>
      </c>
      <c r="Z1634">
        <v>87082900</v>
      </c>
      <c r="AA1634">
        <v>4</v>
      </c>
      <c r="AB1634" t="s">
        <v>159</v>
      </c>
      <c r="AC1634" s="24">
        <v>8593.51</v>
      </c>
      <c r="AD1634" t="s">
        <v>160</v>
      </c>
      <c r="AE1634" s="24">
        <v>34374.04</v>
      </c>
      <c r="AF1634">
        <v>0</v>
      </c>
      <c r="AG1634" s="24">
        <v>34374.04</v>
      </c>
      <c r="AH1634">
        <v>0</v>
      </c>
      <c r="AI1634">
        <v>0</v>
      </c>
      <c r="AJ1634">
        <v>0</v>
      </c>
      <c r="AK1634">
        <v>0</v>
      </c>
      <c r="AL1634" s="24">
        <v>34374.04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 s="24">
        <v>34374.04</v>
      </c>
      <c r="AV1634">
        <v>0</v>
      </c>
      <c r="AW1634">
        <v>0</v>
      </c>
      <c r="AX1634">
        <v>311000</v>
      </c>
      <c r="AY1634" t="s">
        <v>161</v>
      </c>
      <c r="AZ1634">
        <v>93.34</v>
      </c>
      <c r="BA1634">
        <v>75.430000000000007</v>
      </c>
      <c r="BB1634">
        <v>17.91</v>
      </c>
      <c r="BC1634" t="s">
        <v>168</v>
      </c>
      <c r="BD1634">
        <v>1509</v>
      </c>
      <c r="BE1634" t="s">
        <v>169</v>
      </c>
      <c r="BF1634">
        <v>5094232248</v>
      </c>
      <c r="BG1634" t="s">
        <v>381</v>
      </c>
    </row>
    <row r="1635" spans="1:59">
      <c r="A1635">
        <v>1115</v>
      </c>
      <c r="B1635">
        <v>1115</v>
      </c>
      <c r="C1635">
        <v>10</v>
      </c>
      <c r="D1635">
        <v>2</v>
      </c>
      <c r="E1635" t="s">
        <v>152</v>
      </c>
      <c r="F1635" t="s">
        <v>153</v>
      </c>
      <c r="G1635" t="s">
        <v>154</v>
      </c>
      <c r="H1635">
        <v>1526007011</v>
      </c>
      <c r="I1635">
        <v>1000007297</v>
      </c>
      <c r="L1635" t="s">
        <v>381</v>
      </c>
      <c r="M1635">
        <v>5100001636</v>
      </c>
      <c r="N1635" t="s">
        <v>155</v>
      </c>
      <c r="O1635" t="s">
        <v>156</v>
      </c>
      <c r="P1635">
        <v>4110026445</v>
      </c>
      <c r="Q1635" t="s">
        <v>170</v>
      </c>
      <c r="R1635">
        <v>5000</v>
      </c>
      <c r="S1635" t="s">
        <v>166</v>
      </c>
      <c r="V1635" t="s">
        <v>167</v>
      </c>
      <c r="W1635">
        <v>1502020104</v>
      </c>
      <c r="X1635" t="s">
        <v>26</v>
      </c>
      <c r="Y1635" t="str">
        <f>VLOOKUP(W1635,Sheet4!$A$5:$B$72,2,0)</f>
        <v>RE STYLING</v>
      </c>
      <c r="Z1635">
        <v>87082900</v>
      </c>
      <c r="AA1635">
        <v>15</v>
      </c>
      <c r="AB1635" t="s">
        <v>159</v>
      </c>
      <c r="AC1635" s="24">
        <v>6585.55</v>
      </c>
      <c r="AD1635" t="s">
        <v>160</v>
      </c>
      <c r="AE1635" s="24">
        <v>98783.25</v>
      </c>
      <c r="AF1635">
        <v>0</v>
      </c>
      <c r="AG1635" s="24">
        <v>98783.25</v>
      </c>
      <c r="AH1635">
        <v>0</v>
      </c>
      <c r="AI1635">
        <v>0</v>
      </c>
      <c r="AJ1635">
        <v>0</v>
      </c>
      <c r="AK1635">
        <v>0</v>
      </c>
      <c r="AL1635" s="24">
        <v>98783.25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 s="24">
        <v>98783.25</v>
      </c>
      <c r="AV1635">
        <v>0</v>
      </c>
      <c r="AW1635">
        <v>0</v>
      </c>
      <c r="AX1635">
        <v>311000</v>
      </c>
      <c r="AY1635" t="s">
        <v>161</v>
      </c>
      <c r="AZ1635">
        <v>49.75</v>
      </c>
      <c r="BA1635">
        <v>49.75</v>
      </c>
      <c r="BB1635">
        <v>0</v>
      </c>
      <c r="BC1635" t="s">
        <v>171</v>
      </c>
      <c r="BD1635">
        <v>1509</v>
      </c>
      <c r="BE1635" t="s">
        <v>169</v>
      </c>
      <c r="BF1635">
        <v>5094238205</v>
      </c>
      <c r="BG1635" t="s">
        <v>381</v>
      </c>
    </row>
    <row r="1636" spans="1:59">
      <c r="A1636">
        <v>1115</v>
      </c>
      <c r="B1636">
        <v>1115</v>
      </c>
      <c r="C1636">
        <v>10</v>
      </c>
      <c r="D1636">
        <v>2</v>
      </c>
      <c r="E1636" t="s">
        <v>152</v>
      </c>
      <c r="F1636" t="s">
        <v>153</v>
      </c>
      <c r="G1636" t="s">
        <v>154</v>
      </c>
      <c r="H1636">
        <v>1526007010</v>
      </c>
      <c r="I1636">
        <v>1000007296</v>
      </c>
      <c r="L1636" t="s">
        <v>381</v>
      </c>
      <c r="M1636">
        <v>5100001636</v>
      </c>
      <c r="N1636" t="s">
        <v>155</v>
      </c>
      <c r="O1636" t="s">
        <v>156</v>
      </c>
      <c r="P1636">
        <v>4110026445</v>
      </c>
      <c r="Q1636" t="s">
        <v>170</v>
      </c>
      <c r="R1636">
        <v>5000</v>
      </c>
      <c r="S1636" t="s">
        <v>166</v>
      </c>
      <c r="V1636" t="s">
        <v>167</v>
      </c>
      <c r="W1636">
        <v>1502020104</v>
      </c>
      <c r="X1636" t="s">
        <v>26</v>
      </c>
      <c r="Y1636" t="str">
        <f>VLOOKUP(W1636,Sheet4!$A$5:$B$72,2,0)</f>
        <v>RE STYLING</v>
      </c>
      <c r="Z1636">
        <v>87082900</v>
      </c>
      <c r="AA1636">
        <v>15</v>
      </c>
      <c r="AB1636" t="s">
        <v>159</v>
      </c>
      <c r="AC1636" s="24">
        <v>6585.55</v>
      </c>
      <c r="AD1636" t="s">
        <v>160</v>
      </c>
      <c r="AE1636" s="24">
        <v>98783.25</v>
      </c>
      <c r="AF1636">
        <v>0</v>
      </c>
      <c r="AG1636" s="24">
        <v>98783.25</v>
      </c>
      <c r="AH1636">
        <v>0</v>
      </c>
      <c r="AI1636">
        <v>0</v>
      </c>
      <c r="AJ1636">
        <v>0</v>
      </c>
      <c r="AK1636">
        <v>0</v>
      </c>
      <c r="AL1636" s="24">
        <v>98783.25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 s="24">
        <v>98783.25</v>
      </c>
      <c r="AV1636">
        <v>0</v>
      </c>
      <c r="AW1636">
        <v>0</v>
      </c>
      <c r="AX1636">
        <v>311000</v>
      </c>
      <c r="AY1636" t="s">
        <v>161</v>
      </c>
      <c r="AZ1636">
        <v>49.75</v>
      </c>
      <c r="BA1636">
        <v>49.75</v>
      </c>
      <c r="BB1636">
        <v>0</v>
      </c>
      <c r="BC1636" t="s">
        <v>171</v>
      </c>
      <c r="BD1636">
        <v>1509</v>
      </c>
      <c r="BE1636" t="s">
        <v>169</v>
      </c>
      <c r="BF1636">
        <v>5094238584</v>
      </c>
      <c r="BG1636" t="s">
        <v>381</v>
      </c>
    </row>
    <row r="1637" spans="1:59">
      <c r="A1637">
        <v>1115</v>
      </c>
      <c r="B1637">
        <v>1115</v>
      </c>
      <c r="C1637">
        <v>10</v>
      </c>
      <c r="D1637">
        <v>2</v>
      </c>
      <c r="E1637" t="s">
        <v>152</v>
      </c>
      <c r="F1637" t="s">
        <v>153</v>
      </c>
      <c r="G1637" t="s">
        <v>154</v>
      </c>
      <c r="H1637">
        <v>1526007009</v>
      </c>
      <c r="I1637">
        <v>1000007295</v>
      </c>
      <c r="L1637" t="s">
        <v>381</v>
      </c>
      <c r="M1637">
        <v>5100001636</v>
      </c>
      <c r="N1637" t="s">
        <v>155</v>
      </c>
      <c r="O1637" t="s">
        <v>156</v>
      </c>
      <c r="P1637">
        <v>4110026445</v>
      </c>
      <c r="Q1637" t="s">
        <v>170</v>
      </c>
      <c r="R1637">
        <v>5000</v>
      </c>
      <c r="S1637" t="s">
        <v>166</v>
      </c>
      <c r="V1637" t="s">
        <v>167</v>
      </c>
      <c r="W1637">
        <v>1502020104</v>
      </c>
      <c r="X1637" t="s">
        <v>26</v>
      </c>
      <c r="Y1637" t="str">
        <f>VLOOKUP(W1637,Sheet4!$A$5:$B$72,2,0)</f>
        <v>RE STYLING</v>
      </c>
      <c r="Z1637">
        <v>87082900</v>
      </c>
      <c r="AA1637">
        <v>15</v>
      </c>
      <c r="AB1637" t="s">
        <v>159</v>
      </c>
      <c r="AC1637" s="24">
        <v>6585.55</v>
      </c>
      <c r="AD1637" t="s">
        <v>160</v>
      </c>
      <c r="AE1637" s="24">
        <v>98783.25</v>
      </c>
      <c r="AF1637">
        <v>0</v>
      </c>
      <c r="AG1637" s="24">
        <v>98783.25</v>
      </c>
      <c r="AH1637">
        <v>0</v>
      </c>
      <c r="AI1637">
        <v>0</v>
      </c>
      <c r="AJ1637">
        <v>0</v>
      </c>
      <c r="AK1637">
        <v>0</v>
      </c>
      <c r="AL1637" s="24">
        <v>98783.25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s="24">
        <v>98783.25</v>
      </c>
      <c r="AV1637">
        <v>0</v>
      </c>
      <c r="AW1637">
        <v>0</v>
      </c>
      <c r="AX1637">
        <v>311000</v>
      </c>
      <c r="AY1637" t="s">
        <v>161</v>
      </c>
      <c r="AZ1637">
        <v>49.75</v>
      </c>
      <c r="BA1637">
        <v>49.75</v>
      </c>
      <c r="BB1637">
        <v>0</v>
      </c>
      <c r="BC1637" t="s">
        <v>171</v>
      </c>
      <c r="BD1637">
        <v>1509</v>
      </c>
      <c r="BE1637" t="s">
        <v>169</v>
      </c>
      <c r="BF1637">
        <v>5094238588</v>
      </c>
      <c r="BG1637" t="s">
        <v>381</v>
      </c>
    </row>
    <row r="1638" spans="1:59">
      <c r="A1638">
        <v>1115</v>
      </c>
      <c r="B1638">
        <v>1115</v>
      </c>
      <c r="C1638">
        <v>10</v>
      </c>
      <c r="D1638">
        <v>2</v>
      </c>
      <c r="E1638" t="s">
        <v>152</v>
      </c>
      <c r="F1638" t="s">
        <v>153</v>
      </c>
      <c r="G1638" t="s">
        <v>154</v>
      </c>
      <c r="H1638">
        <v>1526007007</v>
      </c>
      <c r="I1638">
        <v>1000007294</v>
      </c>
      <c r="L1638" t="s">
        <v>381</v>
      </c>
      <c r="M1638">
        <v>5100001101</v>
      </c>
      <c r="N1638" t="s">
        <v>155</v>
      </c>
      <c r="O1638" t="s">
        <v>156</v>
      </c>
      <c r="P1638">
        <v>4110004653</v>
      </c>
      <c r="Q1638" t="s">
        <v>177</v>
      </c>
      <c r="R1638">
        <v>5000</v>
      </c>
      <c r="S1638" t="s">
        <v>166</v>
      </c>
      <c r="V1638" t="s">
        <v>167</v>
      </c>
      <c r="W1638">
        <v>1502040194</v>
      </c>
      <c r="X1638" t="s">
        <v>44</v>
      </c>
      <c r="Y1638" t="str">
        <f>VLOOKUP(W1638,Sheet4!$A$5:$B$72,2,0)</f>
        <v>CRADEL</v>
      </c>
      <c r="Z1638">
        <v>87082900</v>
      </c>
      <c r="AA1638">
        <v>48</v>
      </c>
      <c r="AB1638" t="s">
        <v>159</v>
      </c>
      <c r="AC1638">
        <v>956.92</v>
      </c>
      <c r="AD1638" t="s">
        <v>160</v>
      </c>
      <c r="AE1638" s="24">
        <v>45932.160000000003</v>
      </c>
      <c r="AF1638">
        <v>0</v>
      </c>
      <c r="AG1638" s="24">
        <v>45932.160000000003</v>
      </c>
      <c r="AH1638">
        <v>0</v>
      </c>
      <c r="AI1638">
        <v>0</v>
      </c>
      <c r="AJ1638">
        <v>0</v>
      </c>
      <c r="AK1638">
        <v>0</v>
      </c>
      <c r="AL1638" s="24">
        <v>45932.160000000003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 s="24">
        <v>45932.160000000003</v>
      </c>
      <c r="AV1638">
        <v>0</v>
      </c>
      <c r="AW1638">
        <v>0</v>
      </c>
      <c r="AX1638">
        <v>311000</v>
      </c>
      <c r="AY1638" t="s">
        <v>161</v>
      </c>
      <c r="AZ1638">
        <v>6.3769999999999998</v>
      </c>
      <c r="BA1638">
        <v>6.3769999999999998</v>
      </c>
      <c r="BB1638">
        <v>0</v>
      </c>
      <c r="BC1638" t="s">
        <v>184</v>
      </c>
      <c r="BD1638">
        <v>1511</v>
      </c>
      <c r="BE1638" t="s">
        <v>174</v>
      </c>
      <c r="BF1638">
        <v>5094234200</v>
      </c>
      <c r="BG1638" t="s">
        <v>381</v>
      </c>
    </row>
    <row r="1639" spans="1:59">
      <c r="A1639">
        <v>1115</v>
      </c>
      <c r="B1639">
        <v>1115</v>
      </c>
      <c r="C1639">
        <v>10</v>
      </c>
      <c r="D1639">
        <v>2</v>
      </c>
      <c r="E1639" t="s">
        <v>152</v>
      </c>
      <c r="F1639" t="s">
        <v>153</v>
      </c>
      <c r="G1639" t="s">
        <v>154</v>
      </c>
      <c r="H1639">
        <v>1526007005</v>
      </c>
      <c r="I1639">
        <v>1000007290</v>
      </c>
      <c r="L1639" t="s">
        <v>381</v>
      </c>
      <c r="M1639">
        <v>5100001899</v>
      </c>
      <c r="N1639" t="s">
        <v>155</v>
      </c>
      <c r="O1639" t="s">
        <v>156</v>
      </c>
      <c r="P1639">
        <v>4110041854</v>
      </c>
      <c r="Q1639" t="s">
        <v>172</v>
      </c>
      <c r="R1639">
        <v>5000</v>
      </c>
      <c r="S1639" t="s">
        <v>166</v>
      </c>
      <c r="V1639" t="s">
        <v>167</v>
      </c>
      <c r="W1639">
        <v>1502040267</v>
      </c>
      <c r="X1639" t="s">
        <v>63</v>
      </c>
      <c r="Y1639" t="str">
        <f>VLOOKUP(W1639,Sheet4!$A$5:$B$72,2,0)</f>
        <v>DASH BOARD</v>
      </c>
      <c r="Z1639">
        <v>87082900</v>
      </c>
      <c r="AA1639">
        <v>512</v>
      </c>
      <c r="AB1639" t="s">
        <v>159</v>
      </c>
      <c r="AC1639">
        <v>290.89999999999998</v>
      </c>
      <c r="AD1639" t="s">
        <v>160</v>
      </c>
      <c r="AE1639" s="24">
        <v>148940.79999999999</v>
      </c>
      <c r="AF1639">
        <v>0</v>
      </c>
      <c r="AG1639" s="24">
        <v>148940.79999999999</v>
      </c>
      <c r="AH1639">
        <v>0</v>
      </c>
      <c r="AI1639">
        <v>0</v>
      </c>
      <c r="AJ1639">
        <v>0</v>
      </c>
      <c r="AK1639">
        <v>0</v>
      </c>
      <c r="AL1639" s="24">
        <v>148940.79999999999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 s="24">
        <v>148940.79999999999</v>
      </c>
      <c r="AV1639">
        <v>0</v>
      </c>
      <c r="AW1639">
        <v>0</v>
      </c>
      <c r="AX1639">
        <v>311000</v>
      </c>
      <c r="AY1639" t="s">
        <v>161</v>
      </c>
      <c r="AZ1639">
        <v>4.5</v>
      </c>
      <c r="BA1639">
        <v>4.5</v>
      </c>
      <c r="BB1639">
        <v>0</v>
      </c>
      <c r="BC1639" t="s">
        <v>173</v>
      </c>
      <c r="BD1639">
        <v>1511</v>
      </c>
      <c r="BE1639" t="s">
        <v>174</v>
      </c>
      <c r="BF1639">
        <v>5094237878</v>
      </c>
      <c r="BG1639" t="s">
        <v>381</v>
      </c>
    </row>
    <row r="1640" spans="1:59">
      <c r="A1640">
        <v>1115</v>
      </c>
      <c r="B1640">
        <v>1115</v>
      </c>
      <c r="C1640">
        <v>10</v>
      </c>
      <c r="D1640">
        <v>2</v>
      </c>
      <c r="E1640" t="s">
        <v>152</v>
      </c>
      <c r="F1640" t="s">
        <v>153</v>
      </c>
      <c r="G1640" t="s">
        <v>154</v>
      </c>
      <c r="H1640">
        <v>1526007004</v>
      </c>
      <c r="I1640">
        <v>1000007289</v>
      </c>
      <c r="L1640" t="s">
        <v>381</v>
      </c>
      <c r="M1640">
        <v>5100001636</v>
      </c>
      <c r="N1640" t="s">
        <v>155</v>
      </c>
      <c r="O1640" t="s">
        <v>156</v>
      </c>
      <c r="P1640">
        <v>4110026445</v>
      </c>
      <c r="Q1640" t="s">
        <v>170</v>
      </c>
      <c r="R1640">
        <v>5000</v>
      </c>
      <c r="S1640" t="s">
        <v>166</v>
      </c>
      <c r="V1640" t="s">
        <v>167</v>
      </c>
      <c r="W1640">
        <v>1502020104</v>
      </c>
      <c r="X1640" t="s">
        <v>26</v>
      </c>
      <c r="Y1640" t="str">
        <f>VLOOKUP(W1640,Sheet4!$A$5:$B$72,2,0)</f>
        <v>RE STYLING</v>
      </c>
      <c r="Z1640">
        <v>87082900</v>
      </c>
      <c r="AA1640">
        <v>15</v>
      </c>
      <c r="AB1640" t="s">
        <v>159</v>
      </c>
      <c r="AC1640" s="24">
        <v>6585.55</v>
      </c>
      <c r="AD1640" t="s">
        <v>160</v>
      </c>
      <c r="AE1640" s="24">
        <v>98783.25</v>
      </c>
      <c r="AF1640">
        <v>0</v>
      </c>
      <c r="AG1640" s="24">
        <v>98783.25</v>
      </c>
      <c r="AH1640">
        <v>0</v>
      </c>
      <c r="AI1640">
        <v>0</v>
      </c>
      <c r="AJ1640">
        <v>0</v>
      </c>
      <c r="AK1640">
        <v>0</v>
      </c>
      <c r="AL1640" s="24">
        <v>98783.25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 s="24">
        <v>98783.25</v>
      </c>
      <c r="AV1640">
        <v>0</v>
      </c>
      <c r="AW1640">
        <v>0</v>
      </c>
      <c r="AX1640">
        <v>311000</v>
      </c>
      <c r="AY1640" t="s">
        <v>161</v>
      </c>
      <c r="AZ1640">
        <v>49.75</v>
      </c>
      <c r="BA1640">
        <v>49.75</v>
      </c>
      <c r="BB1640">
        <v>0</v>
      </c>
      <c r="BC1640" t="s">
        <v>171</v>
      </c>
      <c r="BD1640">
        <v>1509</v>
      </c>
      <c r="BE1640" t="s">
        <v>169</v>
      </c>
      <c r="BF1640">
        <v>5094238107</v>
      </c>
      <c r="BG1640" t="s">
        <v>381</v>
      </c>
    </row>
    <row r="1641" spans="1:59">
      <c r="A1641">
        <v>1115</v>
      </c>
      <c r="B1641">
        <v>1115</v>
      </c>
      <c r="C1641">
        <v>10</v>
      </c>
      <c r="D1641">
        <v>2</v>
      </c>
      <c r="E1641" t="s">
        <v>152</v>
      </c>
      <c r="F1641" t="s">
        <v>153</v>
      </c>
      <c r="G1641" t="s">
        <v>154</v>
      </c>
      <c r="H1641">
        <v>1526007003</v>
      </c>
      <c r="I1641">
        <v>1000007288</v>
      </c>
      <c r="L1641" t="s">
        <v>381</v>
      </c>
      <c r="M1641">
        <v>5100001636</v>
      </c>
      <c r="N1641" t="s">
        <v>155</v>
      </c>
      <c r="O1641" t="s">
        <v>156</v>
      </c>
      <c r="P1641">
        <v>4110026445</v>
      </c>
      <c r="Q1641" t="s">
        <v>170</v>
      </c>
      <c r="R1641">
        <v>5000</v>
      </c>
      <c r="S1641" t="s">
        <v>166</v>
      </c>
      <c r="V1641" t="s">
        <v>167</v>
      </c>
      <c r="W1641">
        <v>1502020104</v>
      </c>
      <c r="X1641" t="s">
        <v>26</v>
      </c>
      <c r="Y1641" t="str">
        <f>VLOOKUP(W1641,Sheet4!$A$5:$B$72,2,0)</f>
        <v>RE STYLING</v>
      </c>
      <c r="Z1641">
        <v>87082900</v>
      </c>
      <c r="AA1641">
        <v>15</v>
      </c>
      <c r="AB1641" t="s">
        <v>159</v>
      </c>
      <c r="AC1641" s="24">
        <v>6585.55</v>
      </c>
      <c r="AD1641" t="s">
        <v>160</v>
      </c>
      <c r="AE1641" s="24">
        <v>98783.25</v>
      </c>
      <c r="AF1641">
        <v>0</v>
      </c>
      <c r="AG1641" s="24">
        <v>98783.25</v>
      </c>
      <c r="AH1641">
        <v>0</v>
      </c>
      <c r="AI1641">
        <v>0</v>
      </c>
      <c r="AJ1641">
        <v>0</v>
      </c>
      <c r="AK1641">
        <v>0</v>
      </c>
      <c r="AL1641" s="24">
        <v>98783.25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 s="24">
        <v>98783.25</v>
      </c>
      <c r="AV1641">
        <v>0</v>
      </c>
      <c r="AW1641">
        <v>0</v>
      </c>
      <c r="AX1641">
        <v>311000</v>
      </c>
      <c r="AY1641" t="s">
        <v>161</v>
      </c>
      <c r="AZ1641">
        <v>49.75</v>
      </c>
      <c r="BA1641">
        <v>49.75</v>
      </c>
      <c r="BB1641">
        <v>0</v>
      </c>
      <c r="BC1641" t="s">
        <v>171</v>
      </c>
      <c r="BD1641">
        <v>1509</v>
      </c>
      <c r="BE1641" t="s">
        <v>169</v>
      </c>
      <c r="BF1641">
        <v>5094238204</v>
      </c>
      <c r="BG1641" t="s">
        <v>381</v>
      </c>
    </row>
    <row r="1642" spans="1:59">
      <c r="A1642">
        <v>1115</v>
      </c>
      <c r="B1642">
        <v>1115</v>
      </c>
      <c r="C1642">
        <v>10</v>
      </c>
      <c r="D1642">
        <v>2</v>
      </c>
      <c r="E1642" t="s">
        <v>152</v>
      </c>
      <c r="F1642" t="s">
        <v>153</v>
      </c>
      <c r="G1642" t="s">
        <v>154</v>
      </c>
      <c r="H1642">
        <v>1526007002</v>
      </c>
      <c r="I1642">
        <v>1000007287</v>
      </c>
      <c r="L1642" t="s">
        <v>381</v>
      </c>
      <c r="M1642">
        <v>5100001925</v>
      </c>
      <c r="N1642" t="s">
        <v>155</v>
      </c>
      <c r="O1642" t="s">
        <v>156</v>
      </c>
      <c r="P1642">
        <v>4110055667</v>
      </c>
      <c r="Q1642" t="s">
        <v>185</v>
      </c>
      <c r="R1642">
        <v>5000</v>
      </c>
      <c r="S1642" t="s">
        <v>166</v>
      </c>
      <c r="V1642" t="s">
        <v>167</v>
      </c>
      <c r="W1642">
        <v>1502040318</v>
      </c>
      <c r="X1642" t="s">
        <v>72</v>
      </c>
      <c r="Y1642" t="str">
        <f>VLOOKUP(W1642,Sheet4!$A$5:$B$72,2,0)</f>
        <v>Re Side Door</v>
      </c>
      <c r="Z1642">
        <v>87082900</v>
      </c>
      <c r="AA1642">
        <v>120</v>
      </c>
      <c r="AB1642" t="s">
        <v>159</v>
      </c>
      <c r="AC1642">
        <v>506.59</v>
      </c>
      <c r="AD1642" t="s">
        <v>160</v>
      </c>
      <c r="AE1642" s="24">
        <v>60790.8</v>
      </c>
      <c r="AF1642">
        <v>0</v>
      </c>
      <c r="AG1642" s="24">
        <v>60790.8</v>
      </c>
      <c r="AH1642">
        <v>0</v>
      </c>
      <c r="AI1642">
        <v>0</v>
      </c>
      <c r="AJ1642">
        <v>0</v>
      </c>
      <c r="AK1642">
        <v>0</v>
      </c>
      <c r="AL1642" s="24">
        <v>60790.8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 s="24">
        <v>60790.8</v>
      </c>
      <c r="AV1642">
        <v>0</v>
      </c>
      <c r="AW1642">
        <v>0</v>
      </c>
      <c r="AX1642">
        <v>311000</v>
      </c>
      <c r="AY1642" t="s">
        <v>161</v>
      </c>
      <c r="AZ1642">
        <v>2.27</v>
      </c>
      <c r="BA1642">
        <v>2.27</v>
      </c>
      <c r="BB1642">
        <v>0</v>
      </c>
      <c r="BC1642" t="s">
        <v>187</v>
      </c>
      <c r="BD1642">
        <v>1511</v>
      </c>
      <c r="BE1642" t="s">
        <v>174</v>
      </c>
      <c r="BF1642">
        <v>5094243928</v>
      </c>
      <c r="BG1642" t="s">
        <v>381</v>
      </c>
    </row>
    <row r="1643" spans="1:59">
      <c r="A1643">
        <v>1115</v>
      </c>
      <c r="B1643">
        <v>1115</v>
      </c>
      <c r="C1643">
        <v>10</v>
      </c>
      <c r="D1643">
        <v>2</v>
      </c>
      <c r="E1643" t="s">
        <v>152</v>
      </c>
      <c r="F1643" t="s">
        <v>153</v>
      </c>
      <c r="G1643" t="s">
        <v>154</v>
      </c>
      <c r="H1643">
        <v>1526007001</v>
      </c>
      <c r="I1643">
        <v>1000007286</v>
      </c>
      <c r="L1643" t="s">
        <v>381</v>
      </c>
      <c r="M1643">
        <v>5100001928</v>
      </c>
      <c r="N1643" t="s">
        <v>155</v>
      </c>
      <c r="O1643" t="s">
        <v>156</v>
      </c>
      <c r="P1643">
        <v>4110057393</v>
      </c>
      <c r="Q1643" t="s">
        <v>192</v>
      </c>
      <c r="R1643">
        <v>5000</v>
      </c>
      <c r="S1643" t="s">
        <v>166</v>
      </c>
      <c r="V1643" t="s">
        <v>167</v>
      </c>
      <c r="W1643">
        <v>1502020122</v>
      </c>
      <c r="X1643" t="s">
        <v>70</v>
      </c>
      <c r="Y1643" t="str">
        <f>VLOOKUP(W1643,Sheet4!$A$5:$B$72,2,0)</f>
        <v>MAX UG NEW EV</v>
      </c>
      <c r="Z1643">
        <v>87082900</v>
      </c>
      <c r="AA1643">
        <v>10</v>
      </c>
      <c r="AB1643" t="s">
        <v>159</v>
      </c>
      <c r="AC1643" s="24">
        <v>9566.51</v>
      </c>
      <c r="AD1643" t="s">
        <v>160</v>
      </c>
      <c r="AE1643" s="24">
        <v>95665.1</v>
      </c>
      <c r="AF1643">
        <v>0</v>
      </c>
      <c r="AG1643" s="24">
        <v>95665.1</v>
      </c>
      <c r="AH1643">
        <v>0</v>
      </c>
      <c r="AI1643">
        <v>0</v>
      </c>
      <c r="AJ1643">
        <v>0</v>
      </c>
      <c r="AK1643">
        <v>0</v>
      </c>
      <c r="AL1643" s="24">
        <v>95665.1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s="24">
        <v>95665.1</v>
      </c>
      <c r="AV1643">
        <v>0</v>
      </c>
      <c r="AW1643">
        <v>0</v>
      </c>
      <c r="AX1643">
        <v>311000</v>
      </c>
      <c r="AY1643" t="s">
        <v>161</v>
      </c>
      <c r="AZ1643">
        <v>0</v>
      </c>
      <c r="BA1643">
        <v>61</v>
      </c>
      <c r="BB1643">
        <v>-61</v>
      </c>
      <c r="BC1643" t="s">
        <v>193</v>
      </c>
      <c r="BD1643">
        <v>1509</v>
      </c>
      <c r="BE1643" t="s">
        <v>169</v>
      </c>
      <c r="BF1643">
        <v>5094247693</v>
      </c>
      <c r="BG1643" t="s">
        <v>381</v>
      </c>
    </row>
    <row r="1644" spans="1:59">
      <c r="A1644">
        <v>1115</v>
      </c>
      <c r="B1644">
        <v>1115</v>
      </c>
      <c r="C1644">
        <v>10</v>
      </c>
      <c r="D1644">
        <v>2</v>
      </c>
      <c r="E1644" t="s">
        <v>152</v>
      </c>
      <c r="F1644" t="s">
        <v>153</v>
      </c>
      <c r="G1644" t="s">
        <v>154</v>
      </c>
      <c r="H1644">
        <v>1526007000</v>
      </c>
      <c r="I1644">
        <v>1000007285</v>
      </c>
      <c r="L1644" t="s">
        <v>381</v>
      </c>
      <c r="M1644">
        <v>5100001925</v>
      </c>
      <c r="N1644" t="s">
        <v>155</v>
      </c>
      <c r="O1644" t="s">
        <v>156</v>
      </c>
      <c r="P1644">
        <v>4110055667</v>
      </c>
      <c r="Q1644" t="s">
        <v>185</v>
      </c>
      <c r="R1644">
        <v>5000</v>
      </c>
      <c r="S1644" t="s">
        <v>166</v>
      </c>
      <c r="V1644" t="s">
        <v>167</v>
      </c>
      <c r="W1644">
        <v>1502040317</v>
      </c>
      <c r="X1644" t="s">
        <v>73</v>
      </c>
      <c r="Y1644" t="str">
        <f>VLOOKUP(W1644,Sheet4!$A$5:$B$72,2,0)</f>
        <v>Re Side Door</v>
      </c>
      <c r="Z1644">
        <v>87082900</v>
      </c>
      <c r="AA1644">
        <v>120</v>
      </c>
      <c r="AB1644" t="s">
        <v>159</v>
      </c>
      <c r="AC1644">
        <v>506.59</v>
      </c>
      <c r="AD1644" t="s">
        <v>160</v>
      </c>
      <c r="AE1644" s="24">
        <v>60790.8</v>
      </c>
      <c r="AF1644">
        <v>0</v>
      </c>
      <c r="AG1644" s="24">
        <v>60790.8</v>
      </c>
      <c r="AH1644">
        <v>0</v>
      </c>
      <c r="AI1644">
        <v>0</v>
      </c>
      <c r="AJ1644">
        <v>0</v>
      </c>
      <c r="AK1644">
        <v>0</v>
      </c>
      <c r="AL1644" s="24">
        <v>60790.8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 s="24">
        <v>60790.8</v>
      </c>
      <c r="AV1644">
        <v>0</v>
      </c>
      <c r="AW1644">
        <v>0</v>
      </c>
      <c r="AX1644">
        <v>311000</v>
      </c>
      <c r="AY1644" t="s">
        <v>161</v>
      </c>
      <c r="AZ1644">
        <v>2.27</v>
      </c>
      <c r="BA1644">
        <v>2.27</v>
      </c>
      <c r="BB1644">
        <v>0</v>
      </c>
      <c r="BC1644" t="s">
        <v>186</v>
      </c>
      <c r="BD1644">
        <v>1511</v>
      </c>
      <c r="BE1644" t="s">
        <v>174</v>
      </c>
      <c r="BF1644">
        <v>5094243939</v>
      </c>
      <c r="BG1644" t="s">
        <v>381</v>
      </c>
    </row>
    <row r="1645" spans="1:59">
      <c r="A1645">
        <v>1115</v>
      </c>
      <c r="B1645">
        <v>1115</v>
      </c>
      <c r="C1645">
        <v>10</v>
      </c>
      <c r="D1645">
        <v>2</v>
      </c>
      <c r="E1645" t="s">
        <v>152</v>
      </c>
      <c r="F1645" t="s">
        <v>153</v>
      </c>
      <c r="G1645" t="s">
        <v>154</v>
      </c>
      <c r="H1645">
        <v>1526006999</v>
      </c>
      <c r="I1645">
        <v>1000007284</v>
      </c>
      <c r="L1645" t="s">
        <v>381</v>
      </c>
      <c r="M1645">
        <v>5100001928</v>
      </c>
      <c r="N1645" t="s">
        <v>155</v>
      </c>
      <c r="O1645" t="s">
        <v>156</v>
      </c>
      <c r="P1645">
        <v>4110057393</v>
      </c>
      <c r="Q1645" t="s">
        <v>192</v>
      </c>
      <c r="R1645">
        <v>5000</v>
      </c>
      <c r="S1645" t="s">
        <v>166</v>
      </c>
      <c r="V1645" t="s">
        <v>167</v>
      </c>
      <c r="W1645">
        <v>1502020122</v>
      </c>
      <c r="X1645" t="s">
        <v>70</v>
      </c>
      <c r="Y1645" t="str">
        <f>VLOOKUP(W1645,Sheet4!$A$5:$B$72,2,0)</f>
        <v>MAX UG NEW EV</v>
      </c>
      <c r="Z1645">
        <v>87082900</v>
      </c>
      <c r="AA1645">
        <v>10</v>
      </c>
      <c r="AB1645" t="s">
        <v>159</v>
      </c>
      <c r="AC1645" s="24">
        <v>9566.51</v>
      </c>
      <c r="AD1645" t="s">
        <v>160</v>
      </c>
      <c r="AE1645" s="24">
        <v>95665.1</v>
      </c>
      <c r="AF1645">
        <v>0</v>
      </c>
      <c r="AG1645" s="24">
        <v>95665.1</v>
      </c>
      <c r="AH1645">
        <v>0</v>
      </c>
      <c r="AI1645">
        <v>0</v>
      </c>
      <c r="AJ1645">
        <v>0</v>
      </c>
      <c r="AK1645">
        <v>0</v>
      </c>
      <c r="AL1645" s="24">
        <v>95665.1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 s="24">
        <v>95665.1</v>
      </c>
      <c r="AV1645">
        <v>0</v>
      </c>
      <c r="AW1645">
        <v>0</v>
      </c>
      <c r="AX1645">
        <v>311000</v>
      </c>
      <c r="AY1645" t="s">
        <v>161</v>
      </c>
      <c r="AZ1645">
        <v>0</v>
      </c>
      <c r="BA1645">
        <v>61</v>
      </c>
      <c r="BB1645">
        <v>-61</v>
      </c>
      <c r="BC1645" t="s">
        <v>193</v>
      </c>
      <c r="BD1645">
        <v>1509</v>
      </c>
      <c r="BE1645" t="s">
        <v>169</v>
      </c>
      <c r="BF1645">
        <v>5094232014</v>
      </c>
      <c r="BG1645" t="s">
        <v>381</v>
      </c>
    </row>
    <row r="1646" spans="1:59">
      <c r="A1646">
        <v>1115</v>
      </c>
      <c r="B1646">
        <v>1115</v>
      </c>
      <c r="C1646">
        <v>10</v>
      </c>
      <c r="D1646">
        <v>2</v>
      </c>
      <c r="E1646" t="s">
        <v>152</v>
      </c>
      <c r="F1646" t="s">
        <v>153</v>
      </c>
      <c r="G1646" t="s">
        <v>154</v>
      </c>
      <c r="H1646">
        <v>1526006998</v>
      </c>
      <c r="I1646">
        <v>1000007283</v>
      </c>
      <c r="L1646" t="s">
        <v>381</v>
      </c>
      <c r="M1646">
        <v>5100001928</v>
      </c>
      <c r="N1646" t="s">
        <v>155</v>
      </c>
      <c r="O1646" t="s">
        <v>156</v>
      </c>
      <c r="P1646">
        <v>4110057393</v>
      </c>
      <c r="Q1646" t="s">
        <v>192</v>
      </c>
      <c r="R1646">
        <v>5000</v>
      </c>
      <c r="S1646" t="s">
        <v>166</v>
      </c>
      <c r="V1646" t="s">
        <v>167</v>
      </c>
      <c r="W1646">
        <v>1502020122</v>
      </c>
      <c r="X1646" t="s">
        <v>70</v>
      </c>
      <c r="Y1646" t="str">
        <f>VLOOKUP(W1646,Sheet4!$A$5:$B$72,2,0)</f>
        <v>MAX UG NEW EV</v>
      </c>
      <c r="Z1646">
        <v>87082900</v>
      </c>
      <c r="AA1646">
        <v>10</v>
      </c>
      <c r="AB1646" t="s">
        <v>159</v>
      </c>
      <c r="AC1646" s="24">
        <v>9566.51</v>
      </c>
      <c r="AD1646" t="s">
        <v>160</v>
      </c>
      <c r="AE1646" s="24">
        <v>95665.1</v>
      </c>
      <c r="AF1646">
        <v>0</v>
      </c>
      <c r="AG1646" s="24">
        <v>95665.1</v>
      </c>
      <c r="AH1646">
        <v>0</v>
      </c>
      <c r="AI1646">
        <v>0</v>
      </c>
      <c r="AJ1646">
        <v>0</v>
      </c>
      <c r="AK1646">
        <v>0</v>
      </c>
      <c r="AL1646" s="24">
        <v>95665.1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 s="24">
        <v>95665.1</v>
      </c>
      <c r="AV1646">
        <v>0</v>
      </c>
      <c r="AW1646">
        <v>0</v>
      </c>
      <c r="AX1646">
        <v>311000</v>
      </c>
      <c r="AY1646" t="s">
        <v>161</v>
      </c>
      <c r="AZ1646">
        <v>0</v>
      </c>
      <c r="BA1646">
        <v>61</v>
      </c>
      <c r="BB1646">
        <v>-61</v>
      </c>
      <c r="BC1646" t="s">
        <v>193</v>
      </c>
      <c r="BD1646">
        <v>1509</v>
      </c>
      <c r="BE1646" t="s">
        <v>169</v>
      </c>
      <c r="BF1646">
        <v>5094236033</v>
      </c>
      <c r="BG1646" t="s">
        <v>381</v>
      </c>
    </row>
    <row r="1647" spans="1:59">
      <c r="A1647">
        <v>1115</v>
      </c>
      <c r="B1647">
        <v>1115</v>
      </c>
      <c r="C1647">
        <v>10</v>
      </c>
      <c r="D1647">
        <v>2</v>
      </c>
      <c r="E1647" t="s">
        <v>152</v>
      </c>
      <c r="F1647" t="s">
        <v>153</v>
      </c>
      <c r="G1647" t="s">
        <v>154</v>
      </c>
      <c r="H1647">
        <v>1526006997</v>
      </c>
      <c r="I1647">
        <v>1000007282</v>
      </c>
      <c r="L1647" t="s">
        <v>381</v>
      </c>
      <c r="M1647">
        <v>5100001928</v>
      </c>
      <c r="N1647" t="s">
        <v>155</v>
      </c>
      <c r="O1647" t="s">
        <v>156</v>
      </c>
      <c r="P1647">
        <v>4110057393</v>
      </c>
      <c r="Q1647" t="s">
        <v>192</v>
      </c>
      <c r="R1647">
        <v>5000</v>
      </c>
      <c r="S1647" t="s">
        <v>166</v>
      </c>
      <c r="V1647" t="s">
        <v>167</v>
      </c>
      <c r="W1647">
        <v>1502020122</v>
      </c>
      <c r="X1647" t="s">
        <v>70</v>
      </c>
      <c r="Y1647" t="str">
        <f>VLOOKUP(W1647,Sheet4!$A$5:$B$72,2,0)</f>
        <v>MAX UG NEW EV</v>
      </c>
      <c r="Z1647">
        <v>87082900</v>
      </c>
      <c r="AA1647">
        <v>10</v>
      </c>
      <c r="AB1647" t="s">
        <v>159</v>
      </c>
      <c r="AC1647" s="24">
        <v>9566.51</v>
      </c>
      <c r="AD1647" t="s">
        <v>160</v>
      </c>
      <c r="AE1647" s="24">
        <v>95665.1</v>
      </c>
      <c r="AF1647">
        <v>0</v>
      </c>
      <c r="AG1647" s="24">
        <v>95665.1</v>
      </c>
      <c r="AH1647">
        <v>0</v>
      </c>
      <c r="AI1647">
        <v>0</v>
      </c>
      <c r="AJ1647">
        <v>0</v>
      </c>
      <c r="AK1647">
        <v>0</v>
      </c>
      <c r="AL1647" s="24">
        <v>95665.1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 s="24">
        <v>95665.1</v>
      </c>
      <c r="AV1647">
        <v>0</v>
      </c>
      <c r="AW1647">
        <v>0</v>
      </c>
      <c r="AX1647">
        <v>311000</v>
      </c>
      <c r="AY1647" t="s">
        <v>161</v>
      </c>
      <c r="AZ1647">
        <v>0</v>
      </c>
      <c r="BA1647">
        <v>61</v>
      </c>
      <c r="BB1647">
        <v>-61</v>
      </c>
      <c r="BC1647" t="s">
        <v>193</v>
      </c>
      <c r="BD1647">
        <v>1509</v>
      </c>
      <c r="BE1647" t="s">
        <v>169</v>
      </c>
      <c r="BF1647">
        <v>5094231568</v>
      </c>
      <c r="BG1647" t="s">
        <v>381</v>
      </c>
    </row>
    <row r="1648" spans="1:59">
      <c r="A1648">
        <v>1115</v>
      </c>
      <c r="B1648">
        <v>1115</v>
      </c>
      <c r="C1648">
        <v>10</v>
      </c>
      <c r="D1648">
        <v>2</v>
      </c>
      <c r="E1648" t="s">
        <v>152</v>
      </c>
      <c r="F1648" t="s">
        <v>153</v>
      </c>
      <c r="G1648" t="s">
        <v>154</v>
      </c>
      <c r="H1648">
        <v>1526006996</v>
      </c>
      <c r="I1648">
        <v>1000007281</v>
      </c>
      <c r="L1648" t="s">
        <v>381</v>
      </c>
      <c r="M1648">
        <v>5100001588</v>
      </c>
      <c r="N1648" t="s">
        <v>155</v>
      </c>
      <c r="O1648" t="s">
        <v>156</v>
      </c>
      <c r="P1648">
        <v>4110025058</v>
      </c>
      <c r="Q1648" t="s">
        <v>180</v>
      </c>
      <c r="R1648">
        <v>5000</v>
      </c>
      <c r="S1648" t="s">
        <v>166</v>
      </c>
      <c r="V1648" t="s">
        <v>167</v>
      </c>
      <c r="W1648">
        <v>1502040235</v>
      </c>
      <c r="X1648" t="s">
        <v>47</v>
      </c>
      <c r="Y1648" t="str">
        <f>VLOOKUP(W1648,Sheet4!$A$5:$B$72,2,0)</f>
        <v>STARTING HANDLE</v>
      </c>
      <c r="Z1648">
        <v>87082900</v>
      </c>
      <c r="AA1648">
        <v>540</v>
      </c>
      <c r="AB1648" t="s">
        <v>159</v>
      </c>
      <c r="AC1648">
        <v>217.33</v>
      </c>
      <c r="AD1648" t="s">
        <v>160</v>
      </c>
      <c r="AE1648" s="24">
        <v>117358.2</v>
      </c>
      <c r="AF1648">
        <v>0</v>
      </c>
      <c r="AG1648" s="24">
        <v>117358.2</v>
      </c>
      <c r="AH1648">
        <v>0</v>
      </c>
      <c r="AI1648">
        <v>0</v>
      </c>
      <c r="AJ1648">
        <v>0</v>
      </c>
      <c r="AK1648">
        <v>0</v>
      </c>
      <c r="AL1648" s="24">
        <v>117358.2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 s="24">
        <v>117358.2</v>
      </c>
      <c r="AV1648">
        <v>0</v>
      </c>
      <c r="AW1648">
        <v>0</v>
      </c>
      <c r="AX1648">
        <v>311000</v>
      </c>
      <c r="AY1648" t="s">
        <v>161</v>
      </c>
      <c r="AZ1648">
        <v>1.19</v>
      </c>
      <c r="BA1648">
        <v>1.19</v>
      </c>
      <c r="BB1648">
        <v>0</v>
      </c>
      <c r="BC1648" t="s">
        <v>181</v>
      </c>
      <c r="BD1648">
        <v>1511</v>
      </c>
      <c r="BE1648" t="s">
        <v>174</v>
      </c>
      <c r="BF1648">
        <v>5094229221</v>
      </c>
      <c r="BG1648" t="s">
        <v>381</v>
      </c>
    </row>
    <row r="1649" spans="1:59">
      <c r="A1649">
        <v>1115</v>
      </c>
      <c r="B1649">
        <v>1115</v>
      </c>
      <c r="C1649">
        <v>10</v>
      </c>
      <c r="D1649">
        <v>2</v>
      </c>
      <c r="E1649" t="s">
        <v>152</v>
      </c>
      <c r="F1649" t="s">
        <v>153</v>
      </c>
      <c r="G1649" t="s">
        <v>154</v>
      </c>
      <c r="H1649">
        <v>1526006995</v>
      </c>
      <c r="I1649">
        <v>1000007280</v>
      </c>
      <c r="L1649" t="s">
        <v>381</v>
      </c>
      <c r="M1649">
        <v>5100001928</v>
      </c>
      <c r="N1649" t="s">
        <v>155</v>
      </c>
      <c r="O1649" t="s">
        <v>156</v>
      </c>
      <c r="P1649">
        <v>4110057393</v>
      </c>
      <c r="Q1649" t="s">
        <v>192</v>
      </c>
      <c r="R1649">
        <v>5000</v>
      </c>
      <c r="S1649" t="s">
        <v>166</v>
      </c>
      <c r="V1649" t="s">
        <v>167</v>
      </c>
      <c r="W1649">
        <v>1502020122</v>
      </c>
      <c r="X1649" t="s">
        <v>70</v>
      </c>
      <c r="Y1649" t="str">
        <f>VLOOKUP(W1649,Sheet4!$A$5:$B$72,2,0)</f>
        <v>MAX UG NEW EV</v>
      </c>
      <c r="Z1649">
        <v>87082900</v>
      </c>
      <c r="AA1649">
        <v>10</v>
      </c>
      <c r="AB1649" t="s">
        <v>159</v>
      </c>
      <c r="AC1649" s="24">
        <v>9566.51</v>
      </c>
      <c r="AD1649" t="s">
        <v>160</v>
      </c>
      <c r="AE1649" s="24">
        <v>95665.1</v>
      </c>
      <c r="AF1649">
        <v>0</v>
      </c>
      <c r="AG1649" s="24">
        <v>95665.1</v>
      </c>
      <c r="AH1649">
        <v>0</v>
      </c>
      <c r="AI1649">
        <v>0</v>
      </c>
      <c r="AJ1649">
        <v>0</v>
      </c>
      <c r="AK1649">
        <v>0</v>
      </c>
      <c r="AL1649" s="24">
        <v>95665.1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 s="24">
        <v>95665.1</v>
      </c>
      <c r="AV1649">
        <v>0</v>
      </c>
      <c r="AW1649">
        <v>0</v>
      </c>
      <c r="AX1649">
        <v>311000</v>
      </c>
      <c r="AY1649" t="s">
        <v>161</v>
      </c>
      <c r="AZ1649">
        <v>0</v>
      </c>
      <c r="BA1649">
        <v>61</v>
      </c>
      <c r="BB1649">
        <v>-61</v>
      </c>
      <c r="BC1649" t="s">
        <v>193</v>
      </c>
      <c r="BD1649">
        <v>1509</v>
      </c>
      <c r="BE1649" t="s">
        <v>169</v>
      </c>
      <c r="BF1649">
        <v>5094231713</v>
      </c>
      <c r="BG1649" t="s">
        <v>381</v>
      </c>
    </row>
    <row r="1650" spans="1:59">
      <c r="A1650">
        <v>1115</v>
      </c>
      <c r="B1650">
        <v>1115</v>
      </c>
      <c r="C1650">
        <v>10</v>
      </c>
      <c r="D1650">
        <v>2</v>
      </c>
      <c r="E1650" t="s">
        <v>152</v>
      </c>
      <c r="F1650" t="s">
        <v>153</v>
      </c>
      <c r="G1650" t="s">
        <v>154</v>
      </c>
      <c r="H1650">
        <v>1526006994</v>
      </c>
      <c r="I1650">
        <v>1000007279</v>
      </c>
      <c r="L1650" t="s">
        <v>381</v>
      </c>
      <c r="M1650">
        <v>5100001928</v>
      </c>
      <c r="N1650" t="s">
        <v>155</v>
      </c>
      <c r="O1650" t="s">
        <v>156</v>
      </c>
      <c r="P1650">
        <v>4110057393</v>
      </c>
      <c r="Q1650" t="s">
        <v>192</v>
      </c>
      <c r="R1650">
        <v>5000</v>
      </c>
      <c r="S1650" t="s">
        <v>166</v>
      </c>
      <c r="V1650" t="s">
        <v>167</v>
      </c>
      <c r="W1650">
        <v>1502020122</v>
      </c>
      <c r="X1650" t="s">
        <v>70</v>
      </c>
      <c r="Y1650" t="str">
        <f>VLOOKUP(W1650,Sheet4!$A$5:$B$72,2,0)</f>
        <v>MAX UG NEW EV</v>
      </c>
      <c r="Z1650">
        <v>87082900</v>
      </c>
      <c r="AA1650">
        <v>10</v>
      </c>
      <c r="AB1650" t="s">
        <v>159</v>
      </c>
      <c r="AC1650" s="24">
        <v>9566.51</v>
      </c>
      <c r="AD1650" t="s">
        <v>160</v>
      </c>
      <c r="AE1650" s="24">
        <v>95665.1</v>
      </c>
      <c r="AF1650">
        <v>0</v>
      </c>
      <c r="AG1650" s="24">
        <v>95665.1</v>
      </c>
      <c r="AH1650">
        <v>0</v>
      </c>
      <c r="AI1650">
        <v>0</v>
      </c>
      <c r="AJ1650">
        <v>0</v>
      </c>
      <c r="AK1650">
        <v>0</v>
      </c>
      <c r="AL1650" s="24">
        <v>95665.1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 s="24">
        <v>95665.1</v>
      </c>
      <c r="AV1650">
        <v>0</v>
      </c>
      <c r="AW1650">
        <v>0</v>
      </c>
      <c r="AX1650">
        <v>311000</v>
      </c>
      <c r="AY1650" t="s">
        <v>161</v>
      </c>
      <c r="AZ1650">
        <v>0</v>
      </c>
      <c r="BA1650">
        <v>61</v>
      </c>
      <c r="BB1650">
        <v>-61</v>
      </c>
      <c r="BC1650" t="s">
        <v>193</v>
      </c>
      <c r="BD1650">
        <v>1509</v>
      </c>
      <c r="BE1650" t="s">
        <v>169</v>
      </c>
      <c r="BF1650">
        <v>5094231772</v>
      </c>
      <c r="BG1650" t="s">
        <v>381</v>
      </c>
    </row>
    <row r="1651" spans="1:59">
      <c r="A1651">
        <v>1115</v>
      </c>
      <c r="B1651">
        <v>1115</v>
      </c>
      <c r="C1651">
        <v>10</v>
      </c>
      <c r="D1651">
        <v>2</v>
      </c>
      <c r="E1651" t="s">
        <v>152</v>
      </c>
      <c r="F1651" t="s">
        <v>153</v>
      </c>
      <c r="G1651" t="s">
        <v>154</v>
      </c>
      <c r="H1651">
        <v>1526006993</v>
      </c>
      <c r="I1651">
        <v>1000007278</v>
      </c>
      <c r="L1651" t="s">
        <v>381</v>
      </c>
      <c r="M1651">
        <v>5100001603</v>
      </c>
      <c r="N1651" t="s">
        <v>155</v>
      </c>
      <c r="O1651" t="s">
        <v>156</v>
      </c>
      <c r="P1651">
        <v>4110025468</v>
      </c>
      <c r="Q1651" t="s">
        <v>165</v>
      </c>
      <c r="R1651">
        <v>5000</v>
      </c>
      <c r="S1651" t="s">
        <v>166</v>
      </c>
      <c r="V1651" t="s">
        <v>167</v>
      </c>
      <c r="W1651">
        <v>1502020102</v>
      </c>
      <c r="X1651" t="s">
        <v>58</v>
      </c>
      <c r="Y1651" t="str">
        <f>VLOOKUP(W1651,Sheet4!$A$5:$B$72,2,0)</f>
        <v>MAXIMA HD</v>
      </c>
      <c r="Z1651">
        <v>87082900</v>
      </c>
      <c r="AA1651">
        <v>8</v>
      </c>
      <c r="AB1651" t="s">
        <v>159</v>
      </c>
      <c r="AC1651" s="24">
        <v>8593.51</v>
      </c>
      <c r="AD1651" t="s">
        <v>160</v>
      </c>
      <c r="AE1651" s="24">
        <v>68748.08</v>
      </c>
      <c r="AF1651">
        <v>0</v>
      </c>
      <c r="AG1651" s="24">
        <v>68748.08</v>
      </c>
      <c r="AH1651">
        <v>0</v>
      </c>
      <c r="AI1651">
        <v>0</v>
      </c>
      <c r="AJ1651">
        <v>0</v>
      </c>
      <c r="AK1651">
        <v>0</v>
      </c>
      <c r="AL1651" s="24">
        <v>68748.08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 s="24">
        <v>68748.08</v>
      </c>
      <c r="AV1651">
        <v>0</v>
      </c>
      <c r="AW1651">
        <v>0</v>
      </c>
      <c r="AX1651">
        <v>311000</v>
      </c>
      <c r="AY1651" t="s">
        <v>161</v>
      </c>
      <c r="AZ1651">
        <v>93.34</v>
      </c>
      <c r="BA1651">
        <v>75.430000000000007</v>
      </c>
      <c r="BB1651">
        <v>17.91</v>
      </c>
      <c r="BC1651" t="s">
        <v>168</v>
      </c>
      <c r="BD1651">
        <v>1509</v>
      </c>
      <c r="BE1651" t="s">
        <v>169</v>
      </c>
      <c r="BF1651">
        <v>5094234675</v>
      </c>
      <c r="BG1651" t="s">
        <v>381</v>
      </c>
    </row>
    <row r="1652" spans="1:59">
      <c r="A1652">
        <v>1115</v>
      </c>
      <c r="B1652">
        <v>1115</v>
      </c>
      <c r="C1652">
        <v>10</v>
      </c>
      <c r="D1652">
        <v>2</v>
      </c>
      <c r="E1652" t="s">
        <v>152</v>
      </c>
      <c r="F1652" t="s">
        <v>153</v>
      </c>
      <c r="G1652" t="s">
        <v>154</v>
      </c>
      <c r="H1652">
        <v>1526006992</v>
      </c>
      <c r="I1652">
        <v>1000007277</v>
      </c>
      <c r="L1652" t="s">
        <v>381</v>
      </c>
      <c r="M1652">
        <v>5100001603</v>
      </c>
      <c r="N1652" t="s">
        <v>155</v>
      </c>
      <c r="O1652" t="s">
        <v>156</v>
      </c>
      <c r="P1652">
        <v>4110025468</v>
      </c>
      <c r="Q1652" t="s">
        <v>165</v>
      </c>
      <c r="R1652">
        <v>5000</v>
      </c>
      <c r="S1652" t="s">
        <v>166</v>
      </c>
      <c r="V1652" t="s">
        <v>167</v>
      </c>
      <c r="W1652">
        <v>1502020102</v>
      </c>
      <c r="X1652" t="s">
        <v>58</v>
      </c>
      <c r="Y1652" t="str">
        <f>VLOOKUP(W1652,Sheet4!$A$5:$B$72,2,0)</f>
        <v>MAXIMA HD</v>
      </c>
      <c r="Z1652">
        <v>87082900</v>
      </c>
      <c r="AA1652">
        <v>8</v>
      </c>
      <c r="AB1652" t="s">
        <v>159</v>
      </c>
      <c r="AC1652" s="24">
        <v>8593.51</v>
      </c>
      <c r="AD1652" t="s">
        <v>160</v>
      </c>
      <c r="AE1652" s="24">
        <v>68748.08</v>
      </c>
      <c r="AF1652">
        <v>0</v>
      </c>
      <c r="AG1652" s="24">
        <v>68748.08</v>
      </c>
      <c r="AH1652">
        <v>0</v>
      </c>
      <c r="AI1652">
        <v>0</v>
      </c>
      <c r="AJ1652">
        <v>0</v>
      </c>
      <c r="AK1652">
        <v>0</v>
      </c>
      <c r="AL1652" s="24">
        <v>68748.08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 s="24">
        <v>68748.08</v>
      </c>
      <c r="AV1652">
        <v>0</v>
      </c>
      <c r="AW1652">
        <v>0</v>
      </c>
      <c r="AX1652">
        <v>311000</v>
      </c>
      <c r="AY1652" t="s">
        <v>161</v>
      </c>
      <c r="AZ1652">
        <v>93.34</v>
      </c>
      <c r="BA1652">
        <v>75.430000000000007</v>
      </c>
      <c r="BB1652">
        <v>17.91</v>
      </c>
      <c r="BC1652" t="s">
        <v>168</v>
      </c>
      <c r="BD1652">
        <v>1509</v>
      </c>
      <c r="BE1652" t="s">
        <v>169</v>
      </c>
      <c r="BF1652">
        <v>5094232816</v>
      </c>
      <c r="BG1652" t="s">
        <v>381</v>
      </c>
    </row>
    <row r="1653" spans="1:59">
      <c r="A1653">
        <v>1115</v>
      </c>
      <c r="B1653">
        <v>1115</v>
      </c>
      <c r="C1653">
        <v>10</v>
      </c>
      <c r="D1653">
        <v>2</v>
      </c>
      <c r="E1653" t="s">
        <v>152</v>
      </c>
      <c r="F1653" t="s">
        <v>153</v>
      </c>
      <c r="G1653" t="s">
        <v>154</v>
      </c>
      <c r="H1653">
        <v>1526006991</v>
      </c>
      <c r="I1653">
        <v>1000007276</v>
      </c>
      <c r="L1653" t="s">
        <v>381</v>
      </c>
      <c r="M1653">
        <v>5100001636</v>
      </c>
      <c r="N1653" t="s">
        <v>155</v>
      </c>
      <c r="O1653" t="s">
        <v>156</v>
      </c>
      <c r="P1653">
        <v>4110026445</v>
      </c>
      <c r="Q1653" t="s">
        <v>170</v>
      </c>
      <c r="R1653">
        <v>5000</v>
      </c>
      <c r="S1653" t="s">
        <v>166</v>
      </c>
      <c r="V1653" t="s">
        <v>167</v>
      </c>
      <c r="W1653">
        <v>1502020104</v>
      </c>
      <c r="X1653" t="s">
        <v>26</v>
      </c>
      <c r="Y1653" t="str">
        <f>VLOOKUP(W1653,Sheet4!$A$5:$B$72,2,0)</f>
        <v>RE STYLING</v>
      </c>
      <c r="Z1653">
        <v>87082900</v>
      </c>
      <c r="AA1653">
        <v>15</v>
      </c>
      <c r="AB1653" t="s">
        <v>159</v>
      </c>
      <c r="AC1653" s="24">
        <v>6585.55</v>
      </c>
      <c r="AD1653" t="s">
        <v>160</v>
      </c>
      <c r="AE1653" s="24">
        <v>98783.25</v>
      </c>
      <c r="AF1653">
        <v>0</v>
      </c>
      <c r="AG1653" s="24">
        <v>98783.25</v>
      </c>
      <c r="AH1653">
        <v>0</v>
      </c>
      <c r="AI1653">
        <v>0</v>
      </c>
      <c r="AJ1653">
        <v>0</v>
      </c>
      <c r="AK1653">
        <v>0</v>
      </c>
      <c r="AL1653" s="24">
        <v>98783.25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 s="24">
        <v>98783.25</v>
      </c>
      <c r="AV1653">
        <v>0</v>
      </c>
      <c r="AW1653">
        <v>0</v>
      </c>
      <c r="AX1653">
        <v>311000</v>
      </c>
      <c r="AY1653" t="s">
        <v>161</v>
      </c>
      <c r="AZ1653">
        <v>49.75</v>
      </c>
      <c r="BA1653">
        <v>49.75</v>
      </c>
      <c r="BB1653">
        <v>0</v>
      </c>
      <c r="BC1653" t="s">
        <v>171</v>
      </c>
      <c r="BD1653">
        <v>1509</v>
      </c>
      <c r="BE1653" t="s">
        <v>169</v>
      </c>
      <c r="BF1653">
        <v>5094237934</v>
      </c>
      <c r="BG1653" t="s">
        <v>381</v>
      </c>
    </row>
    <row r="1654" spans="1:59">
      <c r="A1654">
        <v>1115</v>
      </c>
      <c r="B1654">
        <v>1115</v>
      </c>
      <c r="C1654">
        <v>10</v>
      </c>
      <c r="D1654">
        <v>2</v>
      </c>
      <c r="E1654" t="s">
        <v>152</v>
      </c>
      <c r="F1654" t="s">
        <v>153</v>
      </c>
      <c r="G1654" t="s">
        <v>154</v>
      </c>
      <c r="H1654">
        <v>1526006990</v>
      </c>
      <c r="I1654">
        <v>1000007275</v>
      </c>
      <c r="L1654" t="s">
        <v>381</v>
      </c>
      <c r="M1654">
        <v>5100001636</v>
      </c>
      <c r="N1654" t="s">
        <v>155</v>
      </c>
      <c r="O1654" t="s">
        <v>156</v>
      </c>
      <c r="P1654">
        <v>4110026445</v>
      </c>
      <c r="Q1654" t="s">
        <v>170</v>
      </c>
      <c r="R1654">
        <v>5000</v>
      </c>
      <c r="S1654" t="s">
        <v>166</v>
      </c>
      <c r="V1654" t="s">
        <v>167</v>
      </c>
      <c r="W1654">
        <v>1502020104</v>
      </c>
      <c r="X1654" t="s">
        <v>26</v>
      </c>
      <c r="Y1654" t="str">
        <f>VLOOKUP(W1654,Sheet4!$A$5:$B$72,2,0)</f>
        <v>RE STYLING</v>
      </c>
      <c r="Z1654">
        <v>87082900</v>
      </c>
      <c r="AA1654">
        <v>15</v>
      </c>
      <c r="AB1654" t="s">
        <v>159</v>
      </c>
      <c r="AC1654" s="24">
        <v>6585.55</v>
      </c>
      <c r="AD1654" t="s">
        <v>160</v>
      </c>
      <c r="AE1654" s="24">
        <v>98783.25</v>
      </c>
      <c r="AF1654">
        <v>0</v>
      </c>
      <c r="AG1654" s="24">
        <v>98783.25</v>
      </c>
      <c r="AH1654">
        <v>0</v>
      </c>
      <c r="AI1654">
        <v>0</v>
      </c>
      <c r="AJ1654">
        <v>0</v>
      </c>
      <c r="AK1654">
        <v>0</v>
      </c>
      <c r="AL1654" s="24">
        <v>98783.25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 s="24">
        <v>98783.25</v>
      </c>
      <c r="AV1654">
        <v>0</v>
      </c>
      <c r="AW1654">
        <v>0</v>
      </c>
      <c r="AX1654">
        <v>311000</v>
      </c>
      <c r="AY1654" t="s">
        <v>161</v>
      </c>
      <c r="AZ1654">
        <v>49.75</v>
      </c>
      <c r="BA1654">
        <v>49.75</v>
      </c>
      <c r="BB1654">
        <v>0</v>
      </c>
      <c r="BC1654" t="s">
        <v>171</v>
      </c>
      <c r="BD1654">
        <v>1509</v>
      </c>
      <c r="BE1654" t="s">
        <v>169</v>
      </c>
      <c r="BF1654">
        <v>5094237024</v>
      </c>
      <c r="BG1654" t="s">
        <v>381</v>
      </c>
    </row>
    <row r="1655" spans="1:59">
      <c r="A1655">
        <v>1115</v>
      </c>
      <c r="B1655">
        <v>1115</v>
      </c>
      <c r="C1655">
        <v>10</v>
      </c>
      <c r="D1655">
        <v>2</v>
      </c>
      <c r="E1655" t="s">
        <v>152</v>
      </c>
      <c r="F1655" t="s">
        <v>153</v>
      </c>
      <c r="G1655" t="s">
        <v>154</v>
      </c>
      <c r="H1655">
        <v>1526006989</v>
      </c>
      <c r="I1655">
        <v>1000007274</v>
      </c>
      <c r="L1655" t="s">
        <v>381</v>
      </c>
      <c r="M1655">
        <v>5100001636</v>
      </c>
      <c r="N1655" t="s">
        <v>155</v>
      </c>
      <c r="O1655" t="s">
        <v>156</v>
      </c>
      <c r="P1655">
        <v>4110026445</v>
      </c>
      <c r="Q1655" t="s">
        <v>170</v>
      </c>
      <c r="R1655">
        <v>5000</v>
      </c>
      <c r="S1655" t="s">
        <v>166</v>
      </c>
      <c r="V1655" t="s">
        <v>167</v>
      </c>
      <c r="W1655">
        <v>1502020104</v>
      </c>
      <c r="X1655" t="s">
        <v>26</v>
      </c>
      <c r="Y1655" t="str">
        <f>VLOOKUP(W1655,Sheet4!$A$5:$B$72,2,0)</f>
        <v>RE STYLING</v>
      </c>
      <c r="Z1655">
        <v>87082900</v>
      </c>
      <c r="AA1655">
        <v>15</v>
      </c>
      <c r="AB1655" t="s">
        <v>159</v>
      </c>
      <c r="AC1655" s="24">
        <v>6585.55</v>
      </c>
      <c r="AD1655" t="s">
        <v>160</v>
      </c>
      <c r="AE1655" s="24">
        <v>98783.25</v>
      </c>
      <c r="AF1655">
        <v>0</v>
      </c>
      <c r="AG1655" s="24">
        <v>98783.25</v>
      </c>
      <c r="AH1655">
        <v>0</v>
      </c>
      <c r="AI1655">
        <v>0</v>
      </c>
      <c r="AJ1655">
        <v>0</v>
      </c>
      <c r="AK1655">
        <v>0</v>
      </c>
      <c r="AL1655" s="24">
        <v>98783.25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 s="24">
        <v>98783.25</v>
      </c>
      <c r="AV1655">
        <v>0</v>
      </c>
      <c r="AW1655">
        <v>0</v>
      </c>
      <c r="AX1655">
        <v>311000</v>
      </c>
      <c r="AY1655" t="s">
        <v>161</v>
      </c>
      <c r="AZ1655">
        <v>49.75</v>
      </c>
      <c r="BA1655">
        <v>49.75</v>
      </c>
      <c r="BB1655">
        <v>0</v>
      </c>
      <c r="BC1655" t="s">
        <v>171</v>
      </c>
      <c r="BD1655">
        <v>1509</v>
      </c>
      <c r="BE1655" t="s">
        <v>169</v>
      </c>
      <c r="BF1655">
        <v>5094237577</v>
      </c>
      <c r="BG1655" t="s">
        <v>381</v>
      </c>
    </row>
    <row r="1656" spans="1:59">
      <c r="A1656">
        <v>1115</v>
      </c>
      <c r="B1656">
        <v>1115</v>
      </c>
      <c r="C1656">
        <v>10</v>
      </c>
      <c r="D1656">
        <v>2</v>
      </c>
      <c r="E1656" t="s">
        <v>152</v>
      </c>
      <c r="F1656" t="s">
        <v>153</v>
      </c>
      <c r="G1656" t="s">
        <v>154</v>
      </c>
      <c r="H1656">
        <v>1526007070</v>
      </c>
      <c r="I1656">
        <v>1000007350</v>
      </c>
      <c r="L1656" t="s">
        <v>381</v>
      </c>
      <c r="M1656">
        <v>5200000329</v>
      </c>
      <c r="N1656" t="s">
        <v>304</v>
      </c>
      <c r="O1656" t="s">
        <v>305</v>
      </c>
      <c r="P1656">
        <v>4310001700</v>
      </c>
      <c r="Q1656" t="s">
        <v>177</v>
      </c>
      <c r="R1656">
        <v>5000</v>
      </c>
      <c r="S1656" t="s">
        <v>166</v>
      </c>
      <c r="V1656" t="s">
        <v>167</v>
      </c>
      <c r="W1656">
        <v>1502040194</v>
      </c>
      <c r="X1656" t="s">
        <v>44</v>
      </c>
      <c r="Y1656" t="str">
        <f>VLOOKUP(W1656,Sheet4!$A$5:$B$72,2,0)</f>
        <v>CRADEL</v>
      </c>
      <c r="Z1656">
        <v>87082900</v>
      </c>
      <c r="AA1656">
        <v>76</v>
      </c>
      <c r="AB1656" t="s">
        <v>159</v>
      </c>
      <c r="AC1656" s="24">
        <v>1049.7</v>
      </c>
      <c r="AD1656" t="s">
        <v>160</v>
      </c>
      <c r="AE1656" s="24">
        <v>79777.2</v>
      </c>
      <c r="AF1656">
        <v>0</v>
      </c>
      <c r="AG1656" s="24">
        <v>79777.2</v>
      </c>
      <c r="AH1656">
        <v>0</v>
      </c>
      <c r="AI1656">
        <v>0</v>
      </c>
      <c r="AJ1656">
        <v>0</v>
      </c>
      <c r="AK1656">
        <v>0</v>
      </c>
      <c r="AL1656" s="24">
        <v>79777.2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 s="24">
        <v>79777.2</v>
      </c>
      <c r="AV1656">
        <v>0</v>
      </c>
      <c r="AW1656">
        <v>0</v>
      </c>
      <c r="AX1656">
        <v>311000</v>
      </c>
      <c r="AY1656" t="s">
        <v>161</v>
      </c>
      <c r="AZ1656">
        <v>6.3769999999999998</v>
      </c>
      <c r="BA1656">
        <v>6.3769999999999998</v>
      </c>
      <c r="BB1656">
        <v>0</v>
      </c>
      <c r="BC1656" t="s">
        <v>184</v>
      </c>
      <c r="BD1656">
        <v>1511</v>
      </c>
      <c r="BE1656" t="s">
        <v>174</v>
      </c>
      <c r="BF1656">
        <v>5094238864</v>
      </c>
      <c r="BG1656" t="s">
        <v>381</v>
      </c>
    </row>
    <row r="1657" spans="1:59">
      <c r="A1657">
        <v>1115</v>
      </c>
      <c r="B1657">
        <v>1115</v>
      </c>
      <c r="C1657">
        <v>10</v>
      </c>
      <c r="D1657">
        <v>2</v>
      </c>
      <c r="E1657" t="s">
        <v>152</v>
      </c>
      <c r="F1657" t="s">
        <v>153</v>
      </c>
      <c r="G1657" t="s">
        <v>154</v>
      </c>
      <c r="H1657">
        <v>1526007067</v>
      </c>
      <c r="I1657">
        <v>1000007348</v>
      </c>
      <c r="L1657" t="s">
        <v>381</v>
      </c>
      <c r="M1657">
        <v>5100001919</v>
      </c>
      <c r="N1657" t="s">
        <v>155</v>
      </c>
      <c r="O1657" t="s">
        <v>156</v>
      </c>
      <c r="P1657">
        <v>5500000930</v>
      </c>
      <c r="Q1657" t="s">
        <v>157</v>
      </c>
      <c r="R1657">
        <v>5356</v>
      </c>
      <c r="S1657" t="s">
        <v>158</v>
      </c>
      <c r="W1657">
        <v>1502010011</v>
      </c>
      <c r="X1657" t="s">
        <v>35</v>
      </c>
      <c r="Y1657" t="str">
        <f>VLOOKUP(W1657,Sheet4!$A$5:$B$72,2,0)</f>
        <v>REAR MUDGAURD</v>
      </c>
      <c r="Z1657">
        <v>87082900</v>
      </c>
      <c r="AA1657">
        <v>432</v>
      </c>
      <c r="AB1657" t="s">
        <v>159</v>
      </c>
      <c r="AC1657">
        <v>89.25</v>
      </c>
      <c r="AD1657" t="s">
        <v>160</v>
      </c>
      <c r="AE1657" s="24">
        <v>38556</v>
      </c>
      <c r="AF1657">
        <v>0</v>
      </c>
      <c r="AG1657" s="24">
        <v>38556</v>
      </c>
      <c r="AH1657">
        <v>0</v>
      </c>
      <c r="AI1657">
        <v>0</v>
      </c>
      <c r="AJ1657">
        <v>0</v>
      </c>
      <c r="AK1657">
        <v>0</v>
      </c>
      <c r="AL1657" s="24">
        <v>38556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 s="24">
        <v>38556</v>
      </c>
      <c r="AV1657">
        <v>0</v>
      </c>
      <c r="AW1657">
        <v>0</v>
      </c>
      <c r="AX1657">
        <v>311000</v>
      </c>
      <c r="AY1657" t="s">
        <v>161</v>
      </c>
      <c r="AZ1657">
        <v>1.32</v>
      </c>
      <c r="BA1657">
        <v>0.72399999999999998</v>
      </c>
      <c r="BB1657">
        <v>0.59599999999999997</v>
      </c>
      <c r="BC1657">
        <v>2000001017</v>
      </c>
      <c r="BD1657">
        <v>1508</v>
      </c>
      <c r="BE1657" t="s">
        <v>162</v>
      </c>
      <c r="BF1657" t="s">
        <v>163</v>
      </c>
      <c r="BG1657" t="s">
        <v>164</v>
      </c>
    </row>
    <row r="1658" spans="1:59">
      <c r="A1658">
        <v>1115</v>
      </c>
      <c r="B1658">
        <v>1115</v>
      </c>
      <c r="C1658">
        <v>10</v>
      </c>
      <c r="D1658">
        <v>2</v>
      </c>
      <c r="E1658" t="s">
        <v>152</v>
      </c>
      <c r="F1658" t="s">
        <v>153</v>
      </c>
      <c r="G1658" t="s">
        <v>154</v>
      </c>
      <c r="H1658">
        <v>1526007065</v>
      </c>
      <c r="I1658">
        <v>1000007346</v>
      </c>
      <c r="L1658" t="s">
        <v>381</v>
      </c>
      <c r="M1658">
        <v>5100001919</v>
      </c>
      <c r="N1658" t="s">
        <v>155</v>
      </c>
      <c r="O1658" t="s">
        <v>156</v>
      </c>
      <c r="P1658">
        <v>5500000930</v>
      </c>
      <c r="Q1658" t="s">
        <v>157</v>
      </c>
      <c r="R1658">
        <v>5356</v>
      </c>
      <c r="S1658" t="s">
        <v>158</v>
      </c>
      <c r="W1658">
        <v>1502010011</v>
      </c>
      <c r="X1658" t="s">
        <v>35</v>
      </c>
      <c r="Y1658" t="str">
        <f>VLOOKUP(W1658,Sheet4!$A$5:$B$72,2,0)</f>
        <v>REAR MUDGAURD</v>
      </c>
      <c r="Z1658">
        <v>87082900</v>
      </c>
      <c r="AA1658">
        <v>432</v>
      </c>
      <c r="AB1658" t="s">
        <v>159</v>
      </c>
      <c r="AC1658">
        <v>89.25</v>
      </c>
      <c r="AD1658" t="s">
        <v>160</v>
      </c>
      <c r="AE1658" s="24">
        <v>38556</v>
      </c>
      <c r="AF1658">
        <v>0</v>
      </c>
      <c r="AG1658" s="24">
        <v>38556</v>
      </c>
      <c r="AH1658">
        <v>0</v>
      </c>
      <c r="AI1658">
        <v>0</v>
      </c>
      <c r="AJ1658">
        <v>0</v>
      </c>
      <c r="AK1658">
        <v>0</v>
      </c>
      <c r="AL1658" s="24">
        <v>38556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 s="24">
        <v>38556</v>
      </c>
      <c r="AV1658">
        <v>0</v>
      </c>
      <c r="AW1658">
        <v>0</v>
      </c>
      <c r="AX1658">
        <v>311000</v>
      </c>
      <c r="AY1658" t="s">
        <v>161</v>
      </c>
      <c r="AZ1658">
        <v>1.32</v>
      </c>
      <c r="BA1658">
        <v>0.72399999999999998</v>
      </c>
      <c r="BB1658">
        <v>0.59599999999999997</v>
      </c>
      <c r="BC1658">
        <v>2000001017</v>
      </c>
      <c r="BD1658">
        <v>1508</v>
      </c>
      <c r="BE1658" t="s">
        <v>162</v>
      </c>
      <c r="BF1658" t="s">
        <v>163</v>
      </c>
      <c r="BG1658" t="s">
        <v>164</v>
      </c>
    </row>
    <row r="1659" spans="1:59">
      <c r="A1659">
        <v>1115</v>
      </c>
      <c r="B1659">
        <v>1115</v>
      </c>
      <c r="C1659">
        <v>10</v>
      </c>
      <c r="D1659">
        <v>2</v>
      </c>
      <c r="E1659" t="s">
        <v>152</v>
      </c>
      <c r="F1659" t="s">
        <v>153</v>
      </c>
      <c r="G1659" t="s">
        <v>154</v>
      </c>
      <c r="H1659">
        <v>1526007064</v>
      </c>
      <c r="I1659">
        <v>1000007345</v>
      </c>
      <c r="L1659" t="s">
        <v>381</v>
      </c>
      <c r="M1659">
        <v>5100001949</v>
      </c>
      <c r="N1659" t="s">
        <v>155</v>
      </c>
      <c r="O1659" t="s">
        <v>156</v>
      </c>
      <c r="P1659">
        <v>4110063766</v>
      </c>
      <c r="Q1659" t="s">
        <v>252</v>
      </c>
      <c r="R1659">
        <v>5000</v>
      </c>
      <c r="S1659" t="s">
        <v>166</v>
      </c>
      <c r="V1659" t="s">
        <v>167</v>
      </c>
      <c r="W1659">
        <v>1502040322</v>
      </c>
      <c r="X1659" t="s">
        <v>250</v>
      </c>
      <c r="Y1659" t="str">
        <f>VLOOKUP(W1659,Sheet4!$A$5:$B$72,2,0)</f>
        <v>DASH BOARD</v>
      </c>
      <c r="Z1659">
        <v>87082900</v>
      </c>
      <c r="AA1659">
        <v>118</v>
      </c>
      <c r="AB1659" t="s">
        <v>159</v>
      </c>
      <c r="AC1659">
        <v>291.27999999999997</v>
      </c>
      <c r="AD1659" t="s">
        <v>160</v>
      </c>
      <c r="AE1659" s="24">
        <v>34371.040000000001</v>
      </c>
      <c r="AF1659">
        <v>0</v>
      </c>
      <c r="AG1659" s="24">
        <v>34371.040000000001</v>
      </c>
      <c r="AH1659">
        <v>0</v>
      </c>
      <c r="AI1659">
        <v>0</v>
      </c>
      <c r="AJ1659">
        <v>0</v>
      </c>
      <c r="AK1659">
        <v>0</v>
      </c>
      <c r="AL1659" s="24">
        <v>34371.040000000001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 s="24">
        <v>34371.040000000001</v>
      </c>
      <c r="AV1659">
        <v>0</v>
      </c>
      <c r="AW1659">
        <v>0</v>
      </c>
      <c r="AX1659">
        <v>311000</v>
      </c>
      <c r="AY1659" t="s">
        <v>161</v>
      </c>
      <c r="AZ1659">
        <v>2.37</v>
      </c>
      <c r="BA1659">
        <v>2.37</v>
      </c>
      <c r="BB1659">
        <v>0</v>
      </c>
      <c r="BC1659" t="s">
        <v>251</v>
      </c>
      <c r="BD1659">
        <v>1511</v>
      </c>
      <c r="BE1659" t="s">
        <v>174</v>
      </c>
      <c r="BF1659">
        <v>5094246815</v>
      </c>
      <c r="BG1659" t="s">
        <v>381</v>
      </c>
    </row>
    <row r="1660" spans="1:59">
      <c r="A1660">
        <v>1115</v>
      </c>
      <c r="B1660">
        <v>1115</v>
      </c>
      <c r="C1660">
        <v>10</v>
      </c>
      <c r="D1660">
        <v>2</v>
      </c>
      <c r="E1660" t="s">
        <v>152</v>
      </c>
      <c r="F1660" t="s">
        <v>153</v>
      </c>
      <c r="G1660" t="s">
        <v>154</v>
      </c>
      <c r="H1660">
        <v>1526007063</v>
      </c>
      <c r="I1660">
        <v>1000007344</v>
      </c>
      <c r="L1660" t="s">
        <v>381</v>
      </c>
      <c r="M1660">
        <v>5100001919</v>
      </c>
      <c r="N1660" t="s">
        <v>155</v>
      </c>
      <c r="O1660" t="s">
        <v>156</v>
      </c>
      <c r="P1660">
        <v>5500000930</v>
      </c>
      <c r="Q1660" t="s">
        <v>157</v>
      </c>
      <c r="R1660">
        <v>5356</v>
      </c>
      <c r="S1660" t="s">
        <v>158</v>
      </c>
      <c r="W1660">
        <v>1502010011</v>
      </c>
      <c r="X1660" t="s">
        <v>35</v>
      </c>
      <c r="Y1660" t="str">
        <f>VLOOKUP(W1660,Sheet4!$A$5:$B$72,2,0)</f>
        <v>REAR MUDGAURD</v>
      </c>
      <c r="Z1660">
        <v>87082900</v>
      </c>
      <c r="AA1660">
        <v>432</v>
      </c>
      <c r="AB1660" t="s">
        <v>159</v>
      </c>
      <c r="AC1660">
        <v>89.25</v>
      </c>
      <c r="AD1660" t="s">
        <v>160</v>
      </c>
      <c r="AE1660" s="24">
        <v>38556</v>
      </c>
      <c r="AF1660">
        <v>0</v>
      </c>
      <c r="AG1660" s="24">
        <v>38556</v>
      </c>
      <c r="AH1660">
        <v>0</v>
      </c>
      <c r="AI1660">
        <v>0</v>
      </c>
      <c r="AJ1660">
        <v>0</v>
      </c>
      <c r="AK1660">
        <v>0</v>
      </c>
      <c r="AL1660" s="24">
        <v>38556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 s="24">
        <v>38556</v>
      </c>
      <c r="AV1660">
        <v>0</v>
      </c>
      <c r="AW1660">
        <v>0</v>
      </c>
      <c r="AX1660">
        <v>311000</v>
      </c>
      <c r="AY1660" t="s">
        <v>161</v>
      </c>
      <c r="AZ1660">
        <v>1.32</v>
      </c>
      <c r="BA1660">
        <v>0.72399999999999998</v>
      </c>
      <c r="BB1660">
        <v>0.59599999999999997</v>
      </c>
      <c r="BC1660">
        <v>2000001017</v>
      </c>
      <c r="BD1660">
        <v>1508</v>
      </c>
      <c r="BE1660" t="s">
        <v>162</v>
      </c>
      <c r="BF1660" t="s">
        <v>163</v>
      </c>
      <c r="BG1660" t="s">
        <v>164</v>
      </c>
    </row>
    <row r="1661" spans="1:59">
      <c r="A1661">
        <v>1115</v>
      </c>
      <c r="B1661">
        <v>1115</v>
      </c>
      <c r="C1661">
        <v>10</v>
      </c>
      <c r="D1661">
        <v>2</v>
      </c>
      <c r="E1661" t="s">
        <v>152</v>
      </c>
      <c r="F1661" t="s">
        <v>153</v>
      </c>
      <c r="G1661" t="s">
        <v>154</v>
      </c>
      <c r="H1661">
        <v>1526007060</v>
      </c>
      <c r="I1661">
        <v>1000007341</v>
      </c>
      <c r="L1661" t="s">
        <v>381</v>
      </c>
      <c r="M1661">
        <v>5100001919</v>
      </c>
      <c r="N1661" t="s">
        <v>155</v>
      </c>
      <c r="O1661" t="s">
        <v>156</v>
      </c>
      <c r="P1661">
        <v>5500000930</v>
      </c>
      <c r="Q1661" t="s">
        <v>157</v>
      </c>
      <c r="R1661">
        <v>5356</v>
      </c>
      <c r="S1661" t="s">
        <v>158</v>
      </c>
      <c r="W1661">
        <v>1502010011</v>
      </c>
      <c r="X1661" t="s">
        <v>35</v>
      </c>
      <c r="Y1661" t="str">
        <f>VLOOKUP(W1661,Sheet4!$A$5:$B$72,2,0)</f>
        <v>REAR MUDGAURD</v>
      </c>
      <c r="Z1661">
        <v>87082900</v>
      </c>
      <c r="AA1661">
        <v>432</v>
      </c>
      <c r="AB1661" t="s">
        <v>159</v>
      </c>
      <c r="AC1661">
        <v>89.25</v>
      </c>
      <c r="AD1661" t="s">
        <v>160</v>
      </c>
      <c r="AE1661" s="24">
        <v>38556</v>
      </c>
      <c r="AF1661">
        <v>0</v>
      </c>
      <c r="AG1661" s="24">
        <v>38556</v>
      </c>
      <c r="AH1661">
        <v>0</v>
      </c>
      <c r="AI1661">
        <v>0</v>
      </c>
      <c r="AJ1661">
        <v>0</v>
      </c>
      <c r="AK1661">
        <v>0</v>
      </c>
      <c r="AL1661" s="24">
        <v>38556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 s="24">
        <v>38556</v>
      </c>
      <c r="AV1661">
        <v>0</v>
      </c>
      <c r="AW1661">
        <v>0</v>
      </c>
      <c r="AX1661">
        <v>311000</v>
      </c>
      <c r="AY1661" t="s">
        <v>161</v>
      </c>
      <c r="AZ1661">
        <v>1.32</v>
      </c>
      <c r="BA1661">
        <v>0.72399999999999998</v>
      </c>
      <c r="BB1661">
        <v>0.59599999999999997</v>
      </c>
      <c r="BC1661">
        <v>2000001017</v>
      </c>
      <c r="BD1661">
        <v>1508</v>
      </c>
      <c r="BE1661" t="s">
        <v>162</v>
      </c>
      <c r="BF1661" t="s">
        <v>163</v>
      </c>
      <c r="BG1661" t="s">
        <v>164</v>
      </c>
    </row>
    <row r="1662" spans="1:59">
      <c r="A1662">
        <v>1115</v>
      </c>
      <c r="B1662">
        <v>1115</v>
      </c>
      <c r="C1662">
        <v>10</v>
      </c>
      <c r="D1662">
        <v>2</v>
      </c>
      <c r="E1662" t="s">
        <v>152</v>
      </c>
      <c r="F1662" t="s">
        <v>153</v>
      </c>
      <c r="G1662" t="s">
        <v>154</v>
      </c>
      <c r="H1662">
        <v>1526007059</v>
      </c>
      <c r="I1662">
        <v>1000007340</v>
      </c>
      <c r="L1662" t="s">
        <v>381</v>
      </c>
      <c r="M1662">
        <v>5100001899</v>
      </c>
      <c r="N1662" t="s">
        <v>155</v>
      </c>
      <c r="O1662" t="s">
        <v>156</v>
      </c>
      <c r="P1662">
        <v>4110041854</v>
      </c>
      <c r="Q1662" t="s">
        <v>172</v>
      </c>
      <c r="R1662">
        <v>5000</v>
      </c>
      <c r="S1662" t="s">
        <v>166</v>
      </c>
      <c r="V1662" t="s">
        <v>167</v>
      </c>
      <c r="W1662">
        <v>1502040267</v>
      </c>
      <c r="X1662" t="s">
        <v>63</v>
      </c>
      <c r="Y1662" t="str">
        <f>VLOOKUP(W1662,Sheet4!$A$5:$B$72,2,0)</f>
        <v>DASH BOARD</v>
      </c>
      <c r="Z1662">
        <v>87082900</v>
      </c>
      <c r="AA1662">
        <v>384</v>
      </c>
      <c r="AB1662" t="s">
        <v>159</v>
      </c>
      <c r="AC1662">
        <v>290.89999999999998</v>
      </c>
      <c r="AD1662" t="s">
        <v>160</v>
      </c>
      <c r="AE1662" s="24">
        <v>111705.60000000001</v>
      </c>
      <c r="AF1662">
        <v>0</v>
      </c>
      <c r="AG1662" s="24">
        <v>111705.60000000001</v>
      </c>
      <c r="AH1662">
        <v>0</v>
      </c>
      <c r="AI1662">
        <v>0</v>
      </c>
      <c r="AJ1662">
        <v>0</v>
      </c>
      <c r="AK1662">
        <v>0</v>
      </c>
      <c r="AL1662" s="24">
        <v>111705.60000000001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 s="24">
        <v>111705.60000000001</v>
      </c>
      <c r="AV1662">
        <v>0</v>
      </c>
      <c r="AW1662">
        <v>0</v>
      </c>
      <c r="AX1662">
        <v>311000</v>
      </c>
      <c r="AY1662" t="s">
        <v>161</v>
      </c>
      <c r="AZ1662">
        <v>4.5</v>
      </c>
      <c r="BA1662">
        <v>4.5</v>
      </c>
      <c r="BB1662">
        <v>0</v>
      </c>
      <c r="BC1662" t="s">
        <v>173</v>
      </c>
      <c r="BD1662">
        <v>1511</v>
      </c>
      <c r="BE1662" t="s">
        <v>174</v>
      </c>
      <c r="BF1662">
        <v>5094246814</v>
      </c>
      <c r="BG1662" t="s">
        <v>381</v>
      </c>
    </row>
    <row r="1663" spans="1:59">
      <c r="A1663">
        <v>1115</v>
      </c>
      <c r="B1663">
        <v>1115</v>
      </c>
      <c r="C1663">
        <v>10</v>
      </c>
      <c r="D1663">
        <v>2</v>
      </c>
      <c r="E1663" t="s">
        <v>152</v>
      </c>
      <c r="F1663" t="s">
        <v>153</v>
      </c>
      <c r="G1663" t="s">
        <v>154</v>
      </c>
      <c r="H1663">
        <v>1526007057</v>
      </c>
      <c r="I1663">
        <v>1000007338</v>
      </c>
      <c r="L1663" t="s">
        <v>381</v>
      </c>
      <c r="M1663">
        <v>5100001919</v>
      </c>
      <c r="N1663" t="s">
        <v>155</v>
      </c>
      <c r="O1663" t="s">
        <v>156</v>
      </c>
      <c r="P1663">
        <v>5500000930</v>
      </c>
      <c r="Q1663" t="s">
        <v>157</v>
      </c>
      <c r="R1663">
        <v>5356</v>
      </c>
      <c r="S1663" t="s">
        <v>158</v>
      </c>
      <c r="W1663">
        <v>1502010011</v>
      </c>
      <c r="X1663" t="s">
        <v>35</v>
      </c>
      <c r="Y1663" t="str">
        <f>VLOOKUP(W1663,Sheet4!$A$5:$B$72,2,0)</f>
        <v>REAR MUDGAURD</v>
      </c>
      <c r="Z1663">
        <v>87082900</v>
      </c>
      <c r="AA1663">
        <v>432</v>
      </c>
      <c r="AB1663" t="s">
        <v>159</v>
      </c>
      <c r="AC1663">
        <v>89.25</v>
      </c>
      <c r="AD1663" t="s">
        <v>160</v>
      </c>
      <c r="AE1663" s="24">
        <v>38556</v>
      </c>
      <c r="AF1663">
        <v>0</v>
      </c>
      <c r="AG1663" s="24">
        <v>38556</v>
      </c>
      <c r="AH1663">
        <v>0</v>
      </c>
      <c r="AI1663">
        <v>0</v>
      </c>
      <c r="AJ1663">
        <v>0</v>
      </c>
      <c r="AK1663">
        <v>0</v>
      </c>
      <c r="AL1663" s="24">
        <v>38556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 s="24">
        <v>38556</v>
      </c>
      <c r="AV1663">
        <v>0</v>
      </c>
      <c r="AW1663">
        <v>0</v>
      </c>
      <c r="AX1663">
        <v>311000</v>
      </c>
      <c r="AY1663" t="s">
        <v>161</v>
      </c>
      <c r="AZ1663">
        <v>1.32</v>
      </c>
      <c r="BA1663">
        <v>0.72399999999999998</v>
      </c>
      <c r="BB1663">
        <v>0.59599999999999997</v>
      </c>
      <c r="BC1663">
        <v>2000001017</v>
      </c>
      <c r="BD1663">
        <v>1508</v>
      </c>
      <c r="BE1663" t="s">
        <v>162</v>
      </c>
      <c r="BF1663" t="s">
        <v>163</v>
      </c>
      <c r="BG1663" t="s">
        <v>164</v>
      </c>
    </row>
    <row r="1664" spans="1:59">
      <c r="A1664">
        <v>1115</v>
      </c>
      <c r="B1664">
        <v>1115</v>
      </c>
      <c r="C1664">
        <v>10</v>
      </c>
      <c r="D1664">
        <v>2</v>
      </c>
      <c r="E1664" t="s">
        <v>152</v>
      </c>
      <c r="F1664" t="s">
        <v>153</v>
      </c>
      <c r="G1664" t="s">
        <v>154</v>
      </c>
      <c r="H1664">
        <v>1526007056</v>
      </c>
      <c r="I1664">
        <v>1000007337</v>
      </c>
      <c r="L1664" t="s">
        <v>381</v>
      </c>
      <c r="M1664">
        <v>5100001919</v>
      </c>
      <c r="N1664" t="s">
        <v>155</v>
      </c>
      <c r="O1664" t="s">
        <v>156</v>
      </c>
      <c r="P1664">
        <v>5500000930</v>
      </c>
      <c r="Q1664" t="s">
        <v>157</v>
      </c>
      <c r="R1664">
        <v>5356</v>
      </c>
      <c r="S1664" t="s">
        <v>158</v>
      </c>
      <c r="W1664">
        <v>1502010011</v>
      </c>
      <c r="X1664" t="s">
        <v>35</v>
      </c>
      <c r="Y1664" t="str">
        <f>VLOOKUP(W1664,Sheet4!$A$5:$B$72,2,0)</f>
        <v>REAR MUDGAURD</v>
      </c>
      <c r="Z1664">
        <v>87082900</v>
      </c>
      <c r="AA1664">
        <v>432</v>
      </c>
      <c r="AB1664" t="s">
        <v>159</v>
      </c>
      <c r="AC1664">
        <v>89.25</v>
      </c>
      <c r="AD1664" t="s">
        <v>160</v>
      </c>
      <c r="AE1664" s="24">
        <v>38556</v>
      </c>
      <c r="AF1664">
        <v>0</v>
      </c>
      <c r="AG1664" s="24">
        <v>38556</v>
      </c>
      <c r="AH1664">
        <v>0</v>
      </c>
      <c r="AI1664">
        <v>0</v>
      </c>
      <c r="AJ1664">
        <v>0</v>
      </c>
      <c r="AK1664">
        <v>0</v>
      </c>
      <c r="AL1664" s="24">
        <v>38556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 s="24">
        <v>38556</v>
      </c>
      <c r="AV1664">
        <v>0</v>
      </c>
      <c r="AW1664">
        <v>0</v>
      </c>
      <c r="AX1664">
        <v>311000</v>
      </c>
      <c r="AY1664" t="s">
        <v>161</v>
      </c>
      <c r="AZ1664">
        <v>1.32</v>
      </c>
      <c r="BA1664">
        <v>0.72399999999999998</v>
      </c>
      <c r="BB1664">
        <v>0.59599999999999997</v>
      </c>
      <c r="BC1664">
        <v>2000001017</v>
      </c>
      <c r="BD1664">
        <v>1508</v>
      </c>
      <c r="BE1664" t="s">
        <v>162</v>
      </c>
      <c r="BF1664" t="s">
        <v>163</v>
      </c>
      <c r="BG1664" t="s">
        <v>164</v>
      </c>
    </row>
    <row r="1665" spans="1:59">
      <c r="A1665">
        <v>1115</v>
      </c>
      <c r="B1665">
        <v>1115</v>
      </c>
      <c r="C1665">
        <v>10</v>
      </c>
      <c r="D1665">
        <v>2</v>
      </c>
      <c r="E1665" t="s">
        <v>152</v>
      </c>
      <c r="F1665" t="s">
        <v>153</v>
      </c>
      <c r="G1665" t="s">
        <v>154</v>
      </c>
      <c r="H1665">
        <v>1526007055</v>
      </c>
      <c r="I1665">
        <v>1000007336</v>
      </c>
      <c r="L1665" t="s">
        <v>381</v>
      </c>
      <c r="M1665">
        <v>5100001919</v>
      </c>
      <c r="N1665" t="s">
        <v>155</v>
      </c>
      <c r="O1665" t="s">
        <v>156</v>
      </c>
      <c r="P1665">
        <v>5500000930</v>
      </c>
      <c r="Q1665" t="s">
        <v>157</v>
      </c>
      <c r="R1665">
        <v>5356</v>
      </c>
      <c r="S1665" t="s">
        <v>158</v>
      </c>
      <c r="W1665">
        <v>1502010011</v>
      </c>
      <c r="X1665" t="s">
        <v>35</v>
      </c>
      <c r="Y1665" t="str">
        <f>VLOOKUP(W1665,Sheet4!$A$5:$B$72,2,0)</f>
        <v>REAR MUDGAURD</v>
      </c>
      <c r="Z1665">
        <v>87082900</v>
      </c>
      <c r="AA1665">
        <v>432</v>
      </c>
      <c r="AB1665" t="s">
        <v>159</v>
      </c>
      <c r="AC1665">
        <v>89.25</v>
      </c>
      <c r="AD1665" t="s">
        <v>160</v>
      </c>
      <c r="AE1665" s="24">
        <v>38556</v>
      </c>
      <c r="AF1665">
        <v>0</v>
      </c>
      <c r="AG1665" s="24">
        <v>38556</v>
      </c>
      <c r="AH1665">
        <v>0</v>
      </c>
      <c r="AI1665">
        <v>0</v>
      </c>
      <c r="AJ1665">
        <v>0</v>
      </c>
      <c r="AK1665">
        <v>0</v>
      </c>
      <c r="AL1665" s="24">
        <v>38556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 s="24">
        <v>38556</v>
      </c>
      <c r="AV1665">
        <v>0</v>
      </c>
      <c r="AW1665">
        <v>0</v>
      </c>
      <c r="AX1665">
        <v>311000</v>
      </c>
      <c r="AY1665" t="s">
        <v>161</v>
      </c>
      <c r="AZ1665">
        <v>1.32</v>
      </c>
      <c r="BA1665">
        <v>0.72399999999999998</v>
      </c>
      <c r="BB1665">
        <v>0.59599999999999997</v>
      </c>
      <c r="BC1665">
        <v>2000001017</v>
      </c>
      <c r="BD1665">
        <v>1508</v>
      </c>
      <c r="BE1665" t="s">
        <v>162</v>
      </c>
      <c r="BF1665" t="s">
        <v>163</v>
      </c>
      <c r="BG1665" t="s">
        <v>164</v>
      </c>
    </row>
    <row r="1666" spans="1:59">
      <c r="A1666">
        <v>1115</v>
      </c>
      <c r="B1666">
        <v>1115</v>
      </c>
      <c r="C1666">
        <v>10</v>
      </c>
      <c r="D1666">
        <v>2</v>
      </c>
      <c r="E1666" t="s">
        <v>152</v>
      </c>
      <c r="F1666" t="s">
        <v>153</v>
      </c>
      <c r="G1666" t="s">
        <v>154</v>
      </c>
      <c r="H1666">
        <v>1526007054</v>
      </c>
      <c r="I1666">
        <v>1000007334</v>
      </c>
      <c r="L1666" t="s">
        <v>381</v>
      </c>
      <c r="M1666">
        <v>5100001919</v>
      </c>
      <c r="N1666" t="s">
        <v>155</v>
      </c>
      <c r="O1666" t="s">
        <v>156</v>
      </c>
      <c r="P1666">
        <v>5500000930</v>
      </c>
      <c r="Q1666" t="s">
        <v>157</v>
      </c>
      <c r="R1666">
        <v>5356</v>
      </c>
      <c r="S1666" t="s">
        <v>158</v>
      </c>
      <c r="W1666">
        <v>1502010011</v>
      </c>
      <c r="X1666" t="s">
        <v>35</v>
      </c>
      <c r="Y1666" t="str">
        <f>VLOOKUP(W1666,Sheet4!$A$5:$B$72,2,0)</f>
        <v>REAR MUDGAURD</v>
      </c>
      <c r="Z1666">
        <v>87082900</v>
      </c>
      <c r="AA1666">
        <v>432</v>
      </c>
      <c r="AB1666" t="s">
        <v>159</v>
      </c>
      <c r="AC1666">
        <v>89.25</v>
      </c>
      <c r="AD1666" t="s">
        <v>160</v>
      </c>
      <c r="AE1666" s="24">
        <v>38556</v>
      </c>
      <c r="AF1666">
        <v>0</v>
      </c>
      <c r="AG1666" s="24">
        <v>38556</v>
      </c>
      <c r="AH1666">
        <v>0</v>
      </c>
      <c r="AI1666">
        <v>0</v>
      </c>
      <c r="AJ1666">
        <v>0</v>
      </c>
      <c r="AK1666">
        <v>0</v>
      </c>
      <c r="AL1666" s="24">
        <v>38556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 s="24">
        <v>38556</v>
      </c>
      <c r="AV1666">
        <v>0</v>
      </c>
      <c r="AW1666">
        <v>0</v>
      </c>
      <c r="AX1666">
        <v>311000</v>
      </c>
      <c r="AY1666" t="s">
        <v>161</v>
      </c>
      <c r="AZ1666">
        <v>1.32</v>
      </c>
      <c r="BA1666">
        <v>0.72399999999999998</v>
      </c>
      <c r="BB1666">
        <v>0.59599999999999997</v>
      </c>
      <c r="BC1666">
        <v>2000001017</v>
      </c>
      <c r="BD1666">
        <v>1508</v>
      </c>
      <c r="BE1666" t="s">
        <v>162</v>
      </c>
      <c r="BF1666" t="s">
        <v>163</v>
      </c>
      <c r="BG1666" t="s">
        <v>164</v>
      </c>
    </row>
    <row r="1667" spans="1:59">
      <c r="A1667">
        <v>1115</v>
      </c>
      <c r="B1667">
        <v>1115</v>
      </c>
      <c r="C1667">
        <v>10</v>
      </c>
      <c r="D1667">
        <v>2</v>
      </c>
      <c r="E1667" t="s">
        <v>152</v>
      </c>
      <c r="F1667" t="s">
        <v>153</v>
      </c>
      <c r="G1667" t="s">
        <v>154</v>
      </c>
      <c r="H1667">
        <v>1526007053</v>
      </c>
      <c r="I1667">
        <v>1000007333</v>
      </c>
      <c r="L1667" t="s">
        <v>381</v>
      </c>
      <c r="M1667">
        <v>5100001925</v>
      </c>
      <c r="N1667" t="s">
        <v>155</v>
      </c>
      <c r="O1667" t="s">
        <v>156</v>
      </c>
      <c r="P1667">
        <v>4110055667</v>
      </c>
      <c r="Q1667" t="s">
        <v>185</v>
      </c>
      <c r="R1667">
        <v>5000</v>
      </c>
      <c r="S1667" t="s">
        <v>166</v>
      </c>
      <c r="V1667" t="s">
        <v>167</v>
      </c>
      <c r="W1667">
        <v>1502040318</v>
      </c>
      <c r="X1667" t="s">
        <v>72</v>
      </c>
      <c r="Y1667" t="str">
        <f>VLOOKUP(W1667,Sheet4!$A$5:$B$72,2,0)</f>
        <v>Re Side Door</v>
      </c>
      <c r="Z1667">
        <v>87082900</v>
      </c>
      <c r="AA1667">
        <v>120</v>
      </c>
      <c r="AB1667" t="s">
        <v>159</v>
      </c>
      <c r="AC1667">
        <v>506.59</v>
      </c>
      <c r="AD1667" t="s">
        <v>160</v>
      </c>
      <c r="AE1667" s="24">
        <v>60790.8</v>
      </c>
      <c r="AF1667">
        <v>0</v>
      </c>
      <c r="AG1667" s="24">
        <v>60790.8</v>
      </c>
      <c r="AH1667">
        <v>0</v>
      </c>
      <c r="AI1667">
        <v>0</v>
      </c>
      <c r="AJ1667">
        <v>0</v>
      </c>
      <c r="AK1667">
        <v>0</v>
      </c>
      <c r="AL1667" s="24">
        <v>60790.8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 s="24">
        <v>60790.8</v>
      </c>
      <c r="AV1667">
        <v>0</v>
      </c>
      <c r="AW1667">
        <v>0</v>
      </c>
      <c r="AX1667">
        <v>311000</v>
      </c>
      <c r="AY1667" t="s">
        <v>161</v>
      </c>
      <c r="AZ1667">
        <v>2.27</v>
      </c>
      <c r="BA1667">
        <v>2.27</v>
      </c>
      <c r="BB1667">
        <v>0</v>
      </c>
      <c r="BC1667" t="s">
        <v>187</v>
      </c>
      <c r="BD1667">
        <v>1511</v>
      </c>
      <c r="BE1667" t="s">
        <v>174</v>
      </c>
      <c r="BF1667">
        <v>5094243892</v>
      </c>
      <c r="BG1667" t="s">
        <v>381</v>
      </c>
    </row>
    <row r="1668" spans="1:59">
      <c r="A1668">
        <v>1115</v>
      </c>
      <c r="B1668">
        <v>1115</v>
      </c>
      <c r="C1668">
        <v>10</v>
      </c>
      <c r="D1668">
        <v>2</v>
      </c>
      <c r="E1668" t="s">
        <v>152</v>
      </c>
      <c r="F1668" t="s">
        <v>153</v>
      </c>
      <c r="G1668" t="s">
        <v>154</v>
      </c>
      <c r="H1668">
        <v>1526007052</v>
      </c>
      <c r="I1668">
        <v>1000007332</v>
      </c>
      <c r="L1668" t="s">
        <v>381</v>
      </c>
      <c r="M1668">
        <v>5100001925</v>
      </c>
      <c r="N1668" t="s">
        <v>155</v>
      </c>
      <c r="O1668" t="s">
        <v>156</v>
      </c>
      <c r="P1668">
        <v>4110055667</v>
      </c>
      <c r="Q1668" t="s">
        <v>185</v>
      </c>
      <c r="R1668">
        <v>5000</v>
      </c>
      <c r="S1668" t="s">
        <v>166</v>
      </c>
      <c r="V1668" t="s">
        <v>167</v>
      </c>
      <c r="W1668">
        <v>1502040317</v>
      </c>
      <c r="X1668" t="s">
        <v>73</v>
      </c>
      <c r="Y1668" t="str">
        <f>VLOOKUP(W1668,Sheet4!$A$5:$B$72,2,0)</f>
        <v>Re Side Door</v>
      </c>
      <c r="Z1668">
        <v>87082900</v>
      </c>
      <c r="AA1668">
        <v>120</v>
      </c>
      <c r="AB1668" t="s">
        <v>159</v>
      </c>
      <c r="AC1668">
        <v>506.59</v>
      </c>
      <c r="AD1668" t="s">
        <v>160</v>
      </c>
      <c r="AE1668" s="24">
        <v>60790.8</v>
      </c>
      <c r="AF1668">
        <v>0</v>
      </c>
      <c r="AG1668" s="24">
        <v>60790.8</v>
      </c>
      <c r="AH1668">
        <v>0</v>
      </c>
      <c r="AI1668">
        <v>0</v>
      </c>
      <c r="AJ1668">
        <v>0</v>
      </c>
      <c r="AK1668">
        <v>0</v>
      </c>
      <c r="AL1668" s="24">
        <v>60790.8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 s="24">
        <v>60790.8</v>
      </c>
      <c r="AV1668">
        <v>0</v>
      </c>
      <c r="AW1668">
        <v>0</v>
      </c>
      <c r="AX1668">
        <v>311000</v>
      </c>
      <c r="AY1668" t="s">
        <v>161</v>
      </c>
      <c r="AZ1668">
        <v>2.27</v>
      </c>
      <c r="BA1668">
        <v>2.27</v>
      </c>
      <c r="BB1668">
        <v>0</v>
      </c>
      <c r="BC1668" t="s">
        <v>186</v>
      </c>
      <c r="BD1668">
        <v>1511</v>
      </c>
      <c r="BE1668" t="s">
        <v>174</v>
      </c>
      <c r="BF1668">
        <v>5094243894</v>
      </c>
      <c r="BG1668" t="s">
        <v>381</v>
      </c>
    </row>
    <row r="1669" spans="1:59">
      <c r="A1669">
        <v>1115</v>
      </c>
      <c r="B1669">
        <v>1115</v>
      </c>
      <c r="C1669">
        <v>10</v>
      </c>
      <c r="D1669">
        <v>2</v>
      </c>
      <c r="E1669" t="s">
        <v>152</v>
      </c>
      <c r="F1669" t="s">
        <v>153</v>
      </c>
      <c r="G1669" t="s">
        <v>154</v>
      </c>
      <c r="H1669">
        <v>1526007046</v>
      </c>
      <c r="I1669">
        <v>1000007331</v>
      </c>
      <c r="L1669" t="s">
        <v>381</v>
      </c>
      <c r="M1669">
        <v>5100001552</v>
      </c>
      <c r="N1669" t="s">
        <v>155</v>
      </c>
      <c r="O1669" t="s">
        <v>156</v>
      </c>
      <c r="P1669">
        <v>4110023205</v>
      </c>
      <c r="Q1669" t="s">
        <v>378</v>
      </c>
      <c r="R1669">
        <v>5000</v>
      </c>
      <c r="S1669" t="s">
        <v>166</v>
      </c>
      <c r="V1669" t="s">
        <v>167</v>
      </c>
      <c r="W1669">
        <v>1502040233</v>
      </c>
      <c r="X1669" t="s">
        <v>37</v>
      </c>
      <c r="Y1669" t="str">
        <f>VLOOKUP(W1669,Sheet4!$A$5:$B$72,2,0)</f>
        <v>FRONT MUDGAURD</v>
      </c>
      <c r="Z1669">
        <v>87082900</v>
      </c>
      <c r="AA1669">
        <v>200</v>
      </c>
      <c r="AB1669" t="s">
        <v>159</v>
      </c>
      <c r="AC1669">
        <v>317.45999999999998</v>
      </c>
      <c r="AD1669" t="s">
        <v>160</v>
      </c>
      <c r="AE1669" s="24">
        <v>63492</v>
      </c>
      <c r="AF1669">
        <v>0</v>
      </c>
      <c r="AG1669" s="24">
        <v>63492</v>
      </c>
      <c r="AH1669">
        <v>0</v>
      </c>
      <c r="AI1669">
        <v>0</v>
      </c>
      <c r="AJ1669">
        <v>0</v>
      </c>
      <c r="AK1669">
        <v>0</v>
      </c>
      <c r="AL1669" s="24">
        <v>63492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 s="24">
        <v>63492</v>
      </c>
      <c r="AV1669">
        <v>0</v>
      </c>
      <c r="AW1669">
        <v>0</v>
      </c>
      <c r="AX1669">
        <v>311000</v>
      </c>
      <c r="AY1669" t="s">
        <v>161</v>
      </c>
      <c r="AZ1669">
        <v>3.4</v>
      </c>
      <c r="BA1669">
        <v>2</v>
      </c>
      <c r="BB1669">
        <v>1.4</v>
      </c>
      <c r="BC1669" t="s">
        <v>238</v>
      </c>
      <c r="BD1669">
        <v>1511</v>
      </c>
      <c r="BE1669" t="s">
        <v>174</v>
      </c>
      <c r="BF1669">
        <v>5094246758</v>
      </c>
      <c r="BG1669" t="s">
        <v>381</v>
      </c>
    </row>
    <row r="1670" spans="1:59">
      <c r="A1670">
        <v>1115</v>
      </c>
      <c r="B1670">
        <v>1115</v>
      </c>
      <c r="C1670">
        <v>10</v>
      </c>
      <c r="D1670">
        <v>2</v>
      </c>
      <c r="E1670" t="s">
        <v>152</v>
      </c>
      <c r="F1670" t="s">
        <v>153</v>
      </c>
      <c r="G1670" t="s">
        <v>154</v>
      </c>
      <c r="H1670">
        <v>1526007045</v>
      </c>
      <c r="I1670">
        <v>1000007330</v>
      </c>
      <c r="L1670" t="s">
        <v>381</v>
      </c>
      <c r="M1670">
        <v>5100001636</v>
      </c>
      <c r="N1670" t="s">
        <v>155</v>
      </c>
      <c r="O1670" t="s">
        <v>156</v>
      </c>
      <c r="P1670">
        <v>4110026445</v>
      </c>
      <c r="Q1670" t="s">
        <v>170</v>
      </c>
      <c r="R1670">
        <v>5000</v>
      </c>
      <c r="S1670" t="s">
        <v>166</v>
      </c>
      <c r="V1670" t="s">
        <v>167</v>
      </c>
      <c r="W1670">
        <v>1502020104</v>
      </c>
      <c r="X1670" t="s">
        <v>26</v>
      </c>
      <c r="Y1670" t="str">
        <f>VLOOKUP(W1670,Sheet4!$A$5:$B$72,2,0)</f>
        <v>RE STYLING</v>
      </c>
      <c r="Z1670">
        <v>87082900</v>
      </c>
      <c r="AA1670">
        <v>12</v>
      </c>
      <c r="AB1670" t="s">
        <v>159</v>
      </c>
      <c r="AC1670" s="24">
        <v>6585.55</v>
      </c>
      <c r="AD1670" t="s">
        <v>160</v>
      </c>
      <c r="AE1670" s="24">
        <v>79026.600000000006</v>
      </c>
      <c r="AF1670">
        <v>0</v>
      </c>
      <c r="AG1670" s="24">
        <v>79026.600000000006</v>
      </c>
      <c r="AH1670">
        <v>0</v>
      </c>
      <c r="AI1670">
        <v>0</v>
      </c>
      <c r="AJ1670">
        <v>0</v>
      </c>
      <c r="AK1670">
        <v>0</v>
      </c>
      <c r="AL1670" s="24">
        <v>79026.600000000006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 s="24">
        <v>79026.600000000006</v>
      </c>
      <c r="AV1670">
        <v>0</v>
      </c>
      <c r="AW1670">
        <v>0</v>
      </c>
      <c r="AX1670">
        <v>311000</v>
      </c>
      <c r="AY1670" t="s">
        <v>161</v>
      </c>
      <c r="AZ1670">
        <v>49.75</v>
      </c>
      <c r="BA1670">
        <v>49.75</v>
      </c>
      <c r="BB1670">
        <v>0</v>
      </c>
      <c r="BC1670" t="s">
        <v>171</v>
      </c>
      <c r="BD1670">
        <v>1509</v>
      </c>
      <c r="BE1670" t="s">
        <v>169</v>
      </c>
      <c r="BF1670">
        <v>5094246757</v>
      </c>
      <c r="BG1670" t="s">
        <v>381</v>
      </c>
    </row>
    <row r="1671" spans="1:59">
      <c r="A1671">
        <v>1115</v>
      </c>
      <c r="B1671">
        <v>1115</v>
      </c>
      <c r="C1671">
        <v>10</v>
      </c>
      <c r="D1671">
        <v>2</v>
      </c>
      <c r="E1671" t="s">
        <v>152</v>
      </c>
      <c r="F1671" t="s">
        <v>153</v>
      </c>
      <c r="G1671" t="s">
        <v>154</v>
      </c>
      <c r="H1671">
        <v>1526007043</v>
      </c>
      <c r="I1671">
        <v>1000007329</v>
      </c>
      <c r="L1671" t="s">
        <v>381</v>
      </c>
      <c r="M1671">
        <v>5100001919</v>
      </c>
      <c r="N1671" t="s">
        <v>155</v>
      </c>
      <c r="O1671" t="s">
        <v>156</v>
      </c>
      <c r="P1671">
        <v>5500000930</v>
      </c>
      <c r="Q1671" t="s">
        <v>157</v>
      </c>
      <c r="R1671">
        <v>5356</v>
      </c>
      <c r="S1671" t="s">
        <v>158</v>
      </c>
      <c r="W1671">
        <v>1502010011</v>
      </c>
      <c r="X1671" t="s">
        <v>35</v>
      </c>
      <c r="Y1671" t="str">
        <f>VLOOKUP(W1671,Sheet4!$A$5:$B$72,2,0)</f>
        <v>REAR MUDGAURD</v>
      </c>
      <c r="Z1671">
        <v>87082900</v>
      </c>
      <c r="AA1671">
        <v>432</v>
      </c>
      <c r="AB1671" t="s">
        <v>159</v>
      </c>
      <c r="AC1671">
        <v>89.25</v>
      </c>
      <c r="AD1671" t="s">
        <v>160</v>
      </c>
      <c r="AE1671" s="24">
        <v>38556</v>
      </c>
      <c r="AF1671">
        <v>0</v>
      </c>
      <c r="AG1671" s="24">
        <v>38556</v>
      </c>
      <c r="AH1671">
        <v>0</v>
      </c>
      <c r="AI1671">
        <v>0</v>
      </c>
      <c r="AJ1671">
        <v>0</v>
      </c>
      <c r="AK1671">
        <v>0</v>
      </c>
      <c r="AL1671" s="24">
        <v>38556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 s="24">
        <v>38556</v>
      </c>
      <c r="AV1671">
        <v>0</v>
      </c>
      <c r="AW1671">
        <v>0</v>
      </c>
      <c r="AX1671">
        <v>311000</v>
      </c>
      <c r="AY1671" t="s">
        <v>161</v>
      </c>
      <c r="AZ1671">
        <v>1.32</v>
      </c>
      <c r="BA1671">
        <v>0.72399999999999998</v>
      </c>
      <c r="BB1671">
        <v>0.59599999999999997</v>
      </c>
      <c r="BC1671">
        <v>2000001017</v>
      </c>
      <c r="BD1671">
        <v>1508</v>
      </c>
      <c r="BE1671" t="s">
        <v>162</v>
      </c>
      <c r="BF1671" t="s">
        <v>163</v>
      </c>
      <c r="BG1671" t="s">
        <v>164</v>
      </c>
    </row>
    <row r="1672" spans="1:59">
      <c r="A1672">
        <v>1115</v>
      </c>
      <c r="B1672">
        <v>1115</v>
      </c>
      <c r="C1672">
        <v>10</v>
      </c>
      <c r="D1672">
        <v>2</v>
      </c>
      <c r="E1672" t="s">
        <v>152</v>
      </c>
      <c r="F1672" t="s">
        <v>153</v>
      </c>
      <c r="G1672" t="s">
        <v>154</v>
      </c>
      <c r="H1672">
        <v>1526007042</v>
      </c>
      <c r="I1672">
        <v>1000007328</v>
      </c>
      <c r="L1672" t="s">
        <v>381</v>
      </c>
      <c r="M1672">
        <v>5100001919</v>
      </c>
      <c r="N1672" t="s">
        <v>155</v>
      </c>
      <c r="O1672" t="s">
        <v>156</v>
      </c>
      <c r="P1672">
        <v>5500000930</v>
      </c>
      <c r="Q1672" t="s">
        <v>157</v>
      </c>
      <c r="R1672">
        <v>5356</v>
      </c>
      <c r="S1672" t="s">
        <v>158</v>
      </c>
      <c r="W1672">
        <v>1502010011</v>
      </c>
      <c r="X1672" t="s">
        <v>35</v>
      </c>
      <c r="Y1672" t="str">
        <f>VLOOKUP(W1672,Sheet4!$A$5:$B$72,2,0)</f>
        <v>REAR MUDGAURD</v>
      </c>
      <c r="Z1672">
        <v>87082900</v>
      </c>
      <c r="AA1672">
        <v>432</v>
      </c>
      <c r="AB1672" t="s">
        <v>159</v>
      </c>
      <c r="AC1672">
        <v>89.25</v>
      </c>
      <c r="AD1672" t="s">
        <v>160</v>
      </c>
      <c r="AE1672" s="24">
        <v>38556</v>
      </c>
      <c r="AF1672">
        <v>0</v>
      </c>
      <c r="AG1672" s="24">
        <v>38556</v>
      </c>
      <c r="AH1672">
        <v>0</v>
      </c>
      <c r="AI1672">
        <v>0</v>
      </c>
      <c r="AJ1672">
        <v>0</v>
      </c>
      <c r="AK1672">
        <v>0</v>
      </c>
      <c r="AL1672" s="24">
        <v>38556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 s="24">
        <v>38556</v>
      </c>
      <c r="AV1672">
        <v>0</v>
      </c>
      <c r="AW1672">
        <v>0</v>
      </c>
      <c r="AX1672">
        <v>311000</v>
      </c>
      <c r="AY1672" t="s">
        <v>161</v>
      </c>
      <c r="AZ1672">
        <v>1.32</v>
      </c>
      <c r="BA1672">
        <v>0.72399999999999998</v>
      </c>
      <c r="BB1672">
        <v>0.59599999999999997</v>
      </c>
      <c r="BC1672">
        <v>2000001017</v>
      </c>
      <c r="BD1672">
        <v>1508</v>
      </c>
      <c r="BE1672" t="s">
        <v>162</v>
      </c>
      <c r="BF1672" t="s">
        <v>163</v>
      </c>
      <c r="BG1672" t="s">
        <v>164</v>
      </c>
    </row>
    <row r="1673" spans="1:59">
      <c r="A1673">
        <v>1115</v>
      </c>
      <c r="B1673">
        <v>1115</v>
      </c>
      <c r="C1673">
        <v>10</v>
      </c>
      <c r="D1673">
        <v>2</v>
      </c>
      <c r="E1673" t="s">
        <v>152</v>
      </c>
      <c r="F1673" t="s">
        <v>153</v>
      </c>
      <c r="G1673" t="s">
        <v>154</v>
      </c>
      <c r="H1673">
        <v>1526007040</v>
      </c>
      <c r="I1673">
        <v>1000007325</v>
      </c>
      <c r="L1673" t="s">
        <v>381</v>
      </c>
      <c r="M1673">
        <v>5100001603</v>
      </c>
      <c r="N1673" t="s">
        <v>155</v>
      </c>
      <c r="O1673" t="s">
        <v>156</v>
      </c>
      <c r="P1673">
        <v>4110025468</v>
      </c>
      <c r="Q1673" t="s">
        <v>165</v>
      </c>
      <c r="R1673">
        <v>5000</v>
      </c>
      <c r="S1673" t="s">
        <v>166</v>
      </c>
      <c r="V1673" t="s">
        <v>167</v>
      </c>
      <c r="W1673">
        <v>1502020102</v>
      </c>
      <c r="X1673" t="s">
        <v>58</v>
      </c>
      <c r="Y1673" t="str">
        <f>VLOOKUP(W1673,Sheet4!$A$5:$B$72,2,0)</f>
        <v>MAXIMA HD</v>
      </c>
      <c r="Z1673">
        <v>87082900</v>
      </c>
      <c r="AA1673">
        <v>6</v>
      </c>
      <c r="AB1673" t="s">
        <v>159</v>
      </c>
      <c r="AC1673" s="24">
        <v>8593.51</v>
      </c>
      <c r="AD1673" t="s">
        <v>160</v>
      </c>
      <c r="AE1673" s="24">
        <v>51561.06</v>
      </c>
      <c r="AF1673">
        <v>0</v>
      </c>
      <c r="AG1673" s="24">
        <v>51561.06</v>
      </c>
      <c r="AH1673">
        <v>0</v>
      </c>
      <c r="AI1673">
        <v>0</v>
      </c>
      <c r="AJ1673">
        <v>0</v>
      </c>
      <c r="AK1673">
        <v>0</v>
      </c>
      <c r="AL1673" s="24">
        <v>51561.06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 s="24">
        <v>51561.06</v>
      </c>
      <c r="AV1673">
        <v>0</v>
      </c>
      <c r="AW1673">
        <v>0</v>
      </c>
      <c r="AX1673">
        <v>311000</v>
      </c>
      <c r="AY1673" t="s">
        <v>161</v>
      </c>
      <c r="AZ1673">
        <v>93.34</v>
      </c>
      <c r="BA1673">
        <v>75.430000000000007</v>
      </c>
      <c r="BB1673">
        <v>17.91</v>
      </c>
      <c r="BC1673" t="s">
        <v>168</v>
      </c>
      <c r="BD1673">
        <v>1509</v>
      </c>
      <c r="BE1673" t="s">
        <v>169</v>
      </c>
      <c r="BF1673">
        <v>5094234601</v>
      </c>
      <c r="BG1673" t="s">
        <v>381</v>
      </c>
    </row>
    <row r="1674" spans="1:59">
      <c r="A1674">
        <v>1115</v>
      </c>
      <c r="B1674">
        <v>1115</v>
      </c>
      <c r="C1674">
        <v>10</v>
      </c>
      <c r="D1674">
        <v>2</v>
      </c>
      <c r="E1674" t="s">
        <v>152</v>
      </c>
      <c r="F1674" t="s">
        <v>153</v>
      </c>
      <c r="G1674" t="s">
        <v>154</v>
      </c>
      <c r="H1674">
        <v>1526007039</v>
      </c>
      <c r="I1674">
        <v>1000007324</v>
      </c>
      <c r="L1674" t="s">
        <v>381</v>
      </c>
      <c r="M1674">
        <v>5100001934</v>
      </c>
      <c r="N1674" t="s">
        <v>155</v>
      </c>
      <c r="O1674" t="s">
        <v>156</v>
      </c>
      <c r="P1674">
        <v>4110058649</v>
      </c>
      <c r="Q1674" t="s">
        <v>196</v>
      </c>
      <c r="R1674">
        <v>5000</v>
      </c>
      <c r="S1674" t="s">
        <v>166</v>
      </c>
      <c r="V1674" t="s">
        <v>167</v>
      </c>
      <c r="W1674">
        <v>1502040217</v>
      </c>
      <c r="X1674" t="s">
        <v>197</v>
      </c>
      <c r="Y1674" t="str">
        <f>VLOOKUP(W1674,Sheet4!$A$5:$B$72,2,0)</f>
        <v>FRONT MUDGARD GOGO</v>
      </c>
      <c r="Z1674">
        <v>87082900</v>
      </c>
      <c r="AA1674">
        <v>100</v>
      </c>
      <c r="AB1674" t="s">
        <v>159</v>
      </c>
      <c r="AC1674">
        <v>380.93</v>
      </c>
      <c r="AD1674" t="s">
        <v>160</v>
      </c>
      <c r="AE1674" s="24">
        <v>38093</v>
      </c>
      <c r="AF1674">
        <v>0</v>
      </c>
      <c r="AG1674" s="24">
        <v>38093</v>
      </c>
      <c r="AH1674">
        <v>0</v>
      </c>
      <c r="AI1674">
        <v>0</v>
      </c>
      <c r="AJ1674">
        <v>0</v>
      </c>
      <c r="AK1674">
        <v>0</v>
      </c>
      <c r="AL1674" s="24">
        <v>38093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 s="24">
        <v>38093</v>
      </c>
      <c r="AV1674">
        <v>0</v>
      </c>
      <c r="AW1674">
        <v>0</v>
      </c>
      <c r="AX1674">
        <v>311000</v>
      </c>
      <c r="AY1674" t="s">
        <v>161</v>
      </c>
      <c r="AZ1674">
        <v>2.13</v>
      </c>
      <c r="BA1674">
        <v>2.13</v>
      </c>
      <c r="BB1674">
        <v>0</v>
      </c>
      <c r="BC1674" t="s">
        <v>198</v>
      </c>
      <c r="BD1674">
        <v>1511</v>
      </c>
      <c r="BE1674" t="s">
        <v>174</v>
      </c>
      <c r="BF1674">
        <v>5094234662</v>
      </c>
      <c r="BG1674" t="s">
        <v>381</v>
      </c>
    </row>
    <row r="1675" spans="1:59">
      <c r="A1675">
        <v>1115</v>
      </c>
      <c r="B1675">
        <v>1115</v>
      </c>
      <c r="C1675">
        <v>10</v>
      </c>
      <c r="D1675">
        <v>2</v>
      </c>
      <c r="E1675" t="s">
        <v>152</v>
      </c>
      <c r="F1675" t="s">
        <v>153</v>
      </c>
      <c r="G1675" t="s">
        <v>154</v>
      </c>
      <c r="H1675">
        <v>1526007038</v>
      </c>
      <c r="I1675">
        <v>1000007323</v>
      </c>
      <c r="L1675" t="s">
        <v>381</v>
      </c>
      <c r="M1675">
        <v>5100001928</v>
      </c>
      <c r="N1675" t="s">
        <v>155</v>
      </c>
      <c r="O1675" t="s">
        <v>156</v>
      </c>
      <c r="P1675">
        <v>4110057393</v>
      </c>
      <c r="Q1675" t="s">
        <v>192</v>
      </c>
      <c r="R1675">
        <v>5000</v>
      </c>
      <c r="S1675" t="s">
        <v>166</v>
      </c>
      <c r="V1675" t="s">
        <v>167</v>
      </c>
      <c r="W1675">
        <v>1502020122</v>
      </c>
      <c r="X1675" t="s">
        <v>70</v>
      </c>
      <c r="Y1675" t="str">
        <f>VLOOKUP(W1675,Sheet4!$A$5:$B$72,2,0)</f>
        <v>MAX UG NEW EV</v>
      </c>
      <c r="Z1675">
        <v>87082900</v>
      </c>
      <c r="AA1675">
        <v>10</v>
      </c>
      <c r="AB1675" t="s">
        <v>159</v>
      </c>
      <c r="AC1675" s="24">
        <v>9566.51</v>
      </c>
      <c r="AD1675" t="s">
        <v>160</v>
      </c>
      <c r="AE1675" s="24">
        <v>95665.1</v>
      </c>
      <c r="AF1675">
        <v>0</v>
      </c>
      <c r="AG1675" s="24">
        <v>95665.1</v>
      </c>
      <c r="AH1675">
        <v>0</v>
      </c>
      <c r="AI1675">
        <v>0</v>
      </c>
      <c r="AJ1675">
        <v>0</v>
      </c>
      <c r="AK1675">
        <v>0</v>
      </c>
      <c r="AL1675" s="24">
        <v>95665.1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 s="24">
        <v>95665.1</v>
      </c>
      <c r="AV1675">
        <v>0</v>
      </c>
      <c r="AW1675">
        <v>0</v>
      </c>
      <c r="AX1675">
        <v>311000</v>
      </c>
      <c r="AY1675" t="s">
        <v>161</v>
      </c>
      <c r="AZ1675">
        <v>0</v>
      </c>
      <c r="BA1675">
        <v>61</v>
      </c>
      <c r="BB1675">
        <v>-61</v>
      </c>
      <c r="BC1675" t="s">
        <v>193</v>
      </c>
      <c r="BD1675">
        <v>1509</v>
      </c>
      <c r="BE1675" t="s">
        <v>169</v>
      </c>
      <c r="BF1675">
        <v>5094241619</v>
      </c>
      <c r="BG1675" t="s">
        <v>381</v>
      </c>
    </row>
    <row r="1676" spans="1:59">
      <c r="A1676">
        <v>1115</v>
      </c>
      <c r="B1676">
        <v>1115</v>
      </c>
      <c r="C1676">
        <v>10</v>
      </c>
      <c r="D1676">
        <v>2</v>
      </c>
      <c r="E1676" t="s">
        <v>152</v>
      </c>
      <c r="F1676" t="s">
        <v>153</v>
      </c>
      <c r="G1676" t="s">
        <v>154</v>
      </c>
      <c r="H1676">
        <v>1526007037</v>
      </c>
      <c r="I1676">
        <v>1000007322</v>
      </c>
      <c r="L1676" t="s">
        <v>381</v>
      </c>
      <c r="M1676">
        <v>5100001928</v>
      </c>
      <c r="N1676" t="s">
        <v>155</v>
      </c>
      <c r="O1676" t="s">
        <v>156</v>
      </c>
      <c r="P1676">
        <v>4110057393</v>
      </c>
      <c r="Q1676" t="s">
        <v>192</v>
      </c>
      <c r="R1676">
        <v>5000</v>
      </c>
      <c r="S1676" t="s">
        <v>166</v>
      </c>
      <c r="V1676" t="s">
        <v>167</v>
      </c>
      <c r="W1676">
        <v>1502020122</v>
      </c>
      <c r="X1676" t="s">
        <v>70</v>
      </c>
      <c r="Y1676" t="str">
        <f>VLOOKUP(W1676,Sheet4!$A$5:$B$72,2,0)</f>
        <v>MAX UG NEW EV</v>
      </c>
      <c r="Z1676">
        <v>87082900</v>
      </c>
      <c r="AA1676">
        <v>10</v>
      </c>
      <c r="AB1676" t="s">
        <v>159</v>
      </c>
      <c r="AC1676" s="24">
        <v>9566.51</v>
      </c>
      <c r="AD1676" t="s">
        <v>160</v>
      </c>
      <c r="AE1676" s="24">
        <v>95665.1</v>
      </c>
      <c r="AF1676">
        <v>0</v>
      </c>
      <c r="AG1676" s="24">
        <v>95665.1</v>
      </c>
      <c r="AH1676">
        <v>0</v>
      </c>
      <c r="AI1676">
        <v>0</v>
      </c>
      <c r="AJ1676">
        <v>0</v>
      </c>
      <c r="AK1676">
        <v>0</v>
      </c>
      <c r="AL1676" s="24">
        <v>95665.1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 s="24">
        <v>95665.1</v>
      </c>
      <c r="AV1676">
        <v>0</v>
      </c>
      <c r="AW1676">
        <v>0</v>
      </c>
      <c r="AX1676">
        <v>311000</v>
      </c>
      <c r="AY1676" t="s">
        <v>161</v>
      </c>
      <c r="AZ1676">
        <v>0</v>
      </c>
      <c r="BA1676">
        <v>61</v>
      </c>
      <c r="BB1676">
        <v>-61</v>
      </c>
      <c r="BC1676" t="s">
        <v>193</v>
      </c>
      <c r="BD1676">
        <v>1509</v>
      </c>
      <c r="BE1676" t="s">
        <v>169</v>
      </c>
      <c r="BF1676">
        <v>5094242690</v>
      </c>
      <c r="BG1676" t="s">
        <v>381</v>
      </c>
    </row>
    <row r="1677" spans="1:59">
      <c r="A1677">
        <v>1115</v>
      </c>
      <c r="B1677">
        <v>1115</v>
      </c>
      <c r="C1677">
        <v>10</v>
      </c>
      <c r="D1677">
        <v>2</v>
      </c>
      <c r="E1677" t="s">
        <v>152</v>
      </c>
      <c r="F1677" t="s">
        <v>153</v>
      </c>
      <c r="G1677" t="s">
        <v>154</v>
      </c>
      <c r="H1677">
        <v>1526007036</v>
      </c>
      <c r="I1677">
        <v>1000007321</v>
      </c>
      <c r="L1677" t="s">
        <v>381</v>
      </c>
      <c r="M1677">
        <v>5100001928</v>
      </c>
      <c r="N1677" t="s">
        <v>155</v>
      </c>
      <c r="O1677" t="s">
        <v>156</v>
      </c>
      <c r="P1677">
        <v>4110057393</v>
      </c>
      <c r="Q1677" t="s">
        <v>192</v>
      </c>
      <c r="R1677">
        <v>5000</v>
      </c>
      <c r="S1677" t="s">
        <v>166</v>
      </c>
      <c r="V1677" t="s">
        <v>167</v>
      </c>
      <c r="W1677">
        <v>1502020122</v>
      </c>
      <c r="X1677" t="s">
        <v>70</v>
      </c>
      <c r="Y1677" t="str">
        <f>VLOOKUP(W1677,Sheet4!$A$5:$B$72,2,0)</f>
        <v>MAX UG NEW EV</v>
      </c>
      <c r="Z1677">
        <v>87082900</v>
      </c>
      <c r="AA1677">
        <v>10</v>
      </c>
      <c r="AB1677" t="s">
        <v>159</v>
      </c>
      <c r="AC1677" s="24">
        <v>9566.51</v>
      </c>
      <c r="AD1677" t="s">
        <v>160</v>
      </c>
      <c r="AE1677" s="24">
        <v>95665.1</v>
      </c>
      <c r="AF1677">
        <v>0</v>
      </c>
      <c r="AG1677" s="24">
        <v>95665.1</v>
      </c>
      <c r="AH1677">
        <v>0</v>
      </c>
      <c r="AI1677">
        <v>0</v>
      </c>
      <c r="AJ1677">
        <v>0</v>
      </c>
      <c r="AK1677">
        <v>0</v>
      </c>
      <c r="AL1677" s="24">
        <v>95665.1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 s="24">
        <v>95665.1</v>
      </c>
      <c r="AV1677">
        <v>0</v>
      </c>
      <c r="AW1677">
        <v>0</v>
      </c>
      <c r="AX1677">
        <v>311000</v>
      </c>
      <c r="AY1677" t="s">
        <v>161</v>
      </c>
      <c r="AZ1677">
        <v>0</v>
      </c>
      <c r="BA1677">
        <v>61</v>
      </c>
      <c r="BB1677">
        <v>-61</v>
      </c>
      <c r="BC1677" t="s">
        <v>193</v>
      </c>
      <c r="BD1677">
        <v>1509</v>
      </c>
      <c r="BE1677" t="s">
        <v>169</v>
      </c>
      <c r="BF1677">
        <v>5094241589</v>
      </c>
      <c r="BG1677" t="s">
        <v>381</v>
      </c>
    </row>
    <row r="1678" spans="1:59">
      <c r="A1678">
        <v>1115</v>
      </c>
      <c r="B1678">
        <v>1115</v>
      </c>
      <c r="C1678">
        <v>10</v>
      </c>
      <c r="D1678">
        <v>2</v>
      </c>
      <c r="E1678" t="s">
        <v>152</v>
      </c>
      <c r="F1678" t="s">
        <v>153</v>
      </c>
      <c r="G1678" t="s">
        <v>154</v>
      </c>
      <c r="H1678">
        <v>1526007035</v>
      </c>
      <c r="I1678">
        <v>1000007320</v>
      </c>
      <c r="L1678" t="s">
        <v>381</v>
      </c>
      <c r="M1678">
        <v>5100001928</v>
      </c>
      <c r="N1678" t="s">
        <v>155</v>
      </c>
      <c r="O1678" t="s">
        <v>156</v>
      </c>
      <c r="P1678">
        <v>4110057393</v>
      </c>
      <c r="Q1678" t="s">
        <v>192</v>
      </c>
      <c r="R1678">
        <v>5000</v>
      </c>
      <c r="S1678" t="s">
        <v>166</v>
      </c>
      <c r="V1678" t="s">
        <v>167</v>
      </c>
      <c r="W1678">
        <v>1502020122</v>
      </c>
      <c r="X1678" t="s">
        <v>70</v>
      </c>
      <c r="Y1678" t="str">
        <f>VLOOKUP(W1678,Sheet4!$A$5:$B$72,2,0)</f>
        <v>MAX UG NEW EV</v>
      </c>
      <c r="Z1678">
        <v>87082900</v>
      </c>
      <c r="AA1678">
        <v>10</v>
      </c>
      <c r="AB1678" t="s">
        <v>159</v>
      </c>
      <c r="AC1678" s="24">
        <v>9566.51</v>
      </c>
      <c r="AD1678" t="s">
        <v>160</v>
      </c>
      <c r="AE1678" s="24">
        <v>95665.1</v>
      </c>
      <c r="AF1678">
        <v>0</v>
      </c>
      <c r="AG1678" s="24">
        <v>95665.1</v>
      </c>
      <c r="AH1678">
        <v>0</v>
      </c>
      <c r="AI1678">
        <v>0</v>
      </c>
      <c r="AJ1678">
        <v>0</v>
      </c>
      <c r="AK1678">
        <v>0</v>
      </c>
      <c r="AL1678" s="24">
        <v>95665.1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 s="24">
        <v>95665.1</v>
      </c>
      <c r="AV1678">
        <v>0</v>
      </c>
      <c r="AW1678">
        <v>0</v>
      </c>
      <c r="AX1678">
        <v>311000</v>
      </c>
      <c r="AY1678" t="s">
        <v>161</v>
      </c>
      <c r="AZ1678">
        <v>0</v>
      </c>
      <c r="BA1678">
        <v>61</v>
      </c>
      <c r="BB1678">
        <v>-61</v>
      </c>
      <c r="BC1678" t="s">
        <v>193</v>
      </c>
      <c r="BD1678">
        <v>1509</v>
      </c>
      <c r="BE1678" t="s">
        <v>169</v>
      </c>
      <c r="BF1678">
        <v>5094241520</v>
      </c>
      <c r="BG1678" t="s">
        <v>381</v>
      </c>
    </row>
    <row r="1679" spans="1:59">
      <c r="A1679">
        <v>1115</v>
      </c>
      <c r="B1679">
        <v>1115</v>
      </c>
      <c r="C1679">
        <v>10</v>
      </c>
      <c r="D1679">
        <v>2</v>
      </c>
      <c r="E1679" t="s">
        <v>152</v>
      </c>
      <c r="F1679" t="s">
        <v>153</v>
      </c>
      <c r="G1679" t="s">
        <v>154</v>
      </c>
      <c r="H1679">
        <v>1526007034</v>
      </c>
      <c r="I1679">
        <v>1000007319</v>
      </c>
      <c r="L1679" t="s">
        <v>381</v>
      </c>
      <c r="M1679">
        <v>5100001636</v>
      </c>
      <c r="N1679" t="s">
        <v>155</v>
      </c>
      <c r="O1679" t="s">
        <v>156</v>
      </c>
      <c r="P1679">
        <v>4110026445</v>
      </c>
      <c r="Q1679" t="s">
        <v>170</v>
      </c>
      <c r="R1679">
        <v>5000</v>
      </c>
      <c r="S1679" t="s">
        <v>166</v>
      </c>
      <c r="V1679" t="s">
        <v>167</v>
      </c>
      <c r="W1679">
        <v>1502020104</v>
      </c>
      <c r="X1679" t="s">
        <v>26</v>
      </c>
      <c r="Y1679" t="str">
        <f>VLOOKUP(W1679,Sheet4!$A$5:$B$72,2,0)</f>
        <v>RE STYLING</v>
      </c>
      <c r="Z1679">
        <v>87082900</v>
      </c>
      <c r="AA1679">
        <v>15</v>
      </c>
      <c r="AB1679" t="s">
        <v>159</v>
      </c>
      <c r="AC1679" s="24">
        <v>6585.55</v>
      </c>
      <c r="AD1679" t="s">
        <v>160</v>
      </c>
      <c r="AE1679" s="24">
        <v>98783.25</v>
      </c>
      <c r="AF1679">
        <v>0</v>
      </c>
      <c r="AG1679" s="24">
        <v>98783.25</v>
      </c>
      <c r="AH1679">
        <v>0</v>
      </c>
      <c r="AI1679">
        <v>0</v>
      </c>
      <c r="AJ1679">
        <v>0</v>
      </c>
      <c r="AK1679">
        <v>0</v>
      </c>
      <c r="AL1679" s="24">
        <v>98783.25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 s="24">
        <v>98783.25</v>
      </c>
      <c r="AV1679">
        <v>0</v>
      </c>
      <c r="AW1679">
        <v>0</v>
      </c>
      <c r="AX1679">
        <v>311000</v>
      </c>
      <c r="AY1679" t="s">
        <v>161</v>
      </c>
      <c r="AZ1679">
        <v>49.75</v>
      </c>
      <c r="BA1679">
        <v>49.75</v>
      </c>
      <c r="BB1679">
        <v>0</v>
      </c>
      <c r="BC1679" t="s">
        <v>171</v>
      </c>
      <c r="BD1679">
        <v>1509</v>
      </c>
      <c r="BE1679" t="s">
        <v>169</v>
      </c>
      <c r="BF1679">
        <v>5094246030</v>
      </c>
      <c r="BG1679" t="s">
        <v>381</v>
      </c>
    </row>
    <row r="1680" spans="1:59">
      <c r="A1680">
        <v>1115</v>
      </c>
      <c r="B1680">
        <v>1115</v>
      </c>
      <c r="C1680">
        <v>10</v>
      </c>
      <c r="D1680">
        <v>2</v>
      </c>
      <c r="E1680" t="s">
        <v>152</v>
      </c>
      <c r="F1680" t="s">
        <v>153</v>
      </c>
      <c r="G1680" t="s">
        <v>154</v>
      </c>
      <c r="H1680">
        <v>1526007033</v>
      </c>
      <c r="I1680">
        <v>1000007318</v>
      </c>
      <c r="L1680" t="s">
        <v>381</v>
      </c>
      <c r="M1680">
        <v>5100001636</v>
      </c>
      <c r="N1680" t="s">
        <v>155</v>
      </c>
      <c r="O1680" t="s">
        <v>156</v>
      </c>
      <c r="P1680">
        <v>4110026445</v>
      </c>
      <c r="Q1680" t="s">
        <v>170</v>
      </c>
      <c r="R1680">
        <v>5000</v>
      </c>
      <c r="S1680" t="s">
        <v>166</v>
      </c>
      <c r="V1680" t="s">
        <v>167</v>
      </c>
      <c r="W1680">
        <v>1502020104</v>
      </c>
      <c r="X1680" t="s">
        <v>26</v>
      </c>
      <c r="Y1680" t="str">
        <f>VLOOKUP(W1680,Sheet4!$A$5:$B$72,2,0)</f>
        <v>RE STYLING</v>
      </c>
      <c r="Z1680">
        <v>87082900</v>
      </c>
      <c r="AA1680">
        <v>15</v>
      </c>
      <c r="AB1680" t="s">
        <v>159</v>
      </c>
      <c r="AC1680" s="24">
        <v>6585.55</v>
      </c>
      <c r="AD1680" t="s">
        <v>160</v>
      </c>
      <c r="AE1680" s="24">
        <v>98783.25</v>
      </c>
      <c r="AF1680">
        <v>0</v>
      </c>
      <c r="AG1680" s="24">
        <v>98783.25</v>
      </c>
      <c r="AH1680">
        <v>0</v>
      </c>
      <c r="AI1680">
        <v>0</v>
      </c>
      <c r="AJ1680">
        <v>0</v>
      </c>
      <c r="AK1680">
        <v>0</v>
      </c>
      <c r="AL1680" s="24">
        <v>98783.25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 s="24">
        <v>98783.25</v>
      </c>
      <c r="AV1680">
        <v>0</v>
      </c>
      <c r="AW1680">
        <v>0</v>
      </c>
      <c r="AX1680">
        <v>311000</v>
      </c>
      <c r="AY1680" t="s">
        <v>161</v>
      </c>
      <c r="AZ1680">
        <v>49.75</v>
      </c>
      <c r="BA1680">
        <v>49.75</v>
      </c>
      <c r="BB1680">
        <v>0</v>
      </c>
      <c r="BC1680" t="s">
        <v>171</v>
      </c>
      <c r="BD1680">
        <v>1509</v>
      </c>
      <c r="BE1680" t="s">
        <v>169</v>
      </c>
      <c r="BF1680">
        <v>5094246813</v>
      </c>
      <c r="BG1680" t="s">
        <v>381</v>
      </c>
    </row>
    <row r="1681" spans="1:59">
      <c r="A1681">
        <v>1115</v>
      </c>
      <c r="B1681">
        <v>1115</v>
      </c>
      <c r="C1681">
        <v>10</v>
      </c>
      <c r="D1681">
        <v>2</v>
      </c>
      <c r="E1681" t="s">
        <v>152</v>
      </c>
      <c r="F1681" t="s">
        <v>153</v>
      </c>
      <c r="G1681" t="s">
        <v>154</v>
      </c>
      <c r="H1681">
        <v>1526007032</v>
      </c>
      <c r="I1681">
        <v>1000007317</v>
      </c>
      <c r="L1681" t="s">
        <v>381</v>
      </c>
      <c r="M1681">
        <v>5100001636</v>
      </c>
      <c r="N1681" t="s">
        <v>155</v>
      </c>
      <c r="O1681" t="s">
        <v>156</v>
      </c>
      <c r="P1681">
        <v>4110026445</v>
      </c>
      <c r="Q1681" t="s">
        <v>170</v>
      </c>
      <c r="R1681">
        <v>5000</v>
      </c>
      <c r="S1681" t="s">
        <v>166</v>
      </c>
      <c r="V1681" t="s">
        <v>167</v>
      </c>
      <c r="W1681">
        <v>1502020104</v>
      </c>
      <c r="X1681" t="s">
        <v>26</v>
      </c>
      <c r="Y1681" t="str">
        <f>VLOOKUP(W1681,Sheet4!$A$5:$B$72,2,0)</f>
        <v>RE STYLING</v>
      </c>
      <c r="Z1681">
        <v>87082900</v>
      </c>
      <c r="AA1681">
        <v>15</v>
      </c>
      <c r="AB1681" t="s">
        <v>159</v>
      </c>
      <c r="AC1681" s="24">
        <v>6585.55</v>
      </c>
      <c r="AD1681" t="s">
        <v>160</v>
      </c>
      <c r="AE1681" s="24">
        <v>98783.25</v>
      </c>
      <c r="AF1681">
        <v>0</v>
      </c>
      <c r="AG1681" s="24">
        <v>98783.25</v>
      </c>
      <c r="AH1681">
        <v>0</v>
      </c>
      <c r="AI1681">
        <v>0</v>
      </c>
      <c r="AJ1681">
        <v>0</v>
      </c>
      <c r="AK1681">
        <v>0</v>
      </c>
      <c r="AL1681" s="24">
        <v>98783.25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 s="24">
        <v>98783.25</v>
      </c>
      <c r="AV1681">
        <v>0</v>
      </c>
      <c r="AW1681">
        <v>0</v>
      </c>
      <c r="AX1681">
        <v>311000</v>
      </c>
      <c r="AY1681" t="s">
        <v>161</v>
      </c>
      <c r="AZ1681">
        <v>49.75</v>
      </c>
      <c r="BA1681">
        <v>49.75</v>
      </c>
      <c r="BB1681">
        <v>0</v>
      </c>
      <c r="BC1681" t="s">
        <v>171</v>
      </c>
      <c r="BD1681">
        <v>1509</v>
      </c>
      <c r="BE1681" t="s">
        <v>169</v>
      </c>
      <c r="BF1681">
        <v>5094246809</v>
      </c>
      <c r="BG1681" t="s">
        <v>381</v>
      </c>
    </row>
    <row r="1682" spans="1:59">
      <c r="A1682">
        <v>1115</v>
      </c>
      <c r="B1682">
        <v>1115</v>
      </c>
      <c r="C1682">
        <v>10</v>
      </c>
      <c r="D1682">
        <v>2</v>
      </c>
      <c r="E1682" t="s">
        <v>152</v>
      </c>
      <c r="F1682" t="s">
        <v>153</v>
      </c>
      <c r="G1682" t="s">
        <v>154</v>
      </c>
      <c r="H1682">
        <v>1526007031</v>
      </c>
      <c r="I1682">
        <v>1000007316</v>
      </c>
      <c r="L1682" t="s">
        <v>381</v>
      </c>
      <c r="M1682">
        <v>5100001568</v>
      </c>
      <c r="N1682" t="s">
        <v>155</v>
      </c>
      <c r="O1682" t="s">
        <v>156</v>
      </c>
      <c r="P1682">
        <v>4110023868</v>
      </c>
      <c r="Q1682" t="s">
        <v>182</v>
      </c>
      <c r="R1682">
        <v>5000</v>
      </c>
      <c r="S1682" t="s">
        <v>166</v>
      </c>
      <c r="V1682" t="s">
        <v>167</v>
      </c>
      <c r="W1682">
        <v>1502040236</v>
      </c>
      <c r="X1682" t="s">
        <v>50</v>
      </c>
      <c r="Y1682" t="str">
        <f>VLOOKUP(W1682,Sheet4!$A$5:$B$72,2,0)</f>
        <v>SUPPORT TOP</v>
      </c>
      <c r="Z1682">
        <v>87082900</v>
      </c>
      <c r="AA1682">
        <v>288</v>
      </c>
      <c r="AB1682" t="s">
        <v>159</v>
      </c>
      <c r="AC1682">
        <v>134.19999999999999</v>
      </c>
      <c r="AD1682" t="s">
        <v>160</v>
      </c>
      <c r="AE1682" s="24">
        <v>38649.599999999999</v>
      </c>
      <c r="AF1682">
        <v>0</v>
      </c>
      <c r="AG1682" s="24">
        <v>38649.599999999999</v>
      </c>
      <c r="AH1682">
        <v>0</v>
      </c>
      <c r="AI1682">
        <v>0</v>
      </c>
      <c r="AJ1682">
        <v>0</v>
      </c>
      <c r="AK1682">
        <v>0</v>
      </c>
      <c r="AL1682" s="24">
        <v>38649.599999999999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 s="24">
        <v>38649.599999999999</v>
      </c>
      <c r="AV1682">
        <v>0</v>
      </c>
      <c r="AW1682">
        <v>0</v>
      </c>
      <c r="AX1682">
        <v>311000</v>
      </c>
      <c r="AY1682" t="s">
        <v>161</v>
      </c>
      <c r="AZ1682">
        <v>1.19</v>
      </c>
      <c r="BA1682">
        <v>1.19</v>
      </c>
      <c r="BB1682">
        <v>0</v>
      </c>
      <c r="BC1682" t="s">
        <v>183</v>
      </c>
      <c r="BD1682">
        <v>1511</v>
      </c>
      <c r="BE1682" t="s">
        <v>174</v>
      </c>
      <c r="BF1682">
        <v>5094233658</v>
      </c>
      <c r="BG1682" t="s">
        <v>381</v>
      </c>
    </row>
    <row r="1683" spans="1:59">
      <c r="A1683">
        <v>1115</v>
      </c>
      <c r="B1683">
        <v>1115</v>
      </c>
      <c r="C1683">
        <v>10</v>
      </c>
      <c r="D1683">
        <v>2</v>
      </c>
      <c r="E1683" t="s">
        <v>152</v>
      </c>
      <c r="F1683" t="s">
        <v>153</v>
      </c>
      <c r="G1683" t="s">
        <v>154</v>
      </c>
      <c r="H1683">
        <v>1526007030</v>
      </c>
      <c r="I1683">
        <v>1000007315</v>
      </c>
      <c r="L1683" t="s">
        <v>381</v>
      </c>
      <c r="M1683">
        <v>5100001913</v>
      </c>
      <c r="N1683" t="s">
        <v>155</v>
      </c>
      <c r="O1683" t="s">
        <v>156</v>
      </c>
      <c r="P1683">
        <v>4110050475</v>
      </c>
      <c r="Q1683" t="s">
        <v>178</v>
      </c>
      <c r="R1683">
        <v>5000</v>
      </c>
      <c r="S1683" t="s">
        <v>166</v>
      </c>
      <c r="V1683" t="s">
        <v>167</v>
      </c>
      <c r="W1683">
        <v>1502040289</v>
      </c>
      <c r="X1683" t="s">
        <v>49</v>
      </c>
      <c r="Y1683" t="str">
        <f>VLOOKUP(W1683,Sheet4!$A$5:$B$72,2,0)</f>
        <v>SUPPORT TOP</v>
      </c>
      <c r="Z1683">
        <v>87082900</v>
      </c>
      <c r="AA1683">
        <v>288</v>
      </c>
      <c r="AB1683" t="s">
        <v>159</v>
      </c>
      <c r="AC1683">
        <v>174.61</v>
      </c>
      <c r="AD1683" t="s">
        <v>160</v>
      </c>
      <c r="AE1683" s="24">
        <v>50287.68</v>
      </c>
      <c r="AF1683">
        <v>0</v>
      </c>
      <c r="AG1683" s="24">
        <v>50287.68</v>
      </c>
      <c r="AH1683">
        <v>0</v>
      </c>
      <c r="AI1683">
        <v>0</v>
      </c>
      <c r="AJ1683">
        <v>0</v>
      </c>
      <c r="AK1683">
        <v>0</v>
      </c>
      <c r="AL1683" s="24">
        <v>50287.68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 s="24">
        <v>50287.68</v>
      </c>
      <c r="AV1683">
        <v>0</v>
      </c>
      <c r="AW1683">
        <v>0</v>
      </c>
      <c r="AX1683">
        <v>311000</v>
      </c>
      <c r="AY1683" t="s">
        <v>161</v>
      </c>
      <c r="AZ1683">
        <v>0</v>
      </c>
      <c r="BA1683">
        <v>0</v>
      </c>
      <c r="BB1683">
        <v>0</v>
      </c>
      <c r="BC1683" t="s">
        <v>179</v>
      </c>
      <c r="BD1683">
        <v>1511</v>
      </c>
      <c r="BE1683" t="s">
        <v>174</v>
      </c>
      <c r="BF1683">
        <v>5094232383</v>
      </c>
      <c r="BG1683" t="s">
        <v>381</v>
      </c>
    </row>
    <row r="1684" spans="1:59">
      <c r="A1684">
        <v>1115</v>
      </c>
      <c r="B1684">
        <v>1115</v>
      </c>
      <c r="C1684">
        <v>10</v>
      </c>
      <c r="D1684">
        <v>2</v>
      </c>
      <c r="E1684" t="s">
        <v>152</v>
      </c>
      <c r="F1684" t="s">
        <v>153</v>
      </c>
      <c r="G1684" t="s">
        <v>154</v>
      </c>
      <c r="H1684">
        <v>1526007029</v>
      </c>
      <c r="I1684">
        <v>1000007312</v>
      </c>
      <c r="L1684" t="s">
        <v>381</v>
      </c>
      <c r="M1684">
        <v>5100001636</v>
      </c>
      <c r="N1684" t="s">
        <v>155</v>
      </c>
      <c r="O1684" t="s">
        <v>156</v>
      </c>
      <c r="P1684">
        <v>4110026445</v>
      </c>
      <c r="Q1684" t="s">
        <v>170</v>
      </c>
      <c r="R1684">
        <v>5000</v>
      </c>
      <c r="S1684" t="s">
        <v>166</v>
      </c>
      <c r="V1684" t="s">
        <v>167</v>
      </c>
      <c r="W1684">
        <v>1502020104</v>
      </c>
      <c r="X1684" t="s">
        <v>26</v>
      </c>
      <c r="Y1684" t="str">
        <f>VLOOKUP(W1684,Sheet4!$A$5:$B$72,2,0)</f>
        <v>RE STYLING</v>
      </c>
      <c r="Z1684">
        <v>87082900</v>
      </c>
      <c r="AA1684">
        <v>15</v>
      </c>
      <c r="AB1684" t="s">
        <v>159</v>
      </c>
      <c r="AC1684" s="24">
        <v>6585.55</v>
      </c>
      <c r="AD1684" t="s">
        <v>160</v>
      </c>
      <c r="AE1684" s="24">
        <v>98783.25</v>
      </c>
      <c r="AF1684">
        <v>0</v>
      </c>
      <c r="AG1684" s="24">
        <v>98783.25</v>
      </c>
      <c r="AH1684">
        <v>0</v>
      </c>
      <c r="AI1684">
        <v>0</v>
      </c>
      <c r="AJ1684">
        <v>0</v>
      </c>
      <c r="AK1684">
        <v>0</v>
      </c>
      <c r="AL1684" s="24">
        <v>98783.25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 s="24">
        <v>98783.25</v>
      </c>
      <c r="AV1684">
        <v>0</v>
      </c>
      <c r="AW1684">
        <v>0</v>
      </c>
      <c r="AX1684">
        <v>311000</v>
      </c>
      <c r="AY1684" t="s">
        <v>161</v>
      </c>
      <c r="AZ1684">
        <v>49.75</v>
      </c>
      <c r="BA1684">
        <v>49.75</v>
      </c>
      <c r="BB1684">
        <v>0</v>
      </c>
      <c r="BC1684" t="s">
        <v>171</v>
      </c>
      <c r="BD1684">
        <v>1509</v>
      </c>
      <c r="BE1684" t="s">
        <v>169</v>
      </c>
      <c r="BF1684">
        <v>5094240727</v>
      </c>
      <c r="BG1684" t="s">
        <v>381</v>
      </c>
    </row>
    <row r="1685" spans="1:59">
      <c r="A1685">
        <v>1115</v>
      </c>
      <c r="B1685">
        <v>1115</v>
      </c>
      <c r="C1685">
        <v>10</v>
      </c>
      <c r="D1685">
        <v>2</v>
      </c>
      <c r="E1685" t="s">
        <v>152</v>
      </c>
      <c r="F1685" t="s">
        <v>153</v>
      </c>
      <c r="G1685" t="s">
        <v>154</v>
      </c>
      <c r="H1685">
        <v>1526007028</v>
      </c>
      <c r="I1685">
        <v>1000007311</v>
      </c>
      <c r="L1685" t="s">
        <v>381</v>
      </c>
      <c r="M1685">
        <v>5100001603</v>
      </c>
      <c r="N1685" t="s">
        <v>155</v>
      </c>
      <c r="O1685" t="s">
        <v>156</v>
      </c>
      <c r="P1685">
        <v>4110025468</v>
      </c>
      <c r="Q1685" t="s">
        <v>165</v>
      </c>
      <c r="R1685">
        <v>5000</v>
      </c>
      <c r="S1685" t="s">
        <v>166</v>
      </c>
      <c r="V1685" t="s">
        <v>167</v>
      </c>
      <c r="W1685">
        <v>1502020102</v>
      </c>
      <c r="X1685" t="s">
        <v>58</v>
      </c>
      <c r="Y1685" t="str">
        <f>VLOOKUP(W1685,Sheet4!$A$5:$B$72,2,0)</f>
        <v>MAXIMA HD</v>
      </c>
      <c r="Z1685">
        <v>87082900</v>
      </c>
      <c r="AA1685">
        <v>8</v>
      </c>
      <c r="AB1685" t="s">
        <v>159</v>
      </c>
      <c r="AC1685" s="24">
        <v>8593.51</v>
      </c>
      <c r="AD1685" t="s">
        <v>160</v>
      </c>
      <c r="AE1685" s="24">
        <v>68748.08</v>
      </c>
      <c r="AF1685">
        <v>0</v>
      </c>
      <c r="AG1685" s="24">
        <v>68748.08</v>
      </c>
      <c r="AH1685">
        <v>0</v>
      </c>
      <c r="AI1685">
        <v>0</v>
      </c>
      <c r="AJ1685">
        <v>0</v>
      </c>
      <c r="AK1685">
        <v>0</v>
      </c>
      <c r="AL1685" s="24">
        <v>68748.08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 s="24">
        <v>68748.08</v>
      </c>
      <c r="AV1685">
        <v>0</v>
      </c>
      <c r="AW1685">
        <v>0</v>
      </c>
      <c r="AX1685">
        <v>311000</v>
      </c>
      <c r="AY1685" t="s">
        <v>161</v>
      </c>
      <c r="AZ1685">
        <v>93.34</v>
      </c>
      <c r="BA1685">
        <v>75.430000000000007</v>
      </c>
      <c r="BB1685">
        <v>17.91</v>
      </c>
      <c r="BC1685" t="s">
        <v>168</v>
      </c>
      <c r="BD1685">
        <v>1509</v>
      </c>
      <c r="BE1685" t="s">
        <v>169</v>
      </c>
      <c r="BF1685">
        <v>5094231697</v>
      </c>
      <c r="BG1685" t="s">
        <v>381</v>
      </c>
    </row>
    <row r="1686" spans="1:59">
      <c r="A1686">
        <v>1115</v>
      </c>
      <c r="B1686">
        <v>1115</v>
      </c>
      <c r="C1686">
        <v>10</v>
      </c>
      <c r="D1686">
        <v>2</v>
      </c>
      <c r="E1686" t="s">
        <v>152</v>
      </c>
      <c r="F1686" t="s">
        <v>153</v>
      </c>
      <c r="G1686" t="s">
        <v>154</v>
      </c>
      <c r="H1686">
        <v>1526007023</v>
      </c>
      <c r="I1686">
        <v>1000007308</v>
      </c>
      <c r="L1686" t="s">
        <v>381</v>
      </c>
      <c r="M1686">
        <v>5100001636</v>
      </c>
      <c r="N1686" t="s">
        <v>155</v>
      </c>
      <c r="O1686" t="s">
        <v>156</v>
      </c>
      <c r="P1686">
        <v>4110026445</v>
      </c>
      <c r="Q1686" t="s">
        <v>170</v>
      </c>
      <c r="R1686">
        <v>5000</v>
      </c>
      <c r="S1686" t="s">
        <v>166</v>
      </c>
      <c r="V1686" t="s">
        <v>167</v>
      </c>
      <c r="W1686">
        <v>1502020104</v>
      </c>
      <c r="X1686" t="s">
        <v>26</v>
      </c>
      <c r="Y1686" t="str">
        <f>VLOOKUP(W1686,Sheet4!$A$5:$B$72,2,0)</f>
        <v>RE STYLING</v>
      </c>
      <c r="Z1686">
        <v>87082900</v>
      </c>
      <c r="AA1686">
        <v>15</v>
      </c>
      <c r="AB1686" t="s">
        <v>159</v>
      </c>
      <c r="AC1686" s="24">
        <v>6585.55</v>
      </c>
      <c r="AD1686" t="s">
        <v>160</v>
      </c>
      <c r="AE1686" s="24">
        <v>98783.25</v>
      </c>
      <c r="AF1686">
        <v>0</v>
      </c>
      <c r="AG1686" s="24">
        <v>98783.25</v>
      </c>
      <c r="AH1686">
        <v>0</v>
      </c>
      <c r="AI1686">
        <v>0</v>
      </c>
      <c r="AJ1686">
        <v>0</v>
      </c>
      <c r="AK1686">
        <v>0</v>
      </c>
      <c r="AL1686" s="24">
        <v>98783.25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 s="24">
        <v>98783.25</v>
      </c>
      <c r="AV1686">
        <v>0</v>
      </c>
      <c r="AW1686">
        <v>0</v>
      </c>
      <c r="AX1686">
        <v>311000</v>
      </c>
      <c r="AY1686" t="s">
        <v>161</v>
      </c>
      <c r="AZ1686">
        <v>49.75</v>
      </c>
      <c r="BA1686">
        <v>49.75</v>
      </c>
      <c r="BB1686">
        <v>0</v>
      </c>
      <c r="BC1686" t="s">
        <v>171</v>
      </c>
      <c r="BD1686">
        <v>1509</v>
      </c>
      <c r="BE1686" t="s">
        <v>169</v>
      </c>
      <c r="BF1686">
        <v>5094247023</v>
      </c>
      <c r="BG1686" t="s">
        <v>381</v>
      </c>
    </row>
    <row r="1687" spans="1:59">
      <c r="A1687">
        <v>1115</v>
      </c>
      <c r="B1687">
        <v>1115</v>
      </c>
      <c r="C1687">
        <v>10</v>
      </c>
      <c r="D1687">
        <v>2</v>
      </c>
      <c r="E1687" t="s">
        <v>152</v>
      </c>
      <c r="F1687" t="s">
        <v>153</v>
      </c>
      <c r="G1687" t="s">
        <v>154</v>
      </c>
      <c r="H1687">
        <v>1526007154</v>
      </c>
      <c r="I1687">
        <v>1000007443</v>
      </c>
      <c r="L1687" t="s">
        <v>381</v>
      </c>
      <c r="M1687">
        <v>5100001899</v>
      </c>
      <c r="N1687" t="s">
        <v>155</v>
      </c>
      <c r="O1687" t="s">
        <v>156</v>
      </c>
      <c r="P1687">
        <v>4110041854</v>
      </c>
      <c r="Q1687" t="s">
        <v>172</v>
      </c>
      <c r="R1687">
        <v>5000</v>
      </c>
      <c r="S1687" t="s">
        <v>166</v>
      </c>
      <c r="V1687" t="s">
        <v>167</v>
      </c>
      <c r="W1687">
        <v>1502040267</v>
      </c>
      <c r="X1687" t="s">
        <v>63</v>
      </c>
      <c r="Y1687" t="str">
        <f>VLOOKUP(W1687,Sheet4!$A$5:$B$72,2,0)</f>
        <v>DASH BOARD</v>
      </c>
      <c r="Z1687">
        <v>87082900</v>
      </c>
      <c r="AA1687">
        <v>512</v>
      </c>
      <c r="AB1687" t="s">
        <v>159</v>
      </c>
      <c r="AC1687">
        <v>290.89999999999998</v>
      </c>
      <c r="AD1687" t="s">
        <v>160</v>
      </c>
      <c r="AE1687" s="24">
        <v>148940.79999999999</v>
      </c>
      <c r="AF1687">
        <v>0</v>
      </c>
      <c r="AG1687" s="24">
        <v>148940.79999999999</v>
      </c>
      <c r="AH1687">
        <v>0</v>
      </c>
      <c r="AI1687">
        <v>0</v>
      </c>
      <c r="AJ1687">
        <v>0</v>
      </c>
      <c r="AK1687">
        <v>0</v>
      </c>
      <c r="AL1687" s="24">
        <v>148940.79999999999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 s="24">
        <v>148940.79999999999</v>
      </c>
      <c r="AV1687">
        <v>0</v>
      </c>
      <c r="AW1687">
        <v>0</v>
      </c>
      <c r="AX1687">
        <v>311000</v>
      </c>
      <c r="AY1687" t="s">
        <v>161</v>
      </c>
      <c r="AZ1687">
        <v>4.5</v>
      </c>
      <c r="BA1687">
        <v>4.5</v>
      </c>
      <c r="BB1687">
        <v>0</v>
      </c>
      <c r="BC1687" t="s">
        <v>173</v>
      </c>
      <c r="BD1687">
        <v>1511</v>
      </c>
      <c r="BE1687" t="s">
        <v>174</v>
      </c>
      <c r="BF1687">
        <v>5094249896</v>
      </c>
      <c r="BG1687" t="s">
        <v>381</v>
      </c>
    </row>
    <row r="1688" spans="1:59">
      <c r="A1688">
        <v>1115</v>
      </c>
      <c r="B1688">
        <v>1115</v>
      </c>
      <c r="C1688">
        <v>10</v>
      </c>
      <c r="D1688">
        <v>2</v>
      </c>
      <c r="E1688" t="s">
        <v>152</v>
      </c>
      <c r="F1688" t="s">
        <v>153</v>
      </c>
      <c r="G1688" t="s">
        <v>154</v>
      </c>
      <c r="H1688">
        <v>1526007262</v>
      </c>
      <c r="I1688">
        <v>1000007554</v>
      </c>
      <c r="L1688" t="s">
        <v>368</v>
      </c>
      <c r="M1688">
        <v>5100001919</v>
      </c>
      <c r="N1688" t="s">
        <v>155</v>
      </c>
      <c r="O1688" t="s">
        <v>156</v>
      </c>
      <c r="P1688">
        <v>5500000930</v>
      </c>
      <c r="Q1688" t="s">
        <v>157</v>
      </c>
      <c r="R1688">
        <v>5356</v>
      </c>
      <c r="S1688" t="s">
        <v>158</v>
      </c>
      <c r="W1688">
        <v>1402010546</v>
      </c>
      <c r="X1688" t="s">
        <v>372</v>
      </c>
      <c r="Y1688" t="str">
        <f>VLOOKUP(W1688,Sheet4!$A$5:$B$72,2,0)</f>
        <v>FRONT MUDGAURD</v>
      </c>
      <c r="Z1688">
        <v>87082900</v>
      </c>
      <c r="AA1688">
        <v>140</v>
      </c>
      <c r="AB1688" t="s">
        <v>159</v>
      </c>
      <c r="AC1688">
        <v>108.65</v>
      </c>
      <c r="AD1688" t="s">
        <v>160</v>
      </c>
      <c r="AE1688" s="24">
        <v>15211</v>
      </c>
      <c r="AF1688">
        <v>0</v>
      </c>
      <c r="AG1688" s="24">
        <v>15211</v>
      </c>
      <c r="AH1688">
        <v>0</v>
      </c>
      <c r="AI1688">
        <v>0</v>
      </c>
      <c r="AJ1688">
        <v>0</v>
      </c>
      <c r="AK1688">
        <v>0</v>
      </c>
      <c r="AL1688" s="24">
        <v>15211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 s="24">
        <v>15211</v>
      </c>
      <c r="AV1688">
        <v>0</v>
      </c>
      <c r="AW1688">
        <v>0</v>
      </c>
      <c r="AX1688">
        <v>311001</v>
      </c>
      <c r="AY1688" t="s">
        <v>370</v>
      </c>
      <c r="AZ1688">
        <v>1.75</v>
      </c>
      <c r="BA1688">
        <v>1.75</v>
      </c>
      <c r="BB1688">
        <v>0</v>
      </c>
      <c r="BC1688">
        <v>2000001018</v>
      </c>
      <c r="BD1688">
        <v>1402</v>
      </c>
      <c r="BE1688" t="s">
        <v>371</v>
      </c>
      <c r="BF1688" t="s">
        <v>163</v>
      </c>
      <c r="BG1688" t="s">
        <v>164</v>
      </c>
    </row>
    <row r="1689" spans="1:59">
      <c r="A1689">
        <v>1115</v>
      </c>
      <c r="B1689">
        <v>1115</v>
      </c>
      <c r="C1689">
        <v>10</v>
      </c>
      <c r="D1689">
        <v>2</v>
      </c>
      <c r="E1689" t="s">
        <v>152</v>
      </c>
      <c r="F1689" t="s">
        <v>153</v>
      </c>
      <c r="G1689" t="s">
        <v>154</v>
      </c>
      <c r="H1689">
        <v>1526007261</v>
      </c>
      <c r="I1689">
        <v>1000007553</v>
      </c>
      <c r="L1689" t="s">
        <v>368</v>
      </c>
      <c r="M1689">
        <v>5100001666</v>
      </c>
      <c r="N1689" t="s">
        <v>155</v>
      </c>
      <c r="O1689" t="s">
        <v>156</v>
      </c>
      <c r="P1689">
        <v>4110027035</v>
      </c>
      <c r="Q1689" t="s">
        <v>225</v>
      </c>
      <c r="R1689">
        <v>5000</v>
      </c>
      <c r="S1689" t="s">
        <v>166</v>
      </c>
      <c r="V1689" t="s">
        <v>167</v>
      </c>
      <c r="W1689">
        <v>1502020105</v>
      </c>
      <c r="X1689" t="s">
        <v>226</v>
      </c>
      <c r="Y1689" t="str">
        <f>VLOOKUP(W1689,Sheet4!$A$5:$B$72,2,0)</f>
        <v>RE STYLING</v>
      </c>
      <c r="Z1689">
        <v>87082900</v>
      </c>
      <c r="AA1689">
        <v>15</v>
      </c>
      <c r="AB1689" t="s">
        <v>159</v>
      </c>
      <c r="AC1689" s="24">
        <v>6570.77</v>
      </c>
      <c r="AD1689" t="s">
        <v>160</v>
      </c>
      <c r="AE1689" s="24">
        <v>98561.55</v>
      </c>
      <c r="AF1689">
        <v>0</v>
      </c>
      <c r="AG1689" s="24">
        <v>98561.55</v>
      </c>
      <c r="AH1689">
        <v>0</v>
      </c>
      <c r="AI1689">
        <v>0</v>
      </c>
      <c r="AJ1689">
        <v>0</v>
      </c>
      <c r="AK1689">
        <v>0</v>
      </c>
      <c r="AL1689" s="24">
        <v>98561.55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 s="24">
        <v>98561.55</v>
      </c>
      <c r="AV1689">
        <v>0</v>
      </c>
      <c r="AW1689">
        <v>0</v>
      </c>
      <c r="AX1689">
        <v>311000</v>
      </c>
      <c r="AY1689" t="s">
        <v>161</v>
      </c>
      <c r="AZ1689">
        <v>49.75</v>
      </c>
      <c r="BA1689">
        <v>49.75</v>
      </c>
      <c r="BB1689">
        <v>0</v>
      </c>
      <c r="BC1689" t="s">
        <v>227</v>
      </c>
      <c r="BD1689">
        <v>1509</v>
      </c>
      <c r="BE1689" t="s">
        <v>169</v>
      </c>
      <c r="BF1689">
        <v>5094265623</v>
      </c>
      <c r="BG1689" t="s">
        <v>368</v>
      </c>
    </row>
    <row r="1690" spans="1:59">
      <c r="A1690">
        <v>1115</v>
      </c>
      <c r="B1690">
        <v>1115</v>
      </c>
      <c r="C1690">
        <v>10</v>
      </c>
      <c r="D1690">
        <v>2</v>
      </c>
      <c r="E1690" t="s">
        <v>152</v>
      </c>
      <c r="F1690" t="s">
        <v>153</v>
      </c>
      <c r="G1690" t="s">
        <v>154</v>
      </c>
      <c r="H1690">
        <v>1526007260</v>
      </c>
      <c r="I1690">
        <v>1000007551</v>
      </c>
      <c r="L1690" t="s">
        <v>368</v>
      </c>
      <c r="M1690">
        <v>5100001666</v>
      </c>
      <c r="N1690" t="s">
        <v>155</v>
      </c>
      <c r="O1690" t="s">
        <v>156</v>
      </c>
      <c r="P1690">
        <v>4110027035</v>
      </c>
      <c r="Q1690" t="s">
        <v>225</v>
      </c>
      <c r="R1690">
        <v>5000</v>
      </c>
      <c r="S1690" t="s">
        <v>166</v>
      </c>
      <c r="V1690" t="s">
        <v>167</v>
      </c>
      <c r="W1690">
        <v>1502020105</v>
      </c>
      <c r="X1690" t="s">
        <v>226</v>
      </c>
      <c r="Y1690" t="str">
        <f>VLOOKUP(W1690,Sheet4!$A$5:$B$72,2,0)</f>
        <v>RE STYLING</v>
      </c>
      <c r="Z1690">
        <v>87082900</v>
      </c>
      <c r="AA1690">
        <v>15</v>
      </c>
      <c r="AB1690" t="s">
        <v>159</v>
      </c>
      <c r="AC1690" s="24">
        <v>6570.77</v>
      </c>
      <c r="AD1690" t="s">
        <v>160</v>
      </c>
      <c r="AE1690" s="24">
        <v>98561.55</v>
      </c>
      <c r="AF1690">
        <v>0</v>
      </c>
      <c r="AG1690" s="24">
        <v>98561.55</v>
      </c>
      <c r="AH1690">
        <v>0</v>
      </c>
      <c r="AI1690">
        <v>0</v>
      </c>
      <c r="AJ1690">
        <v>0</v>
      </c>
      <c r="AK1690">
        <v>0</v>
      </c>
      <c r="AL1690" s="24">
        <v>98561.55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 s="24">
        <v>98561.55</v>
      </c>
      <c r="AV1690">
        <v>0</v>
      </c>
      <c r="AW1690">
        <v>0</v>
      </c>
      <c r="AX1690">
        <v>311000</v>
      </c>
      <c r="AY1690" t="s">
        <v>161</v>
      </c>
      <c r="AZ1690">
        <v>49.75</v>
      </c>
      <c r="BA1690">
        <v>49.75</v>
      </c>
      <c r="BB1690">
        <v>0</v>
      </c>
      <c r="BC1690" t="s">
        <v>227</v>
      </c>
      <c r="BD1690">
        <v>1509</v>
      </c>
      <c r="BE1690" t="s">
        <v>169</v>
      </c>
      <c r="BF1690">
        <v>5094265795</v>
      </c>
      <c r="BG1690" t="s">
        <v>368</v>
      </c>
    </row>
    <row r="1691" spans="1:59">
      <c r="A1691">
        <v>1115</v>
      </c>
      <c r="B1691">
        <v>1115</v>
      </c>
      <c r="C1691">
        <v>10</v>
      </c>
      <c r="D1691">
        <v>2</v>
      </c>
      <c r="E1691" t="s">
        <v>152</v>
      </c>
      <c r="F1691" t="s">
        <v>153</v>
      </c>
      <c r="G1691" t="s">
        <v>154</v>
      </c>
      <c r="H1691">
        <v>1526007259</v>
      </c>
      <c r="I1691">
        <v>1000007550</v>
      </c>
      <c r="L1691" t="s">
        <v>368</v>
      </c>
      <c r="M1691">
        <v>5100001666</v>
      </c>
      <c r="N1691" t="s">
        <v>155</v>
      </c>
      <c r="O1691" t="s">
        <v>156</v>
      </c>
      <c r="P1691">
        <v>4110027035</v>
      </c>
      <c r="Q1691" t="s">
        <v>225</v>
      </c>
      <c r="R1691">
        <v>5000</v>
      </c>
      <c r="S1691" t="s">
        <v>166</v>
      </c>
      <c r="V1691" t="s">
        <v>167</v>
      </c>
      <c r="W1691">
        <v>1502020105</v>
      </c>
      <c r="X1691" t="s">
        <v>226</v>
      </c>
      <c r="Y1691" t="str">
        <f>VLOOKUP(W1691,Sheet4!$A$5:$B$72,2,0)</f>
        <v>RE STYLING</v>
      </c>
      <c r="Z1691">
        <v>87082900</v>
      </c>
      <c r="AA1691">
        <v>15</v>
      </c>
      <c r="AB1691" t="s">
        <v>159</v>
      </c>
      <c r="AC1691" s="24">
        <v>6570.77</v>
      </c>
      <c r="AD1691" t="s">
        <v>160</v>
      </c>
      <c r="AE1691" s="24">
        <v>98561.55</v>
      </c>
      <c r="AF1691">
        <v>0</v>
      </c>
      <c r="AG1691" s="24">
        <v>98561.55</v>
      </c>
      <c r="AH1691">
        <v>0</v>
      </c>
      <c r="AI1691">
        <v>0</v>
      </c>
      <c r="AJ1691">
        <v>0</v>
      </c>
      <c r="AK1691">
        <v>0</v>
      </c>
      <c r="AL1691" s="24">
        <v>98561.55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 s="24">
        <v>98561.55</v>
      </c>
      <c r="AV1691">
        <v>0</v>
      </c>
      <c r="AW1691">
        <v>0</v>
      </c>
      <c r="AX1691">
        <v>311000</v>
      </c>
      <c r="AY1691" t="s">
        <v>161</v>
      </c>
      <c r="AZ1691">
        <v>49.75</v>
      </c>
      <c r="BA1691">
        <v>49.75</v>
      </c>
      <c r="BB1691">
        <v>0</v>
      </c>
      <c r="BC1691" t="s">
        <v>227</v>
      </c>
      <c r="BD1691">
        <v>1509</v>
      </c>
      <c r="BE1691" t="s">
        <v>169</v>
      </c>
      <c r="BF1691">
        <v>5094265408</v>
      </c>
      <c r="BG1691" t="s">
        <v>368</v>
      </c>
    </row>
    <row r="1692" spans="1:59">
      <c r="A1692">
        <v>1115</v>
      </c>
      <c r="B1692">
        <v>1115</v>
      </c>
      <c r="C1692">
        <v>10</v>
      </c>
      <c r="D1692">
        <v>2</v>
      </c>
      <c r="E1692" t="s">
        <v>152</v>
      </c>
      <c r="F1692" t="s">
        <v>153</v>
      </c>
      <c r="G1692" t="s">
        <v>154</v>
      </c>
      <c r="H1692">
        <v>1526007258</v>
      </c>
      <c r="I1692">
        <v>1000007548</v>
      </c>
      <c r="L1692" t="s">
        <v>368</v>
      </c>
      <c r="M1692">
        <v>5100001101</v>
      </c>
      <c r="N1692" t="s">
        <v>155</v>
      </c>
      <c r="O1692" t="s">
        <v>156</v>
      </c>
      <c r="P1692">
        <v>4110004653</v>
      </c>
      <c r="Q1692" t="s">
        <v>177</v>
      </c>
      <c r="R1692">
        <v>5000</v>
      </c>
      <c r="S1692" t="s">
        <v>166</v>
      </c>
      <c r="V1692" t="s">
        <v>167</v>
      </c>
      <c r="W1692">
        <v>1502040194</v>
      </c>
      <c r="X1692" t="s">
        <v>44</v>
      </c>
      <c r="Y1692" t="str">
        <f>VLOOKUP(W1692,Sheet4!$A$5:$B$72,2,0)</f>
        <v>CRADEL</v>
      </c>
      <c r="Z1692">
        <v>87082900</v>
      </c>
      <c r="AA1692">
        <v>48</v>
      </c>
      <c r="AB1692" t="s">
        <v>159</v>
      </c>
      <c r="AC1692">
        <v>956.92</v>
      </c>
      <c r="AD1692" t="s">
        <v>160</v>
      </c>
      <c r="AE1692" s="24">
        <v>45932.160000000003</v>
      </c>
      <c r="AF1692">
        <v>0</v>
      </c>
      <c r="AG1692" s="24">
        <v>45932.160000000003</v>
      </c>
      <c r="AH1692">
        <v>0</v>
      </c>
      <c r="AI1692">
        <v>0</v>
      </c>
      <c r="AJ1692">
        <v>0</v>
      </c>
      <c r="AK1692">
        <v>0</v>
      </c>
      <c r="AL1692" s="24">
        <v>45932.160000000003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 s="24">
        <v>45932.160000000003</v>
      </c>
      <c r="AV1692">
        <v>0</v>
      </c>
      <c r="AW1692">
        <v>0</v>
      </c>
      <c r="AX1692">
        <v>311000</v>
      </c>
      <c r="AY1692" t="s">
        <v>161</v>
      </c>
      <c r="AZ1692">
        <v>6.3769999999999998</v>
      </c>
      <c r="BA1692">
        <v>6.3769999999999998</v>
      </c>
      <c r="BB1692">
        <v>0</v>
      </c>
      <c r="BC1692" t="s">
        <v>184</v>
      </c>
      <c r="BD1692">
        <v>1511</v>
      </c>
      <c r="BE1692" t="s">
        <v>174</v>
      </c>
      <c r="BF1692">
        <v>5094261344</v>
      </c>
      <c r="BG1692" t="s">
        <v>368</v>
      </c>
    </row>
    <row r="1693" spans="1:59">
      <c r="A1693">
        <v>1115</v>
      </c>
      <c r="B1693">
        <v>1115</v>
      </c>
      <c r="C1693">
        <v>10</v>
      </c>
      <c r="D1693">
        <v>2</v>
      </c>
      <c r="E1693" t="s">
        <v>152</v>
      </c>
      <c r="F1693" t="s">
        <v>153</v>
      </c>
      <c r="G1693" t="s">
        <v>154</v>
      </c>
      <c r="H1693">
        <v>1526007254</v>
      </c>
      <c r="I1693">
        <v>1000007543</v>
      </c>
      <c r="L1693" t="s">
        <v>368</v>
      </c>
      <c r="M1693">
        <v>5100001913</v>
      </c>
      <c r="N1693" t="s">
        <v>155</v>
      </c>
      <c r="O1693" t="s">
        <v>156</v>
      </c>
      <c r="P1693">
        <v>4110050475</v>
      </c>
      <c r="Q1693" t="s">
        <v>178</v>
      </c>
      <c r="R1693">
        <v>5000</v>
      </c>
      <c r="S1693" t="s">
        <v>166</v>
      </c>
      <c r="V1693" t="s">
        <v>167</v>
      </c>
      <c r="W1693">
        <v>1502040289</v>
      </c>
      <c r="X1693" t="s">
        <v>49</v>
      </c>
      <c r="Y1693" t="str">
        <f>VLOOKUP(W1693,Sheet4!$A$5:$B$72,2,0)</f>
        <v>SUPPORT TOP</v>
      </c>
      <c r="Z1693">
        <v>87082900</v>
      </c>
      <c r="AA1693">
        <v>288</v>
      </c>
      <c r="AB1693" t="s">
        <v>159</v>
      </c>
      <c r="AC1693">
        <v>174.61</v>
      </c>
      <c r="AD1693" t="s">
        <v>160</v>
      </c>
      <c r="AE1693" s="24">
        <v>50287.68</v>
      </c>
      <c r="AF1693">
        <v>0</v>
      </c>
      <c r="AG1693" s="24">
        <v>50287.68</v>
      </c>
      <c r="AH1693">
        <v>0</v>
      </c>
      <c r="AI1693">
        <v>0</v>
      </c>
      <c r="AJ1693">
        <v>0</v>
      </c>
      <c r="AK1693">
        <v>0</v>
      </c>
      <c r="AL1693" s="24">
        <v>50287.68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 s="24">
        <v>50287.68</v>
      </c>
      <c r="AV1693">
        <v>0</v>
      </c>
      <c r="AW1693">
        <v>0</v>
      </c>
      <c r="AX1693">
        <v>311000</v>
      </c>
      <c r="AY1693" t="s">
        <v>161</v>
      </c>
      <c r="AZ1693">
        <v>0</v>
      </c>
      <c r="BA1693">
        <v>0</v>
      </c>
      <c r="BB1693">
        <v>0</v>
      </c>
      <c r="BC1693" t="s">
        <v>179</v>
      </c>
      <c r="BD1693">
        <v>1511</v>
      </c>
      <c r="BE1693" t="s">
        <v>174</v>
      </c>
      <c r="BF1693">
        <v>5094259868</v>
      </c>
      <c r="BG1693" t="s">
        <v>368</v>
      </c>
    </row>
    <row r="1694" spans="1:59">
      <c r="A1694">
        <v>1115</v>
      </c>
      <c r="B1694">
        <v>1115</v>
      </c>
      <c r="C1694">
        <v>10</v>
      </c>
      <c r="D1694">
        <v>2</v>
      </c>
      <c r="E1694" t="s">
        <v>152</v>
      </c>
      <c r="F1694" t="s">
        <v>153</v>
      </c>
      <c r="G1694" t="s">
        <v>154</v>
      </c>
      <c r="H1694">
        <v>1526007253</v>
      </c>
      <c r="I1694">
        <v>1000007542</v>
      </c>
      <c r="L1694" t="s">
        <v>368</v>
      </c>
      <c r="M1694">
        <v>5100001913</v>
      </c>
      <c r="N1694" t="s">
        <v>155</v>
      </c>
      <c r="O1694" t="s">
        <v>156</v>
      </c>
      <c r="P1694">
        <v>4110050475</v>
      </c>
      <c r="Q1694" t="s">
        <v>178</v>
      </c>
      <c r="R1694">
        <v>5000</v>
      </c>
      <c r="S1694" t="s">
        <v>166</v>
      </c>
      <c r="V1694" t="s">
        <v>167</v>
      </c>
      <c r="W1694">
        <v>1502040289</v>
      </c>
      <c r="X1694" t="s">
        <v>49</v>
      </c>
      <c r="Y1694" t="str">
        <f>VLOOKUP(W1694,Sheet4!$A$5:$B$72,2,0)</f>
        <v>SUPPORT TOP</v>
      </c>
      <c r="Z1694">
        <v>87082900</v>
      </c>
      <c r="AA1694">
        <v>100</v>
      </c>
      <c r="AB1694" t="s">
        <v>159</v>
      </c>
      <c r="AC1694">
        <v>174.61</v>
      </c>
      <c r="AD1694" t="s">
        <v>160</v>
      </c>
      <c r="AE1694" s="24">
        <v>17461</v>
      </c>
      <c r="AF1694">
        <v>0</v>
      </c>
      <c r="AG1694" s="24">
        <v>17461</v>
      </c>
      <c r="AH1694">
        <v>0</v>
      </c>
      <c r="AI1694">
        <v>0</v>
      </c>
      <c r="AJ1694">
        <v>0</v>
      </c>
      <c r="AK1694">
        <v>0</v>
      </c>
      <c r="AL1694" s="24">
        <v>17461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 s="24">
        <v>17461</v>
      </c>
      <c r="AV1694">
        <v>0</v>
      </c>
      <c r="AW1694">
        <v>0</v>
      </c>
      <c r="AX1694">
        <v>311000</v>
      </c>
      <c r="AY1694" t="s">
        <v>161</v>
      </c>
      <c r="AZ1694">
        <v>0</v>
      </c>
      <c r="BA1694">
        <v>0</v>
      </c>
      <c r="BB1694">
        <v>0</v>
      </c>
      <c r="BC1694" t="s">
        <v>179</v>
      </c>
      <c r="BD1694">
        <v>1511</v>
      </c>
      <c r="BE1694" t="s">
        <v>174</v>
      </c>
      <c r="BF1694">
        <v>5094257104</v>
      </c>
      <c r="BG1694" t="s">
        <v>368</v>
      </c>
    </row>
    <row r="1695" spans="1:59">
      <c r="A1695">
        <v>1115</v>
      </c>
      <c r="B1695">
        <v>1115</v>
      </c>
      <c r="C1695">
        <v>10</v>
      </c>
      <c r="D1695">
        <v>2</v>
      </c>
      <c r="E1695" t="s">
        <v>152</v>
      </c>
      <c r="F1695" t="s">
        <v>153</v>
      </c>
      <c r="G1695" t="s">
        <v>154</v>
      </c>
      <c r="H1695">
        <v>1526007252</v>
      </c>
      <c r="I1695">
        <v>1000007539</v>
      </c>
      <c r="L1695" t="s">
        <v>368</v>
      </c>
      <c r="M1695">
        <v>5100001568</v>
      </c>
      <c r="N1695" t="s">
        <v>155</v>
      </c>
      <c r="O1695" t="s">
        <v>156</v>
      </c>
      <c r="P1695">
        <v>4110023868</v>
      </c>
      <c r="Q1695" t="s">
        <v>182</v>
      </c>
      <c r="R1695">
        <v>5000</v>
      </c>
      <c r="S1695" t="s">
        <v>166</v>
      </c>
      <c r="V1695" t="s">
        <v>167</v>
      </c>
      <c r="W1695">
        <v>1502040236</v>
      </c>
      <c r="X1695" t="s">
        <v>50</v>
      </c>
      <c r="Y1695" t="str">
        <f>VLOOKUP(W1695,Sheet4!$A$5:$B$72,2,0)</f>
        <v>SUPPORT TOP</v>
      </c>
      <c r="Z1695">
        <v>87082900</v>
      </c>
      <c r="AA1695">
        <v>144</v>
      </c>
      <c r="AB1695" t="s">
        <v>159</v>
      </c>
      <c r="AC1695">
        <v>134.19999999999999</v>
      </c>
      <c r="AD1695" t="s">
        <v>160</v>
      </c>
      <c r="AE1695" s="24">
        <v>19324.8</v>
      </c>
      <c r="AF1695">
        <v>0</v>
      </c>
      <c r="AG1695" s="24">
        <v>19324.8</v>
      </c>
      <c r="AH1695">
        <v>0</v>
      </c>
      <c r="AI1695">
        <v>0</v>
      </c>
      <c r="AJ1695">
        <v>0</v>
      </c>
      <c r="AK1695">
        <v>0</v>
      </c>
      <c r="AL1695" s="24">
        <v>19324.8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 s="24">
        <v>19324.8</v>
      </c>
      <c r="AV1695">
        <v>0</v>
      </c>
      <c r="AW1695">
        <v>0</v>
      </c>
      <c r="AX1695">
        <v>311000</v>
      </c>
      <c r="AY1695" t="s">
        <v>161</v>
      </c>
      <c r="AZ1695">
        <v>1.19</v>
      </c>
      <c r="BA1695">
        <v>1.19</v>
      </c>
      <c r="BB1695">
        <v>0</v>
      </c>
      <c r="BC1695" t="s">
        <v>183</v>
      </c>
      <c r="BD1695">
        <v>1511</v>
      </c>
      <c r="BE1695" t="s">
        <v>174</v>
      </c>
      <c r="BF1695">
        <v>5094257095</v>
      </c>
      <c r="BG1695" t="s">
        <v>368</v>
      </c>
    </row>
    <row r="1696" spans="1:59">
      <c r="A1696">
        <v>1115</v>
      </c>
      <c r="B1696">
        <v>1115</v>
      </c>
      <c r="C1696">
        <v>10</v>
      </c>
      <c r="D1696">
        <v>2</v>
      </c>
      <c r="E1696" t="s">
        <v>152</v>
      </c>
      <c r="F1696" t="s">
        <v>153</v>
      </c>
      <c r="G1696" t="s">
        <v>154</v>
      </c>
      <c r="H1696">
        <v>1526007250</v>
      </c>
      <c r="I1696">
        <v>1000007537</v>
      </c>
      <c r="L1696" t="s">
        <v>368</v>
      </c>
      <c r="M1696">
        <v>5100001588</v>
      </c>
      <c r="N1696" t="s">
        <v>155</v>
      </c>
      <c r="O1696" t="s">
        <v>156</v>
      </c>
      <c r="P1696">
        <v>4110025058</v>
      </c>
      <c r="Q1696" t="s">
        <v>180</v>
      </c>
      <c r="R1696">
        <v>5000</v>
      </c>
      <c r="S1696" t="s">
        <v>166</v>
      </c>
      <c r="V1696" t="s">
        <v>167</v>
      </c>
      <c r="W1696">
        <v>1502040235</v>
      </c>
      <c r="X1696" t="s">
        <v>47</v>
      </c>
      <c r="Y1696" t="str">
        <f>VLOOKUP(W1696,Sheet4!$A$5:$B$72,2,0)</f>
        <v>STARTING HANDLE</v>
      </c>
      <c r="Z1696">
        <v>87082900</v>
      </c>
      <c r="AA1696">
        <v>540</v>
      </c>
      <c r="AB1696" t="s">
        <v>159</v>
      </c>
      <c r="AC1696">
        <v>217.33</v>
      </c>
      <c r="AD1696" t="s">
        <v>160</v>
      </c>
      <c r="AE1696" s="24">
        <v>117358.2</v>
      </c>
      <c r="AF1696">
        <v>0</v>
      </c>
      <c r="AG1696" s="24">
        <v>117358.2</v>
      </c>
      <c r="AH1696">
        <v>0</v>
      </c>
      <c r="AI1696">
        <v>0</v>
      </c>
      <c r="AJ1696">
        <v>0</v>
      </c>
      <c r="AK1696">
        <v>0</v>
      </c>
      <c r="AL1696" s="24">
        <v>117358.2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 s="24">
        <v>117358.2</v>
      </c>
      <c r="AV1696">
        <v>0</v>
      </c>
      <c r="AW1696">
        <v>0</v>
      </c>
      <c r="AX1696">
        <v>311000</v>
      </c>
      <c r="AY1696" t="s">
        <v>161</v>
      </c>
      <c r="AZ1696">
        <v>1.19</v>
      </c>
      <c r="BA1696">
        <v>1.19</v>
      </c>
      <c r="BB1696">
        <v>0</v>
      </c>
      <c r="BC1696" t="s">
        <v>181</v>
      </c>
      <c r="BD1696">
        <v>1511</v>
      </c>
      <c r="BE1696" t="s">
        <v>174</v>
      </c>
      <c r="BF1696">
        <v>5094256952</v>
      </c>
      <c r="BG1696" t="s">
        <v>368</v>
      </c>
    </row>
    <row r="1697" spans="1:59">
      <c r="A1697">
        <v>1115</v>
      </c>
      <c r="B1697">
        <v>1115</v>
      </c>
      <c r="C1697">
        <v>10</v>
      </c>
      <c r="D1697">
        <v>2</v>
      </c>
      <c r="E1697" t="s">
        <v>152</v>
      </c>
      <c r="F1697" t="s">
        <v>153</v>
      </c>
      <c r="G1697" t="s">
        <v>154</v>
      </c>
      <c r="H1697">
        <v>1526007248</v>
      </c>
      <c r="I1697">
        <v>1000007534</v>
      </c>
      <c r="L1697" t="s">
        <v>368</v>
      </c>
      <c r="M1697">
        <v>5200000328</v>
      </c>
      <c r="N1697" t="s">
        <v>304</v>
      </c>
      <c r="O1697" t="s">
        <v>305</v>
      </c>
      <c r="P1697">
        <v>4310001699</v>
      </c>
      <c r="Q1697" t="s">
        <v>177</v>
      </c>
      <c r="R1697">
        <v>5000</v>
      </c>
      <c r="S1697" t="s">
        <v>166</v>
      </c>
      <c r="V1697" t="s">
        <v>167</v>
      </c>
      <c r="W1697">
        <v>1502010016</v>
      </c>
      <c r="X1697" t="s">
        <v>69</v>
      </c>
      <c r="Y1697" t="str">
        <f>VLOOKUP(W1697,Sheet4!$A$5:$B$72,2,0)</f>
        <v>LOGISTICS</v>
      </c>
      <c r="Z1697">
        <v>87082900</v>
      </c>
      <c r="AA1697" s="24">
        <v>3600</v>
      </c>
      <c r="AB1697" t="s">
        <v>159</v>
      </c>
      <c r="AC1697">
        <v>8.4600000000000009</v>
      </c>
      <c r="AD1697" t="s">
        <v>160</v>
      </c>
      <c r="AE1697" s="24">
        <v>30456</v>
      </c>
      <c r="AF1697">
        <v>0</v>
      </c>
      <c r="AG1697" s="24">
        <v>30456</v>
      </c>
      <c r="AH1697">
        <v>0</v>
      </c>
      <c r="AI1697">
        <v>0</v>
      </c>
      <c r="AJ1697">
        <v>0</v>
      </c>
      <c r="AK1697">
        <v>0</v>
      </c>
      <c r="AL1697" s="24">
        <v>30456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 s="24">
        <v>30456</v>
      </c>
      <c r="AV1697">
        <v>0</v>
      </c>
      <c r="AW1697">
        <v>0</v>
      </c>
      <c r="AX1697">
        <v>311000</v>
      </c>
      <c r="AY1697" t="s">
        <v>161</v>
      </c>
      <c r="AZ1697">
        <v>0.08</v>
      </c>
      <c r="BA1697">
        <v>6.3E-2</v>
      </c>
      <c r="BB1697">
        <v>1.7000000000000001E-2</v>
      </c>
      <c r="BC1697" t="s">
        <v>191</v>
      </c>
      <c r="BD1697">
        <v>1508</v>
      </c>
      <c r="BE1697" t="s">
        <v>162</v>
      </c>
      <c r="BF1697">
        <v>5094263829</v>
      </c>
      <c r="BG1697" t="s">
        <v>368</v>
      </c>
    </row>
    <row r="1698" spans="1:59">
      <c r="A1698">
        <v>1115</v>
      </c>
      <c r="B1698">
        <v>1115</v>
      </c>
      <c r="C1698">
        <v>10</v>
      </c>
      <c r="D1698">
        <v>2</v>
      </c>
      <c r="E1698" t="s">
        <v>152</v>
      </c>
      <c r="F1698" t="s">
        <v>153</v>
      </c>
      <c r="G1698" t="s">
        <v>154</v>
      </c>
      <c r="H1698">
        <v>1526007247</v>
      </c>
      <c r="I1698">
        <v>1000007533</v>
      </c>
      <c r="L1698" t="s">
        <v>368</v>
      </c>
      <c r="M1698">
        <v>5200000319</v>
      </c>
      <c r="N1698" t="s">
        <v>304</v>
      </c>
      <c r="O1698" t="s">
        <v>305</v>
      </c>
      <c r="P1698">
        <v>4310001698</v>
      </c>
      <c r="Q1698" t="s">
        <v>177</v>
      </c>
      <c r="R1698">
        <v>5000</v>
      </c>
      <c r="S1698" t="s">
        <v>166</v>
      </c>
      <c r="V1698" t="s">
        <v>167</v>
      </c>
      <c r="W1698">
        <v>1502010024</v>
      </c>
      <c r="X1698" t="s">
        <v>384</v>
      </c>
      <c r="Y1698" t="str">
        <f>VLOOKUP(W1698,Sheet4!$A$5:$B$72,2,0)</f>
        <v>ENG BKT</v>
      </c>
      <c r="Z1698">
        <v>87082900</v>
      </c>
      <c r="AA1698">
        <v>400</v>
      </c>
      <c r="AB1698" t="s">
        <v>159</v>
      </c>
      <c r="AC1698">
        <v>143.5</v>
      </c>
      <c r="AD1698" t="s">
        <v>160</v>
      </c>
      <c r="AE1698" s="24">
        <v>57400</v>
      </c>
      <c r="AF1698">
        <v>0</v>
      </c>
      <c r="AG1698" s="24">
        <v>57400</v>
      </c>
      <c r="AH1698">
        <v>0</v>
      </c>
      <c r="AI1698">
        <v>0</v>
      </c>
      <c r="AJ1698">
        <v>0</v>
      </c>
      <c r="AK1698">
        <v>0</v>
      </c>
      <c r="AL1698" s="24">
        <v>57400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 s="24">
        <v>57400</v>
      </c>
      <c r="AV1698">
        <v>0</v>
      </c>
      <c r="AW1698">
        <v>0</v>
      </c>
      <c r="AX1698">
        <v>311000</v>
      </c>
      <c r="AY1698" t="s">
        <v>161</v>
      </c>
      <c r="AZ1698">
        <v>1.38</v>
      </c>
      <c r="BA1698">
        <v>1.38</v>
      </c>
      <c r="BB1698">
        <v>0</v>
      </c>
      <c r="BC1698" t="s">
        <v>385</v>
      </c>
      <c r="BD1698">
        <v>1508</v>
      </c>
      <c r="BE1698" t="s">
        <v>162</v>
      </c>
      <c r="BF1698">
        <v>5094262762</v>
      </c>
      <c r="BG1698" t="s">
        <v>368</v>
      </c>
    </row>
    <row r="1699" spans="1:59">
      <c r="A1699">
        <v>1115</v>
      </c>
      <c r="B1699">
        <v>1115</v>
      </c>
      <c r="C1699">
        <v>10</v>
      </c>
      <c r="D1699">
        <v>2</v>
      </c>
      <c r="E1699" t="s">
        <v>152</v>
      </c>
      <c r="F1699" t="s">
        <v>153</v>
      </c>
      <c r="G1699" t="s">
        <v>154</v>
      </c>
      <c r="H1699">
        <v>1526007246</v>
      </c>
      <c r="I1699">
        <v>1000007531</v>
      </c>
      <c r="L1699" t="s">
        <v>368</v>
      </c>
      <c r="M1699">
        <v>5100001588</v>
      </c>
      <c r="N1699" t="s">
        <v>155</v>
      </c>
      <c r="O1699" t="s">
        <v>156</v>
      </c>
      <c r="P1699">
        <v>4110025058</v>
      </c>
      <c r="Q1699" t="s">
        <v>180</v>
      </c>
      <c r="R1699">
        <v>5000</v>
      </c>
      <c r="S1699" t="s">
        <v>166</v>
      </c>
      <c r="V1699" t="s">
        <v>167</v>
      </c>
      <c r="W1699">
        <v>1502040235</v>
      </c>
      <c r="X1699" t="s">
        <v>47</v>
      </c>
      <c r="Y1699" t="str">
        <f>VLOOKUP(W1699,Sheet4!$A$5:$B$72,2,0)</f>
        <v>STARTING HANDLE</v>
      </c>
      <c r="Z1699">
        <v>87082900</v>
      </c>
      <c r="AA1699">
        <v>540</v>
      </c>
      <c r="AB1699" t="s">
        <v>159</v>
      </c>
      <c r="AC1699">
        <v>217.33</v>
      </c>
      <c r="AD1699" t="s">
        <v>160</v>
      </c>
      <c r="AE1699" s="24">
        <v>117358.2</v>
      </c>
      <c r="AF1699">
        <v>0</v>
      </c>
      <c r="AG1699" s="24">
        <v>117358.2</v>
      </c>
      <c r="AH1699">
        <v>0</v>
      </c>
      <c r="AI1699">
        <v>0</v>
      </c>
      <c r="AJ1699">
        <v>0</v>
      </c>
      <c r="AK1699">
        <v>0</v>
      </c>
      <c r="AL1699" s="24">
        <v>117358.2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 s="24">
        <v>117358.2</v>
      </c>
      <c r="AV1699">
        <v>0</v>
      </c>
      <c r="AW1699">
        <v>0</v>
      </c>
      <c r="AX1699">
        <v>311000</v>
      </c>
      <c r="AY1699" t="s">
        <v>161</v>
      </c>
      <c r="AZ1699">
        <v>1.19</v>
      </c>
      <c r="BA1699">
        <v>1.19</v>
      </c>
      <c r="BB1699">
        <v>0</v>
      </c>
      <c r="BC1699" t="s">
        <v>181</v>
      </c>
      <c r="BD1699">
        <v>1511</v>
      </c>
      <c r="BE1699" t="s">
        <v>174</v>
      </c>
      <c r="BF1699">
        <v>5094263347</v>
      </c>
      <c r="BG1699" t="s">
        <v>368</v>
      </c>
    </row>
    <row r="1700" spans="1:59">
      <c r="A1700">
        <v>1115</v>
      </c>
      <c r="B1700">
        <v>1115</v>
      </c>
      <c r="C1700">
        <v>10</v>
      </c>
      <c r="D1700">
        <v>2</v>
      </c>
      <c r="E1700" t="s">
        <v>152</v>
      </c>
      <c r="F1700" t="s">
        <v>153</v>
      </c>
      <c r="G1700" t="s">
        <v>154</v>
      </c>
      <c r="H1700">
        <v>1526007245</v>
      </c>
      <c r="I1700">
        <v>1000007530</v>
      </c>
      <c r="L1700" t="s">
        <v>368</v>
      </c>
      <c r="M1700">
        <v>5100001603</v>
      </c>
      <c r="N1700" t="s">
        <v>155</v>
      </c>
      <c r="O1700" t="s">
        <v>156</v>
      </c>
      <c r="P1700">
        <v>4110025468</v>
      </c>
      <c r="Q1700" t="s">
        <v>165</v>
      </c>
      <c r="R1700">
        <v>5000</v>
      </c>
      <c r="S1700" t="s">
        <v>166</v>
      </c>
      <c r="V1700" t="s">
        <v>167</v>
      </c>
      <c r="W1700">
        <v>1502020102</v>
      </c>
      <c r="X1700" t="s">
        <v>58</v>
      </c>
      <c r="Y1700" t="str">
        <f>VLOOKUP(W1700,Sheet4!$A$5:$B$72,2,0)</f>
        <v>MAXIMA HD</v>
      </c>
      <c r="Z1700">
        <v>87082900</v>
      </c>
      <c r="AA1700">
        <v>2</v>
      </c>
      <c r="AB1700" t="s">
        <v>159</v>
      </c>
      <c r="AC1700" s="24">
        <v>8593.51</v>
      </c>
      <c r="AD1700" t="s">
        <v>160</v>
      </c>
      <c r="AE1700" s="24">
        <v>17187.02</v>
      </c>
      <c r="AF1700">
        <v>0</v>
      </c>
      <c r="AG1700" s="24">
        <v>17187.02</v>
      </c>
      <c r="AH1700">
        <v>0</v>
      </c>
      <c r="AI1700">
        <v>0</v>
      </c>
      <c r="AJ1700">
        <v>0</v>
      </c>
      <c r="AK1700">
        <v>0</v>
      </c>
      <c r="AL1700" s="24">
        <v>17187.02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 s="24">
        <v>17187.02</v>
      </c>
      <c r="AV1700">
        <v>0</v>
      </c>
      <c r="AW1700">
        <v>0</v>
      </c>
      <c r="AX1700">
        <v>311000</v>
      </c>
      <c r="AY1700" t="s">
        <v>161</v>
      </c>
      <c r="AZ1700">
        <v>93.34</v>
      </c>
      <c r="BA1700">
        <v>75.430000000000007</v>
      </c>
      <c r="BB1700">
        <v>17.91</v>
      </c>
      <c r="BC1700" t="s">
        <v>168</v>
      </c>
      <c r="BD1700">
        <v>1509</v>
      </c>
      <c r="BE1700" t="s">
        <v>169</v>
      </c>
      <c r="BF1700">
        <v>5094258016</v>
      </c>
      <c r="BG1700" t="s">
        <v>368</v>
      </c>
    </row>
    <row r="1701" spans="1:59">
      <c r="A1701">
        <v>1115</v>
      </c>
      <c r="B1701">
        <v>1115</v>
      </c>
      <c r="C1701">
        <v>10</v>
      </c>
      <c r="D1701">
        <v>2</v>
      </c>
      <c r="E1701" t="s">
        <v>152</v>
      </c>
      <c r="F1701" t="s">
        <v>153</v>
      </c>
      <c r="G1701" t="s">
        <v>154</v>
      </c>
      <c r="H1701">
        <v>1526007244</v>
      </c>
      <c r="I1701">
        <v>1000007529</v>
      </c>
      <c r="L1701" t="s">
        <v>368</v>
      </c>
      <c r="M1701">
        <v>5100001943</v>
      </c>
      <c r="N1701" t="s">
        <v>155</v>
      </c>
      <c r="O1701" t="s">
        <v>156</v>
      </c>
      <c r="P1701">
        <v>4110061540</v>
      </c>
      <c r="Q1701" t="s">
        <v>349</v>
      </c>
      <c r="R1701">
        <v>5000</v>
      </c>
      <c r="S1701" t="s">
        <v>166</v>
      </c>
      <c r="V1701" t="s">
        <v>167</v>
      </c>
      <c r="W1701">
        <v>1502020117</v>
      </c>
      <c r="X1701" t="s">
        <v>210</v>
      </c>
      <c r="Y1701" t="str">
        <f>VLOOKUP(W1701,Sheet4!$A$5:$B$72,2,0)</f>
        <v>MAXIMA HD</v>
      </c>
      <c r="Z1701">
        <v>87082900</v>
      </c>
      <c r="AA1701">
        <v>6</v>
      </c>
      <c r="AB1701" t="s">
        <v>159</v>
      </c>
      <c r="AC1701" s="24">
        <v>8350.51</v>
      </c>
      <c r="AD1701" t="s">
        <v>160</v>
      </c>
      <c r="AE1701" s="24">
        <v>50103.06</v>
      </c>
      <c r="AF1701">
        <v>0</v>
      </c>
      <c r="AG1701" s="24">
        <v>50103.06</v>
      </c>
      <c r="AH1701">
        <v>0</v>
      </c>
      <c r="AI1701">
        <v>0</v>
      </c>
      <c r="AJ1701">
        <v>0</v>
      </c>
      <c r="AK1701">
        <v>0</v>
      </c>
      <c r="AL1701" s="24">
        <v>50103.06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 s="24">
        <v>50103.06</v>
      </c>
      <c r="AV1701">
        <v>0</v>
      </c>
      <c r="AW1701">
        <v>0</v>
      </c>
      <c r="AX1701">
        <v>311000</v>
      </c>
      <c r="AY1701" t="s">
        <v>161</v>
      </c>
      <c r="AZ1701">
        <v>63</v>
      </c>
      <c r="BA1701">
        <v>63</v>
      </c>
      <c r="BB1701">
        <v>0</v>
      </c>
      <c r="BC1701" t="s">
        <v>350</v>
      </c>
      <c r="BD1701">
        <v>1509</v>
      </c>
      <c r="BE1701" t="s">
        <v>169</v>
      </c>
      <c r="BF1701">
        <v>5094257925</v>
      </c>
      <c r="BG1701" t="s">
        <v>368</v>
      </c>
    </row>
    <row r="1702" spans="1:59">
      <c r="A1702">
        <v>1115</v>
      </c>
      <c r="B1702">
        <v>1115</v>
      </c>
      <c r="C1702">
        <v>10</v>
      </c>
      <c r="D1702">
        <v>2</v>
      </c>
      <c r="E1702" t="s">
        <v>152</v>
      </c>
      <c r="F1702" t="s">
        <v>153</v>
      </c>
      <c r="G1702" t="s">
        <v>154</v>
      </c>
      <c r="H1702">
        <v>1526007243</v>
      </c>
      <c r="I1702">
        <v>1000007528</v>
      </c>
      <c r="L1702" t="s">
        <v>368</v>
      </c>
      <c r="M1702">
        <v>5100001925</v>
      </c>
      <c r="N1702" t="s">
        <v>155</v>
      </c>
      <c r="O1702" t="s">
        <v>156</v>
      </c>
      <c r="P1702">
        <v>4110055667</v>
      </c>
      <c r="Q1702" t="s">
        <v>185</v>
      </c>
      <c r="R1702">
        <v>5000</v>
      </c>
      <c r="S1702" t="s">
        <v>166</v>
      </c>
      <c r="V1702" t="s">
        <v>167</v>
      </c>
      <c r="W1702">
        <v>1502040318</v>
      </c>
      <c r="X1702" t="s">
        <v>72</v>
      </c>
      <c r="Y1702" t="str">
        <f>VLOOKUP(W1702,Sheet4!$A$5:$B$72,2,0)</f>
        <v>Re Side Door</v>
      </c>
      <c r="Z1702">
        <v>87082900</v>
      </c>
      <c r="AA1702">
        <v>120</v>
      </c>
      <c r="AB1702" t="s">
        <v>159</v>
      </c>
      <c r="AC1702">
        <v>506.59</v>
      </c>
      <c r="AD1702" t="s">
        <v>160</v>
      </c>
      <c r="AE1702" s="24">
        <v>60790.8</v>
      </c>
      <c r="AF1702">
        <v>0</v>
      </c>
      <c r="AG1702" s="24">
        <v>60790.8</v>
      </c>
      <c r="AH1702">
        <v>0</v>
      </c>
      <c r="AI1702">
        <v>0</v>
      </c>
      <c r="AJ1702">
        <v>0</v>
      </c>
      <c r="AK1702">
        <v>0</v>
      </c>
      <c r="AL1702" s="24">
        <v>60790.8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 s="24">
        <v>60790.8</v>
      </c>
      <c r="AV1702">
        <v>0</v>
      </c>
      <c r="AW1702">
        <v>0</v>
      </c>
      <c r="AX1702">
        <v>311000</v>
      </c>
      <c r="AY1702" t="s">
        <v>161</v>
      </c>
      <c r="AZ1702">
        <v>2.27</v>
      </c>
      <c r="BA1702">
        <v>2.27</v>
      </c>
      <c r="BB1702">
        <v>0</v>
      </c>
      <c r="BC1702" t="s">
        <v>187</v>
      </c>
      <c r="BD1702">
        <v>1511</v>
      </c>
      <c r="BE1702" t="s">
        <v>174</v>
      </c>
      <c r="BF1702">
        <v>5094268235</v>
      </c>
      <c r="BG1702" t="s">
        <v>368</v>
      </c>
    </row>
    <row r="1703" spans="1:59">
      <c r="A1703">
        <v>1115</v>
      </c>
      <c r="B1703">
        <v>1115</v>
      </c>
      <c r="C1703">
        <v>10</v>
      </c>
      <c r="D1703">
        <v>2</v>
      </c>
      <c r="E1703" t="s">
        <v>152</v>
      </c>
      <c r="F1703" t="s">
        <v>153</v>
      </c>
      <c r="G1703" t="s">
        <v>154</v>
      </c>
      <c r="H1703">
        <v>1526007242</v>
      </c>
      <c r="I1703">
        <v>1000007527</v>
      </c>
      <c r="L1703" t="s">
        <v>368</v>
      </c>
      <c r="M1703">
        <v>5100001925</v>
      </c>
      <c r="N1703" t="s">
        <v>155</v>
      </c>
      <c r="O1703" t="s">
        <v>156</v>
      </c>
      <c r="P1703">
        <v>4110055667</v>
      </c>
      <c r="Q1703" t="s">
        <v>185</v>
      </c>
      <c r="R1703">
        <v>5000</v>
      </c>
      <c r="S1703" t="s">
        <v>166</v>
      </c>
      <c r="V1703" t="s">
        <v>167</v>
      </c>
      <c r="W1703">
        <v>1502040317</v>
      </c>
      <c r="X1703" t="s">
        <v>73</v>
      </c>
      <c r="Y1703" t="str">
        <f>VLOOKUP(W1703,Sheet4!$A$5:$B$72,2,0)</f>
        <v>Re Side Door</v>
      </c>
      <c r="Z1703">
        <v>87082900</v>
      </c>
      <c r="AA1703">
        <v>120</v>
      </c>
      <c r="AB1703" t="s">
        <v>159</v>
      </c>
      <c r="AC1703">
        <v>506.59</v>
      </c>
      <c r="AD1703" t="s">
        <v>160</v>
      </c>
      <c r="AE1703" s="24">
        <v>60790.8</v>
      </c>
      <c r="AF1703">
        <v>0</v>
      </c>
      <c r="AG1703" s="24">
        <v>60790.8</v>
      </c>
      <c r="AH1703">
        <v>0</v>
      </c>
      <c r="AI1703">
        <v>0</v>
      </c>
      <c r="AJ1703">
        <v>0</v>
      </c>
      <c r="AK1703">
        <v>0</v>
      </c>
      <c r="AL1703" s="24">
        <v>60790.8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 s="24">
        <v>60790.8</v>
      </c>
      <c r="AV1703">
        <v>0</v>
      </c>
      <c r="AW1703">
        <v>0</v>
      </c>
      <c r="AX1703">
        <v>311000</v>
      </c>
      <c r="AY1703" t="s">
        <v>161</v>
      </c>
      <c r="AZ1703">
        <v>2.27</v>
      </c>
      <c r="BA1703">
        <v>2.27</v>
      </c>
      <c r="BB1703">
        <v>0</v>
      </c>
      <c r="BC1703" t="s">
        <v>186</v>
      </c>
      <c r="BD1703">
        <v>1511</v>
      </c>
      <c r="BE1703" t="s">
        <v>174</v>
      </c>
      <c r="BF1703">
        <v>5094268241</v>
      </c>
      <c r="BG1703" t="s">
        <v>368</v>
      </c>
    </row>
    <row r="1704" spans="1:59">
      <c r="A1704">
        <v>1115</v>
      </c>
      <c r="B1704">
        <v>1115</v>
      </c>
      <c r="C1704">
        <v>10</v>
      </c>
      <c r="D1704">
        <v>2</v>
      </c>
      <c r="E1704" t="s">
        <v>152</v>
      </c>
      <c r="F1704" t="s">
        <v>153</v>
      </c>
      <c r="G1704" t="s">
        <v>154</v>
      </c>
      <c r="H1704">
        <v>1526007240</v>
      </c>
      <c r="I1704">
        <v>1000007526</v>
      </c>
      <c r="L1704" t="s">
        <v>368</v>
      </c>
      <c r="M1704">
        <v>5100001636</v>
      </c>
      <c r="N1704" t="s">
        <v>155</v>
      </c>
      <c r="O1704" t="s">
        <v>156</v>
      </c>
      <c r="P1704">
        <v>4110026445</v>
      </c>
      <c r="Q1704" t="s">
        <v>170</v>
      </c>
      <c r="R1704">
        <v>5000</v>
      </c>
      <c r="S1704" t="s">
        <v>166</v>
      </c>
      <c r="V1704" t="s">
        <v>167</v>
      </c>
      <c r="W1704">
        <v>1502020104</v>
      </c>
      <c r="X1704" t="s">
        <v>26</v>
      </c>
      <c r="Y1704" t="str">
        <f>VLOOKUP(W1704,Sheet4!$A$5:$B$72,2,0)</f>
        <v>RE STYLING</v>
      </c>
      <c r="Z1704">
        <v>87082900</v>
      </c>
      <c r="AA1704">
        <v>15</v>
      </c>
      <c r="AB1704" t="s">
        <v>159</v>
      </c>
      <c r="AC1704" s="24">
        <v>6585.55</v>
      </c>
      <c r="AD1704" t="s">
        <v>160</v>
      </c>
      <c r="AE1704" s="24">
        <v>98783.25</v>
      </c>
      <c r="AF1704">
        <v>0</v>
      </c>
      <c r="AG1704" s="24">
        <v>98783.25</v>
      </c>
      <c r="AH1704">
        <v>0</v>
      </c>
      <c r="AI1704">
        <v>0</v>
      </c>
      <c r="AJ1704">
        <v>0</v>
      </c>
      <c r="AK1704">
        <v>0</v>
      </c>
      <c r="AL1704" s="24">
        <v>98783.25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 s="24">
        <v>98783.25</v>
      </c>
      <c r="AV1704">
        <v>0</v>
      </c>
      <c r="AW1704">
        <v>0</v>
      </c>
      <c r="AX1704">
        <v>311000</v>
      </c>
      <c r="AY1704" t="s">
        <v>161</v>
      </c>
      <c r="AZ1704">
        <v>49.75</v>
      </c>
      <c r="BA1704">
        <v>49.75</v>
      </c>
      <c r="BB1704">
        <v>0</v>
      </c>
      <c r="BC1704" t="s">
        <v>171</v>
      </c>
      <c r="BD1704">
        <v>1509</v>
      </c>
      <c r="BE1704" t="s">
        <v>169</v>
      </c>
      <c r="BF1704">
        <v>5094267426</v>
      </c>
      <c r="BG1704" t="s">
        <v>368</v>
      </c>
    </row>
    <row r="1705" spans="1:59">
      <c r="A1705">
        <v>1115</v>
      </c>
      <c r="B1705">
        <v>1115</v>
      </c>
      <c r="C1705">
        <v>10</v>
      </c>
      <c r="D1705">
        <v>2</v>
      </c>
      <c r="E1705" t="s">
        <v>152</v>
      </c>
      <c r="F1705" t="s">
        <v>153</v>
      </c>
      <c r="G1705" t="s">
        <v>154</v>
      </c>
      <c r="H1705">
        <v>1526007239</v>
      </c>
      <c r="I1705">
        <v>1000007525</v>
      </c>
      <c r="L1705" t="s">
        <v>368</v>
      </c>
      <c r="M1705">
        <v>5100001636</v>
      </c>
      <c r="N1705" t="s">
        <v>155</v>
      </c>
      <c r="O1705" t="s">
        <v>156</v>
      </c>
      <c r="P1705">
        <v>4110026445</v>
      </c>
      <c r="Q1705" t="s">
        <v>170</v>
      </c>
      <c r="R1705">
        <v>5000</v>
      </c>
      <c r="S1705" t="s">
        <v>166</v>
      </c>
      <c r="V1705" t="s">
        <v>167</v>
      </c>
      <c r="W1705">
        <v>1502020104</v>
      </c>
      <c r="X1705" t="s">
        <v>26</v>
      </c>
      <c r="Y1705" t="str">
        <f>VLOOKUP(W1705,Sheet4!$A$5:$B$72,2,0)</f>
        <v>RE STYLING</v>
      </c>
      <c r="Z1705">
        <v>87082900</v>
      </c>
      <c r="AA1705">
        <v>15</v>
      </c>
      <c r="AB1705" t="s">
        <v>159</v>
      </c>
      <c r="AC1705" s="24">
        <v>6585.55</v>
      </c>
      <c r="AD1705" t="s">
        <v>160</v>
      </c>
      <c r="AE1705" s="24">
        <v>98783.25</v>
      </c>
      <c r="AF1705">
        <v>0</v>
      </c>
      <c r="AG1705" s="24">
        <v>98783.25</v>
      </c>
      <c r="AH1705">
        <v>0</v>
      </c>
      <c r="AI1705">
        <v>0</v>
      </c>
      <c r="AJ1705">
        <v>0</v>
      </c>
      <c r="AK1705">
        <v>0</v>
      </c>
      <c r="AL1705" s="24">
        <v>98783.25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 s="24">
        <v>98783.25</v>
      </c>
      <c r="AV1705">
        <v>0</v>
      </c>
      <c r="AW1705">
        <v>0</v>
      </c>
      <c r="AX1705">
        <v>311000</v>
      </c>
      <c r="AY1705" t="s">
        <v>161</v>
      </c>
      <c r="AZ1705">
        <v>49.75</v>
      </c>
      <c r="BA1705">
        <v>49.75</v>
      </c>
      <c r="BB1705">
        <v>0</v>
      </c>
      <c r="BC1705" t="s">
        <v>171</v>
      </c>
      <c r="BD1705">
        <v>1509</v>
      </c>
      <c r="BE1705" t="s">
        <v>169</v>
      </c>
      <c r="BF1705">
        <v>5094267428</v>
      </c>
      <c r="BG1705" t="s">
        <v>368</v>
      </c>
    </row>
    <row r="1706" spans="1:59">
      <c r="A1706">
        <v>1115</v>
      </c>
      <c r="B1706">
        <v>1115</v>
      </c>
      <c r="C1706">
        <v>10</v>
      </c>
      <c r="D1706">
        <v>2</v>
      </c>
      <c r="E1706" t="s">
        <v>152</v>
      </c>
      <c r="F1706" t="s">
        <v>153</v>
      </c>
      <c r="G1706" t="s">
        <v>154</v>
      </c>
      <c r="H1706">
        <v>1526007238</v>
      </c>
      <c r="I1706">
        <v>1000007524</v>
      </c>
      <c r="L1706" t="s">
        <v>368</v>
      </c>
      <c r="M1706">
        <v>5100001949</v>
      </c>
      <c r="N1706" t="s">
        <v>155</v>
      </c>
      <c r="O1706" t="s">
        <v>156</v>
      </c>
      <c r="P1706">
        <v>4110063766</v>
      </c>
      <c r="Q1706" t="s">
        <v>252</v>
      </c>
      <c r="R1706">
        <v>5000</v>
      </c>
      <c r="S1706" t="s">
        <v>166</v>
      </c>
      <c r="V1706" t="s">
        <v>167</v>
      </c>
      <c r="W1706">
        <v>1502040322</v>
      </c>
      <c r="X1706" t="s">
        <v>250</v>
      </c>
      <c r="Y1706" t="str">
        <f>VLOOKUP(W1706,Sheet4!$A$5:$B$72,2,0)</f>
        <v>DASH BOARD</v>
      </c>
      <c r="Z1706">
        <v>87082900</v>
      </c>
      <c r="AA1706">
        <v>60</v>
      </c>
      <c r="AB1706" t="s">
        <v>159</v>
      </c>
      <c r="AC1706">
        <v>291.27999999999997</v>
      </c>
      <c r="AD1706" t="s">
        <v>160</v>
      </c>
      <c r="AE1706" s="24">
        <v>17476.8</v>
      </c>
      <c r="AF1706">
        <v>0</v>
      </c>
      <c r="AG1706" s="24">
        <v>17476.8</v>
      </c>
      <c r="AH1706">
        <v>0</v>
      </c>
      <c r="AI1706">
        <v>0</v>
      </c>
      <c r="AJ1706">
        <v>0</v>
      </c>
      <c r="AK1706">
        <v>0</v>
      </c>
      <c r="AL1706" s="24">
        <v>17476.8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 s="24">
        <v>17476.8</v>
      </c>
      <c r="AV1706">
        <v>0</v>
      </c>
      <c r="AW1706">
        <v>0</v>
      </c>
      <c r="AX1706">
        <v>311000</v>
      </c>
      <c r="AY1706" t="s">
        <v>161</v>
      </c>
      <c r="AZ1706">
        <v>2.37</v>
      </c>
      <c r="BA1706">
        <v>2.37</v>
      </c>
      <c r="BB1706">
        <v>0</v>
      </c>
      <c r="BC1706" t="s">
        <v>251</v>
      </c>
      <c r="BD1706">
        <v>1511</v>
      </c>
      <c r="BE1706" t="s">
        <v>174</v>
      </c>
      <c r="BF1706">
        <v>5094266413</v>
      </c>
      <c r="BG1706" t="s">
        <v>368</v>
      </c>
    </row>
    <row r="1707" spans="1:59">
      <c r="A1707">
        <v>1115</v>
      </c>
      <c r="B1707">
        <v>1115</v>
      </c>
      <c r="C1707">
        <v>10</v>
      </c>
      <c r="D1707">
        <v>2</v>
      </c>
      <c r="E1707" t="s">
        <v>152</v>
      </c>
      <c r="F1707" t="s">
        <v>153</v>
      </c>
      <c r="G1707" t="s">
        <v>154</v>
      </c>
      <c r="H1707">
        <v>1526007237</v>
      </c>
      <c r="I1707">
        <v>1000007523</v>
      </c>
      <c r="L1707" t="s">
        <v>368</v>
      </c>
      <c r="M1707">
        <v>5100001899</v>
      </c>
      <c r="N1707" t="s">
        <v>155</v>
      </c>
      <c r="O1707" t="s">
        <v>156</v>
      </c>
      <c r="P1707">
        <v>4110041854</v>
      </c>
      <c r="Q1707" t="s">
        <v>172</v>
      </c>
      <c r="R1707">
        <v>5000</v>
      </c>
      <c r="S1707" t="s">
        <v>166</v>
      </c>
      <c r="V1707" t="s">
        <v>167</v>
      </c>
      <c r="W1707">
        <v>1502040267</v>
      </c>
      <c r="X1707" t="s">
        <v>63</v>
      </c>
      <c r="Y1707" t="str">
        <f>VLOOKUP(W1707,Sheet4!$A$5:$B$72,2,0)</f>
        <v>DASH BOARD</v>
      </c>
      <c r="Z1707">
        <v>87082900</v>
      </c>
      <c r="AA1707">
        <v>448</v>
      </c>
      <c r="AB1707" t="s">
        <v>159</v>
      </c>
      <c r="AC1707">
        <v>290.89999999999998</v>
      </c>
      <c r="AD1707" t="s">
        <v>160</v>
      </c>
      <c r="AE1707" s="24">
        <v>130323.2</v>
      </c>
      <c r="AF1707">
        <v>0</v>
      </c>
      <c r="AG1707" s="24">
        <v>130323.2</v>
      </c>
      <c r="AH1707">
        <v>0</v>
      </c>
      <c r="AI1707">
        <v>0</v>
      </c>
      <c r="AJ1707">
        <v>0</v>
      </c>
      <c r="AK1707">
        <v>0</v>
      </c>
      <c r="AL1707" s="24">
        <v>130323.2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 s="24">
        <v>130323.2</v>
      </c>
      <c r="AV1707">
        <v>0</v>
      </c>
      <c r="AW1707">
        <v>0</v>
      </c>
      <c r="AX1707">
        <v>311000</v>
      </c>
      <c r="AY1707" t="s">
        <v>161</v>
      </c>
      <c r="AZ1707">
        <v>4.5</v>
      </c>
      <c r="BA1707">
        <v>4.5</v>
      </c>
      <c r="BB1707">
        <v>0</v>
      </c>
      <c r="BC1707" t="s">
        <v>173</v>
      </c>
      <c r="BD1707">
        <v>1511</v>
      </c>
      <c r="BE1707" t="s">
        <v>174</v>
      </c>
      <c r="BF1707">
        <v>5094266411</v>
      </c>
      <c r="BG1707" t="s">
        <v>368</v>
      </c>
    </row>
    <row r="1708" spans="1:59">
      <c r="A1708">
        <v>1115</v>
      </c>
      <c r="B1708">
        <v>1115</v>
      </c>
      <c r="C1708">
        <v>10</v>
      </c>
      <c r="D1708">
        <v>2</v>
      </c>
      <c r="E1708" t="s">
        <v>152</v>
      </c>
      <c r="F1708" t="s">
        <v>153</v>
      </c>
      <c r="G1708" t="s">
        <v>154</v>
      </c>
      <c r="H1708">
        <v>1526007236</v>
      </c>
      <c r="I1708">
        <v>1000007522</v>
      </c>
      <c r="L1708" t="s">
        <v>368</v>
      </c>
      <c r="M1708">
        <v>5100001099</v>
      </c>
      <c r="N1708" t="s">
        <v>155</v>
      </c>
      <c r="O1708" t="s">
        <v>156</v>
      </c>
      <c r="P1708">
        <v>4110004650</v>
      </c>
      <c r="Q1708" t="s">
        <v>177</v>
      </c>
      <c r="R1708">
        <v>5000</v>
      </c>
      <c r="S1708" t="s">
        <v>166</v>
      </c>
      <c r="V1708" t="s">
        <v>167</v>
      </c>
      <c r="W1708">
        <v>1502040133</v>
      </c>
      <c r="X1708" t="s">
        <v>228</v>
      </c>
      <c r="Y1708" t="str">
        <f>VLOOKUP(W1708,Sheet4!$A$5:$B$72,2,0)</f>
        <v>REAR COVER</v>
      </c>
      <c r="Z1708">
        <v>87082900</v>
      </c>
      <c r="AA1708">
        <v>55</v>
      </c>
      <c r="AB1708" t="s">
        <v>159</v>
      </c>
      <c r="AC1708">
        <v>164.49</v>
      </c>
      <c r="AD1708" t="s">
        <v>160</v>
      </c>
      <c r="AE1708" s="24">
        <v>9046.9500000000007</v>
      </c>
      <c r="AF1708">
        <v>0</v>
      </c>
      <c r="AG1708" s="24">
        <v>9046.9500000000007</v>
      </c>
      <c r="AH1708">
        <v>0</v>
      </c>
      <c r="AI1708">
        <v>0</v>
      </c>
      <c r="AJ1708">
        <v>0</v>
      </c>
      <c r="AK1708">
        <v>0</v>
      </c>
      <c r="AL1708" s="24">
        <v>9046.9500000000007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 s="24">
        <v>9046.9500000000007</v>
      </c>
      <c r="AV1708">
        <v>0</v>
      </c>
      <c r="AW1708">
        <v>0</v>
      </c>
      <c r="AX1708">
        <v>311000</v>
      </c>
      <c r="AY1708" t="s">
        <v>161</v>
      </c>
      <c r="AZ1708">
        <v>1.248</v>
      </c>
      <c r="BA1708">
        <v>1.248</v>
      </c>
      <c r="BB1708">
        <v>0</v>
      </c>
      <c r="BC1708" t="s">
        <v>229</v>
      </c>
      <c r="BD1708">
        <v>1511</v>
      </c>
      <c r="BE1708" t="s">
        <v>174</v>
      </c>
      <c r="BF1708">
        <v>5094257678</v>
      </c>
      <c r="BG1708" t="s">
        <v>368</v>
      </c>
    </row>
    <row r="1709" spans="1:59">
      <c r="A1709">
        <v>1115</v>
      </c>
      <c r="B1709">
        <v>1115</v>
      </c>
      <c r="C1709">
        <v>10</v>
      </c>
      <c r="D1709">
        <v>2</v>
      </c>
      <c r="E1709" t="s">
        <v>152</v>
      </c>
      <c r="F1709" t="s">
        <v>153</v>
      </c>
      <c r="G1709" t="s">
        <v>154</v>
      </c>
      <c r="H1709">
        <v>1526007234</v>
      </c>
      <c r="I1709">
        <v>1000007521</v>
      </c>
      <c r="L1709" t="s">
        <v>368</v>
      </c>
      <c r="M1709">
        <v>5100001099</v>
      </c>
      <c r="N1709" t="s">
        <v>155</v>
      </c>
      <c r="O1709" t="s">
        <v>156</v>
      </c>
      <c r="P1709">
        <v>4110004650</v>
      </c>
      <c r="Q1709" t="s">
        <v>177</v>
      </c>
      <c r="R1709">
        <v>5000</v>
      </c>
      <c r="S1709" t="s">
        <v>166</v>
      </c>
      <c r="V1709" t="s">
        <v>167</v>
      </c>
      <c r="W1709">
        <v>1502040132</v>
      </c>
      <c r="X1709" t="s">
        <v>230</v>
      </c>
      <c r="Y1709" t="str">
        <f>VLOOKUP(W1709,Sheet4!$A$5:$B$72,2,0)</f>
        <v>REAR COVER</v>
      </c>
      <c r="Z1709">
        <v>87082900</v>
      </c>
      <c r="AA1709">
        <v>55</v>
      </c>
      <c r="AB1709" t="s">
        <v>159</v>
      </c>
      <c r="AC1709">
        <v>159.41</v>
      </c>
      <c r="AD1709" t="s">
        <v>160</v>
      </c>
      <c r="AE1709" s="24">
        <v>8767.5499999999993</v>
      </c>
      <c r="AF1709">
        <v>0</v>
      </c>
      <c r="AG1709" s="24">
        <v>8767.5499999999993</v>
      </c>
      <c r="AH1709">
        <v>0</v>
      </c>
      <c r="AI1709">
        <v>0</v>
      </c>
      <c r="AJ1709">
        <v>0</v>
      </c>
      <c r="AK1709">
        <v>0</v>
      </c>
      <c r="AL1709" s="24">
        <v>8767.5499999999993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 s="24">
        <v>8767.5499999999993</v>
      </c>
      <c r="AV1709">
        <v>0</v>
      </c>
      <c r="AW1709">
        <v>0</v>
      </c>
      <c r="AX1709">
        <v>311000</v>
      </c>
      <c r="AY1709" t="s">
        <v>161</v>
      </c>
      <c r="AZ1709">
        <v>1.1659999999999999</v>
      </c>
      <c r="BA1709">
        <v>1.1659999999999999</v>
      </c>
      <c r="BB1709">
        <v>0</v>
      </c>
      <c r="BC1709" t="s">
        <v>231</v>
      </c>
      <c r="BD1709">
        <v>1511</v>
      </c>
      <c r="BE1709" t="s">
        <v>174</v>
      </c>
      <c r="BF1709">
        <v>5094257677</v>
      </c>
      <c r="BG1709" t="s">
        <v>368</v>
      </c>
    </row>
    <row r="1710" spans="1:59">
      <c r="A1710">
        <v>1115</v>
      </c>
      <c r="B1710">
        <v>1115</v>
      </c>
      <c r="C1710">
        <v>10</v>
      </c>
      <c r="D1710">
        <v>2</v>
      </c>
      <c r="E1710" t="s">
        <v>152</v>
      </c>
      <c r="F1710" t="s">
        <v>153</v>
      </c>
      <c r="G1710" t="s">
        <v>154</v>
      </c>
      <c r="H1710">
        <v>1526007230</v>
      </c>
      <c r="I1710">
        <v>1000007518</v>
      </c>
      <c r="L1710" t="s">
        <v>368</v>
      </c>
      <c r="M1710">
        <v>5100001636</v>
      </c>
      <c r="N1710" t="s">
        <v>155</v>
      </c>
      <c r="O1710" t="s">
        <v>156</v>
      </c>
      <c r="P1710">
        <v>4110026445</v>
      </c>
      <c r="Q1710" t="s">
        <v>170</v>
      </c>
      <c r="R1710">
        <v>5000</v>
      </c>
      <c r="S1710" t="s">
        <v>166</v>
      </c>
      <c r="V1710" t="s">
        <v>167</v>
      </c>
      <c r="W1710">
        <v>1502020104</v>
      </c>
      <c r="X1710" t="s">
        <v>26</v>
      </c>
      <c r="Y1710" t="str">
        <f>VLOOKUP(W1710,Sheet4!$A$5:$B$72,2,0)</f>
        <v>RE STYLING</v>
      </c>
      <c r="Z1710">
        <v>87082900</v>
      </c>
      <c r="AA1710">
        <v>15</v>
      </c>
      <c r="AB1710" t="s">
        <v>159</v>
      </c>
      <c r="AC1710" s="24">
        <v>6585.55</v>
      </c>
      <c r="AD1710" t="s">
        <v>160</v>
      </c>
      <c r="AE1710" s="24">
        <v>98783.25</v>
      </c>
      <c r="AF1710">
        <v>0</v>
      </c>
      <c r="AG1710" s="24">
        <v>98783.25</v>
      </c>
      <c r="AH1710">
        <v>0</v>
      </c>
      <c r="AI1710">
        <v>0</v>
      </c>
      <c r="AJ1710">
        <v>0</v>
      </c>
      <c r="AK1710">
        <v>0</v>
      </c>
      <c r="AL1710" s="24">
        <v>98783.25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 s="24">
        <v>98783.25</v>
      </c>
      <c r="AV1710">
        <v>0</v>
      </c>
      <c r="AW1710">
        <v>0</v>
      </c>
      <c r="AX1710">
        <v>311000</v>
      </c>
      <c r="AY1710" t="s">
        <v>161</v>
      </c>
      <c r="AZ1710">
        <v>49.75</v>
      </c>
      <c r="BA1710">
        <v>49.75</v>
      </c>
      <c r="BB1710">
        <v>0</v>
      </c>
      <c r="BC1710" t="s">
        <v>171</v>
      </c>
      <c r="BD1710">
        <v>1509</v>
      </c>
      <c r="BE1710" t="s">
        <v>169</v>
      </c>
      <c r="BF1710">
        <v>5094267520</v>
      </c>
      <c r="BG1710" t="s">
        <v>368</v>
      </c>
    </row>
    <row r="1711" spans="1:59">
      <c r="A1711">
        <v>1115</v>
      </c>
      <c r="B1711">
        <v>1115</v>
      </c>
      <c r="C1711">
        <v>10</v>
      </c>
      <c r="D1711">
        <v>2</v>
      </c>
      <c r="E1711" t="s">
        <v>152</v>
      </c>
      <c r="F1711" t="s">
        <v>153</v>
      </c>
      <c r="G1711" t="s">
        <v>154</v>
      </c>
      <c r="H1711">
        <v>1526007229</v>
      </c>
      <c r="I1711">
        <v>1000007517</v>
      </c>
      <c r="L1711" t="s">
        <v>368</v>
      </c>
      <c r="M1711">
        <v>5100001636</v>
      </c>
      <c r="N1711" t="s">
        <v>155</v>
      </c>
      <c r="O1711" t="s">
        <v>156</v>
      </c>
      <c r="P1711">
        <v>4110026445</v>
      </c>
      <c r="Q1711" t="s">
        <v>170</v>
      </c>
      <c r="R1711">
        <v>5000</v>
      </c>
      <c r="S1711" t="s">
        <v>166</v>
      </c>
      <c r="V1711" t="s">
        <v>167</v>
      </c>
      <c r="W1711">
        <v>1502020104</v>
      </c>
      <c r="X1711" t="s">
        <v>26</v>
      </c>
      <c r="Y1711" t="str">
        <f>VLOOKUP(W1711,Sheet4!$A$5:$B$72,2,0)</f>
        <v>RE STYLING</v>
      </c>
      <c r="Z1711">
        <v>87082900</v>
      </c>
      <c r="AA1711">
        <v>15</v>
      </c>
      <c r="AB1711" t="s">
        <v>159</v>
      </c>
      <c r="AC1711" s="24">
        <v>6585.55</v>
      </c>
      <c r="AD1711" t="s">
        <v>160</v>
      </c>
      <c r="AE1711" s="24">
        <v>98783.25</v>
      </c>
      <c r="AF1711">
        <v>0</v>
      </c>
      <c r="AG1711" s="24">
        <v>98783.25</v>
      </c>
      <c r="AH1711">
        <v>0</v>
      </c>
      <c r="AI1711">
        <v>0</v>
      </c>
      <c r="AJ1711">
        <v>0</v>
      </c>
      <c r="AK1711">
        <v>0</v>
      </c>
      <c r="AL1711" s="24">
        <v>98783.25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 s="24">
        <v>98783.25</v>
      </c>
      <c r="AV1711">
        <v>0</v>
      </c>
      <c r="AW1711">
        <v>0</v>
      </c>
      <c r="AX1711">
        <v>311000</v>
      </c>
      <c r="AY1711" t="s">
        <v>161</v>
      </c>
      <c r="AZ1711">
        <v>49.75</v>
      </c>
      <c r="BA1711">
        <v>49.75</v>
      </c>
      <c r="BB1711">
        <v>0</v>
      </c>
      <c r="BC1711" t="s">
        <v>171</v>
      </c>
      <c r="BD1711">
        <v>1509</v>
      </c>
      <c r="BE1711" t="s">
        <v>169</v>
      </c>
      <c r="BF1711">
        <v>5094267368</v>
      </c>
      <c r="BG1711" t="s">
        <v>368</v>
      </c>
    </row>
    <row r="1712" spans="1:59">
      <c r="A1712">
        <v>1115</v>
      </c>
      <c r="B1712">
        <v>1115</v>
      </c>
      <c r="C1712">
        <v>10</v>
      </c>
      <c r="D1712">
        <v>2</v>
      </c>
      <c r="E1712" t="s">
        <v>152</v>
      </c>
      <c r="F1712" t="s">
        <v>153</v>
      </c>
      <c r="G1712" t="s">
        <v>154</v>
      </c>
      <c r="H1712">
        <v>1526007228</v>
      </c>
      <c r="I1712">
        <v>1000007516</v>
      </c>
      <c r="L1712" t="s">
        <v>368</v>
      </c>
      <c r="M1712">
        <v>5100001636</v>
      </c>
      <c r="N1712" t="s">
        <v>155</v>
      </c>
      <c r="O1712" t="s">
        <v>156</v>
      </c>
      <c r="P1712">
        <v>4110026445</v>
      </c>
      <c r="Q1712" t="s">
        <v>170</v>
      </c>
      <c r="R1712">
        <v>5000</v>
      </c>
      <c r="S1712" t="s">
        <v>166</v>
      </c>
      <c r="V1712" t="s">
        <v>167</v>
      </c>
      <c r="W1712">
        <v>1502020104</v>
      </c>
      <c r="X1712" t="s">
        <v>26</v>
      </c>
      <c r="Y1712" t="str">
        <f>VLOOKUP(W1712,Sheet4!$A$5:$B$72,2,0)</f>
        <v>RE STYLING</v>
      </c>
      <c r="Z1712">
        <v>87082900</v>
      </c>
      <c r="AA1712">
        <v>15</v>
      </c>
      <c r="AB1712" t="s">
        <v>159</v>
      </c>
      <c r="AC1712" s="24">
        <v>6585.55</v>
      </c>
      <c r="AD1712" t="s">
        <v>160</v>
      </c>
      <c r="AE1712" s="24">
        <v>98783.25</v>
      </c>
      <c r="AF1712">
        <v>0</v>
      </c>
      <c r="AG1712" s="24">
        <v>98783.25</v>
      </c>
      <c r="AH1712">
        <v>0</v>
      </c>
      <c r="AI1712">
        <v>0</v>
      </c>
      <c r="AJ1712">
        <v>0</v>
      </c>
      <c r="AK1712">
        <v>0</v>
      </c>
      <c r="AL1712" s="24">
        <v>98783.25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 s="24">
        <v>98783.25</v>
      </c>
      <c r="AV1712">
        <v>0</v>
      </c>
      <c r="AW1712">
        <v>0</v>
      </c>
      <c r="AX1712">
        <v>311000</v>
      </c>
      <c r="AY1712" t="s">
        <v>161</v>
      </c>
      <c r="AZ1712">
        <v>49.75</v>
      </c>
      <c r="BA1712">
        <v>49.75</v>
      </c>
      <c r="BB1712">
        <v>0</v>
      </c>
      <c r="BC1712" t="s">
        <v>171</v>
      </c>
      <c r="BD1712">
        <v>1509</v>
      </c>
      <c r="BE1712" t="s">
        <v>169</v>
      </c>
      <c r="BF1712">
        <v>5094268226</v>
      </c>
      <c r="BG1712" t="s">
        <v>368</v>
      </c>
    </row>
    <row r="1713" spans="1:59">
      <c r="A1713">
        <v>1115</v>
      </c>
      <c r="B1713">
        <v>1115</v>
      </c>
      <c r="C1713">
        <v>10</v>
      </c>
      <c r="D1713">
        <v>2</v>
      </c>
      <c r="E1713" t="s">
        <v>152</v>
      </c>
      <c r="F1713" t="s">
        <v>153</v>
      </c>
      <c r="G1713" t="s">
        <v>154</v>
      </c>
      <c r="H1713">
        <v>1526007227</v>
      </c>
      <c r="I1713">
        <v>1000007515</v>
      </c>
      <c r="L1713" t="s">
        <v>368</v>
      </c>
      <c r="M1713">
        <v>5100001928</v>
      </c>
      <c r="N1713" t="s">
        <v>155</v>
      </c>
      <c r="O1713" t="s">
        <v>156</v>
      </c>
      <c r="P1713">
        <v>4110057393</v>
      </c>
      <c r="Q1713" t="s">
        <v>192</v>
      </c>
      <c r="R1713">
        <v>5000</v>
      </c>
      <c r="S1713" t="s">
        <v>166</v>
      </c>
      <c r="V1713" t="s">
        <v>167</v>
      </c>
      <c r="W1713">
        <v>1502020122</v>
      </c>
      <c r="X1713" t="s">
        <v>70</v>
      </c>
      <c r="Y1713" t="str">
        <f>VLOOKUP(W1713,Sheet4!$A$5:$B$72,2,0)</f>
        <v>MAX UG NEW EV</v>
      </c>
      <c r="Z1713">
        <v>87082900</v>
      </c>
      <c r="AA1713">
        <v>10</v>
      </c>
      <c r="AB1713" t="s">
        <v>159</v>
      </c>
      <c r="AC1713" s="24">
        <v>9566.51</v>
      </c>
      <c r="AD1713" t="s">
        <v>160</v>
      </c>
      <c r="AE1713" s="24">
        <v>95665.1</v>
      </c>
      <c r="AF1713">
        <v>0</v>
      </c>
      <c r="AG1713" s="24">
        <v>95665.1</v>
      </c>
      <c r="AH1713">
        <v>0</v>
      </c>
      <c r="AI1713">
        <v>0</v>
      </c>
      <c r="AJ1713">
        <v>0</v>
      </c>
      <c r="AK1713">
        <v>0</v>
      </c>
      <c r="AL1713" s="24">
        <v>95665.1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 s="24">
        <v>95665.1</v>
      </c>
      <c r="AV1713">
        <v>0</v>
      </c>
      <c r="AW1713">
        <v>0</v>
      </c>
      <c r="AX1713">
        <v>311000</v>
      </c>
      <c r="AY1713" t="s">
        <v>161</v>
      </c>
      <c r="AZ1713">
        <v>0</v>
      </c>
      <c r="BA1713">
        <v>61</v>
      </c>
      <c r="BB1713">
        <v>-61</v>
      </c>
      <c r="BC1713" t="s">
        <v>193</v>
      </c>
      <c r="BD1713">
        <v>1509</v>
      </c>
      <c r="BE1713" t="s">
        <v>169</v>
      </c>
      <c r="BF1713">
        <v>5094257969</v>
      </c>
      <c r="BG1713" t="s">
        <v>368</v>
      </c>
    </row>
    <row r="1714" spans="1:59">
      <c r="A1714">
        <v>1115</v>
      </c>
      <c r="B1714">
        <v>1115</v>
      </c>
      <c r="C1714">
        <v>10</v>
      </c>
      <c r="D1714">
        <v>2</v>
      </c>
      <c r="E1714" t="s">
        <v>152</v>
      </c>
      <c r="F1714" t="s">
        <v>153</v>
      </c>
      <c r="G1714" t="s">
        <v>154</v>
      </c>
      <c r="H1714">
        <v>1526007226</v>
      </c>
      <c r="I1714">
        <v>1000007514</v>
      </c>
      <c r="L1714" t="s">
        <v>368</v>
      </c>
      <c r="M1714">
        <v>5100001928</v>
      </c>
      <c r="N1714" t="s">
        <v>155</v>
      </c>
      <c r="O1714" t="s">
        <v>156</v>
      </c>
      <c r="P1714">
        <v>4110057393</v>
      </c>
      <c r="Q1714" t="s">
        <v>192</v>
      </c>
      <c r="R1714">
        <v>5000</v>
      </c>
      <c r="S1714" t="s">
        <v>166</v>
      </c>
      <c r="V1714" t="s">
        <v>167</v>
      </c>
      <c r="W1714">
        <v>1502020122</v>
      </c>
      <c r="X1714" t="s">
        <v>70</v>
      </c>
      <c r="Y1714" t="str">
        <f>VLOOKUP(W1714,Sheet4!$A$5:$B$72,2,0)</f>
        <v>MAX UG NEW EV</v>
      </c>
      <c r="Z1714">
        <v>87082900</v>
      </c>
      <c r="AA1714">
        <v>10</v>
      </c>
      <c r="AB1714" t="s">
        <v>159</v>
      </c>
      <c r="AC1714" s="24">
        <v>9566.51</v>
      </c>
      <c r="AD1714" t="s">
        <v>160</v>
      </c>
      <c r="AE1714" s="24">
        <v>95665.1</v>
      </c>
      <c r="AF1714">
        <v>0</v>
      </c>
      <c r="AG1714" s="24">
        <v>95665.1</v>
      </c>
      <c r="AH1714">
        <v>0</v>
      </c>
      <c r="AI1714">
        <v>0</v>
      </c>
      <c r="AJ1714">
        <v>0</v>
      </c>
      <c r="AK1714">
        <v>0</v>
      </c>
      <c r="AL1714" s="24">
        <v>95665.1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 s="24">
        <v>95665.1</v>
      </c>
      <c r="AV1714">
        <v>0</v>
      </c>
      <c r="AW1714">
        <v>0</v>
      </c>
      <c r="AX1714">
        <v>311000</v>
      </c>
      <c r="AY1714" t="s">
        <v>161</v>
      </c>
      <c r="AZ1714">
        <v>0</v>
      </c>
      <c r="BA1714">
        <v>61</v>
      </c>
      <c r="BB1714">
        <v>-61</v>
      </c>
      <c r="BC1714" t="s">
        <v>193</v>
      </c>
      <c r="BD1714">
        <v>1509</v>
      </c>
      <c r="BE1714" t="s">
        <v>169</v>
      </c>
      <c r="BF1714">
        <v>5094257960</v>
      </c>
      <c r="BG1714" t="s">
        <v>368</v>
      </c>
    </row>
    <row r="1715" spans="1:59">
      <c r="A1715">
        <v>1115</v>
      </c>
      <c r="B1715">
        <v>1115</v>
      </c>
      <c r="C1715">
        <v>10</v>
      </c>
      <c r="D1715">
        <v>2</v>
      </c>
      <c r="E1715" t="s">
        <v>152</v>
      </c>
      <c r="F1715" t="s">
        <v>153</v>
      </c>
      <c r="G1715" t="s">
        <v>154</v>
      </c>
      <c r="H1715">
        <v>1526007225</v>
      </c>
      <c r="I1715">
        <v>1000007513</v>
      </c>
      <c r="L1715" t="s">
        <v>368</v>
      </c>
      <c r="M1715">
        <v>5100001928</v>
      </c>
      <c r="N1715" t="s">
        <v>155</v>
      </c>
      <c r="O1715" t="s">
        <v>156</v>
      </c>
      <c r="P1715">
        <v>4110057393</v>
      </c>
      <c r="Q1715" t="s">
        <v>192</v>
      </c>
      <c r="R1715">
        <v>5000</v>
      </c>
      <c r="S1715" t="s">
        <v>166</v>
      </c>
      <c r="V1715" t="s">
        <v>167</v>
      </c>
      <c r="W1715">
        <v>1502020122</v>
      </c>
      <c r="X1715" t="s">
        <v>70</v>
      </c>
      <c r="Y1715" t="str">
        <f>VLOOKUP(W1715,Sheet4!$A$5:$B$72,2,0)</f>
        <v>MAX UG NEW EV</v>
      </c>
      <c r="Z1715">
        <v>87082900</v>
      </c>
      <c r="AA1715">
        <v>10</v>
      </c>
      <c r="AB1715" t="s">
        <v>159</v>
      </c>
      <c r="AC1715" s="24">
        <v>9566.51</v>
      </c>
      <c r="AD1715" t="s">
        <v>160</v>
      </c>
      <c r="AE1715" s="24">
        <v>95665.1</v>
      </c>
      <c r="AF1715">
        <v>0</v>
      </c>
      <c r="AG1715" s="24">
        <v>95665.1</v>
      </c>
      <c r="AH1715">
        <v>0</v>
      </c>
      <c r="AI1715">
        <v>0</v>
      </c>
      <c r="AJ1715">
        <v>0</v>
      </c>
      <c r="AK1715">
        <v>0</v>
      </c>
      <c r="AL1715" s="24">
        <v>95665.1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 s="24">
        <v>95665.1</v>
      </c>
      <c r="AV1715">
        <v>0</v>
      </c>
      <c r="AW1715">
        <v>0</v>
      </c>
      <c r="AX1715">
        <v>311000</v>
      </c>
      <c r="AY1715" t="s">
        <v>161</v>
      </c>
      <c r="AZ1715">
        <v>0</v>
      </c>
      <c r="BA1715">
        <v>61</v>
      </c>
      <c r="BB1715">
        <v>-61</v>
      </c>
      <c r="BC1715" t="s">
        <v>193</v>
      </c>
      <c r="BD1715">
        <v>1509</v>
      </c>
      <c r="BE1715" t="s">
        <v>169</v>
      </c>
      <c r="BF1715">
        <v>5094258140</v>
      </c>
      <c r="BG1715" t="s">
        <v>368</v>
      </c>
    </row>
    <row r="1716" spans="1:59">
      <c r="A1716">
        <v>1115</v>
      </c>
      <c r="B1716">
        <v>1115</v>
      </c>
      <c r="C1716">
        <v>10</v>
      </c>
      <c r="D1716">
        <v>2</v>
      </c>
      <c r="E1716" t="s">
        <v>152</v>
      </c>
      <c r="F1716" t="s">
        <v>153</v>
      </c>
      <c r="G1716" t="s">
        <v>154</v>
      </c>
      <c r="H1716">
        <v>1526007222</v>
      </c>
      <c r="I1716">
        <v>1000007510</v>
      </c>
      <c r="L1716" t="s">
        <v>368</v>
      </c>
      <c r="M1716">
        <v>5100001101</v>
      </c>
      <c r="N1716" t="s">
        <v>155</v>
      </c>
      <c r="O1716" t="s">
        <v>156</v>
      </c>
      <c r="P1716">
        <v>4110004653</v>
      </c>
      <c r="Q1716" t="s">
        <v>177</v>
      </c>
      <c r="R1716">
        <v>5000</v>
      </c>
      <c r="S1716" t="s">
        <v>166</v>
      </c>
      <c r="V1716" t="s">
        <v>167</v>
      </c>
      <c r="W1716">
        <v>1502040194</v>
      </c>
      <c r="X1716" t="s">
        <v>44</v>
      </c>
      <c r="Y1716" t="str">
        <f>VLOOKUP(W1716,Sheet4!$A$5:$B$72,2,0)</f>
        <v>CRADEL</v>
      </c>
      <c r="Z1716">
        <v>87082900</v>
      </c>
      <c r="AA1716">
        <v>48</v>
      </c>
      <c r="AB1716" t="s">
        <v>159</v>
      </c>
      <c r="AC1716">
        <v>956.92</v>
      </c>
      <c r="AD1716" t="s">
        <v>160</v>
      </c>
      <c r="AE1716" s="24">
        <v>45932.160000000003</v>
      </c>
      <c r="AF1716">
        <v>0</v>
      </c>
      <c r="AG1716" s="24">
        <v>45932.160000000003</v>
      </c>
      <c r="AH1716">
        <v>0</v>
      </c>
      <c r="AI1716">
        <v>0</v>
      </c>
      <c r="AJ1716">
        <v>0</v>
      </c>
      <c r="AK1716">
        <v>0</v>
      </c>
      <c r="AL1716" s="24">
        <v>45932.160000000003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 s="24">
        <v>45932.160000000003</v>
      </c>
      <c r="AV1716">
        <v>0</v>
      </c>
      <c r="AW1716">
        <v>0</v>
      </c>
      <c r="AX1716">
        <v>311000</v>
      </c>
      <c r="AY1716" t="s">
        <v>161</v>
      </c>
      <c r="AZ1716">
        <v>6.3769999999999998</v>
      </c>
      <c r="BA1716">
        <v>6.3769999999999998</v>
      </c>
      <c r="BB1716">
        <v>0</v>
      </c>
      <c r="BC1716" t="s">
        <v>184</v>
      </c>
      <c r="BD1716">
        <v>1511</v>
      </c>
      <c r="BE1716" t="s">
        <v>174</v>
      </c>
      <c r="BF1716">
        <v>5094261504</v>
      </c>
      <c r="BG1716" t="s">
        <v>368</v>
      </c>
    </row>
    <row r="1717" spans="1:59">
      <c r="A1717">
        <v>1115</v>
      </c>
      <c r="B1717">
        <v>1115</v>
      </c>
      <c r="C1717">
        <v>10</v>
      </c>
      <c r="D1717">
        <v>2</v>
      </c>
      <c r="E1717" t="s">
        <v>152</v>
      </c>
      <c r="F1717" t="s">
        <v>153</v>
      </c>
      <c r="G1717" t="s">
        <v>154</v>
      </c>
      <c r="H1717">
        <v>1526007221</v>
      </c>
      <c r="I1717">
        <v>1000007509</v>
      </c>
      <c r="L1717" t="s">
        <v>368</v>
      </c>
      <c r="M1717">
        <v>5100001101</v>
      </c>
      <c r="N1717" t="s">
        <v>155</v>
      </c>
      <c r="O1717" t="s">
        <v>156</v>
      </c>
      <c r="P1717">
        <v>4110004653</v>
      </c>
      <c r="Q1717" t="s">
        <v>177</v>
      </c>
      <c r="R1717">
        <v>5000</v>
      </c>
      <c r="S1717" t="s">
        <v>166</v>
      </c>
      <c r="V1717" t="s">
        <v>167</v>
      </c>
      <c r="W1717">
        <v>1502040194</v>
      </c>
      <c r="X1717" t="s">
        <v>44</v>
      </c>
      <c r="Y1717" t="str">
        <f>VLOOKUP(W1717,Sheet4!$A$5:$B$72,2,0)</f>
        <v>CRADEL</v>
      </c>
      <c r="Z1717">
        <v>87082900</v>
      </c>
      <c r="AA1717">
        <v>48</v>
      </c>
      <c r="AB1717" t="s">
        <v>159</v>
      </c>
      <c r="AC1717">
        <v>956.92</v>
      </c>
      <c r="AD1717" t="s">
        <v>160</v>
      </c>
      <c r="AE1717" s="24">
        <v>45932.160000000003</v>
      </c>
      <c r="AF1717">
        <v>0</v>
      </c>
      <c r="AG1717" s="24">
        <v>45932.160000000003</v>
      </c>
      <c r="AH1717">
        <v>0</v>
      </c>
      <c r="AI1717">
        <v>0</v>
      </c>
      <c r="AJ1717">
        <v>0</v>
      </c>
      <c r="AK1717">
        <v>0</v>
      </c>
      <c r="AL1717" s="24">
        <v>45932.160000000003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 s="24">
        <v>45932.160000000003</v>
      </c>
      <c r="AV1717">
        <v>0</v>
      </c>
      <c r="AW1717">
        <v>0</v>
      </c>
      <c r="AX1717">
        <v>311000</v>
      </c>
      <c r="AY1717" t="s">
        <v>161</v>
      </c>
      <c r="AZ1717">
        <v>6.3769999999999998</v>
      </c>
      <c r="BA1717">
        <v>6.3769999999999998</v>
      </c>
      <c r="BB1717">
        <v>0</v>
      </c>
      <c r="BC1717" t="s">
        <v>184</v>
      </c>
      <c r="BD1717">
        <v>1511</v>
      </c>
      <c r="BE1717" t="s">
        <v>174</v>
      </c>
      <c r="BF1717">
        <v>5094259874</v>
      </c>
      <c r="BG1717" t="s">
        <v>368</v>
      </c>
    </row>
    <row r="1718" spans="1:59">
      <c r="A1718">
        <v>1115</v>
      </c>
      <c r="B1718">
        <v>1115</v>
      </c>
      <c r="C1718">
        <v>10</v>
      </c>
      <c r="D1718">
        <v>2</v>
      </c>
      <c r="E1718" t="s">
        <v>152</v>
      </c>
      <c r="F1718" t="s">
        <v>153</v>
      </c>
      <c r="G1718" t="s">
        <v>154</v>
      </c>
      <c r="H1718">
        <v>1526007220</v>
      </c>
      <c r="I1718">
        <v>1000007508</v>
      </c>
      <c r="L1718" t="s">
        <v>368</v>
      </c>
      <c r="M1718">
        <v>5100001101</v>
      </c>
      <c r="N1718" t="s">
        <v>155</v>
      </c>
      <c r="O1718" t="s">
        <v>156</v>
      </c>
      <c r="P1718">
        <v>4110004653</v>
      </c>
      <c r="Q1718" t="s">
        <v>177</v>
      </c>
      <c r="R1718">
        <v>5000</v>
      </c>
      <c r="S1718" t="s">
        <v>166</v>
      </c>
      <c r="V1718" t="s">
        <v>167</v>
      </c>
      <c r="W1718">
        <v>1502040194</v>
      </c>
      <c r="X1718" t="s">
        <v>44</v>
      </c>
      <c r="Y1718" t="str">
        <f>VLOOKUP(W1718,Sheet4!$A$5:$B$72,2,0)</f>
        <v>CRADEL</v>
      </c>
      <c r="Z1718">
        <v>87082900</v>
      </c>
      <c r="AA1718">
        <v>48</v>
      </c>
      <c r="AB1718" t="s">
        <v>159</v>
      </c>
      <c r="AC1718">
        <v>956.92</v>
      </c>
      <c r="AD1718" t="s">
        <v>160</v>
      </c>
      <c r="AE1718" s="24">
        <v>45932.160000000003</v>
      </c>
      <c r="AF1718">
        <v>0</v>
      </c>
      <c r="AG1718" s="24">
        <v>45932.160000000003</v>
      </c>
      <c r="AH1718">
        <v>0</v>
      </c>
      <c r="AI1718">
        <v>0</v>
      </c>
      <c r="AJ1718">
        <v>0</v>
      </c>
      <c r="AK1718">
        <v>0</v>
      </c>
      <c r="AL1718" s="24">
        <v>45932.160000000003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 s="24">
        <v>45932.160000000003</v>
      </c>
      <c r="AV1718">
        <v>0</v>
      </c>
      <c r="AW1718">
        <v>0</v>
      </c>
      <c r="AX1718">
        <v>311000</v>
      </c>
      <c r="AY1718" t="s">
        <v>161</v>
      </c>
      <c r="AZ1718">
        <v>6.3769999999999998</v>
      </c>
      <c r="BA1718">
        <v>6.3769999999999998</v>
      </c>
      <c r="BB1718">
        <v>0</v>
      </c>
      <c r="BC1718" t="s">
        <v>184</v>
      </c>
      <c r="BD1718">
        <v>1511</v>
      </c>
      <c r="BE1718" t="s">
        <v>174</v>
      </c>
      <c r="BF1718">
        <v>5094253354</v>
      </c>
      <c r="BG1718" t="s">
        <v>368</v>
      </c>
    </row>
    <row r="1719" spans="1:59">
      <c r="A1719">
        <v>1115</v>
      </c>
      <c r="B1719">
        <v>1115</v>
      </c>
      <c r="C1719">
        <v>10</v>
      </c>
      <c r="D1719">
        <v>2</v>
      </c>
      <c r="E1719" t="s">
        <v>152</v>
      </c>
      <c r="F1719" t="s">
        <v>153</v>
      </c>
      <c r="G1719" t="s">
        <v>154</v>
      </c>
      <c r="H1719">
        <v>1526007297</v>
      </c>
      <c r="I1719">
        <v>1000007592</v>
      </c>
      <c r="L1719" t="s">
        <v>368</v>
      </c>
      <c r="M1719">
        <v>5100001666</v>
      </c>
      <c r="N1719" t="s">
        <v>155</v>
      </c>
      <c r="O1719" t="s">
        <v>156</v>
      </c>
      <c r="P1719">
        <v>4110027035</v>
      </c>
      <c r="Q1719" t="s">
        <v>225</v>
      </c>
      <c r="R1719">
        <v>5000</v>
      </c>
      <c r="S1719" t="s">
        <v>166</v>
      </c>
      <c r="V1719" t="s">
        <v>167</v>
      </c>
      <c r="W1719">
        <v>1502020105</v>
      </c>
      <c r="X1719" t="s">
        <v>226</v>
      </c>
      <c r="Y1719" t="str">
        <f>VLOOKUP(W1719,Sheet4!$A$5:$B$72,2,0)</f>
        <v>RE STYLING</v>
      </c>
      <c r="Z1719">
        <v>87082900</v>
      </c>
      <c r="AA1719">
        <v>15</v>
      </c>
      <c r="AB1719" t="s">
        <v>159</v>
      </c>
      <c r="AC1719" s="24">
        <v>6570.77</v>
      </c>
      <c r="AD1719" t="s">
        <v>160</v>
      </c>
      <c r="AE1719" s="24">
        <v>98561.55</v>
      </c>
      <c r="AF1719">
        <v>0</v>
      </c>
      <c r="AG1719" s="24">
        <v>98561.55</v>
      </c>
      <c r="AH1719">
        <v>0</v>
      </c>
      <c r="AI1719">
        <v>0</v>
      </c>
      <c r="AJ1719">
        <v>0</v>
      </c>
      <c r="AK1719">
        <v>0</v>
      </c>
      <c r="AL1719" s="24">
        <v>98561.55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 s="24">
        <v>98561.55</v>
      </c>
      <c r="AV1719">
        <v>0</v>
      </c>
      <c r="AW1719">
        <v>0</v>
      </c>
      <c r="AX1719">
        <v>311000</v>
      </c>
      <c r="AY1719" t="s">
        <v>161</v>
      </c>
      <c r="AZ1719">
        <v>49.75</v>
      </c>
      <c r="BA1719">
        <v>49.75</v>
      </c>
      <c r="BB1719">
        <v>0</v>
      </c>
      <c r="BC1719" t="s">
        <v>227</v>
      </c>
      <c r="BD1719">
        <v>1509</v>
      </c>
      <c r="BE1719" t="s">
        <v>169</v>
      </c>
      <c r="BF1719">
        <v>5094267246</v>
      </c>
      <c r="BG1719" t="s">
        <v>368</v>
      </c>
    </row>
    <row r="1720" spans="1:59">
      <c r="A1720">
        <v>1115</v>
      </c>
      <c r="B1720">
        <v>1115</v>
      </c>
      <c r="C1720">
        <v>10</v>
      </c>
      <c r="D1720">
        <v>2</v>
      </c>
      <c r="E1720" t="s">
        <v>152</v>
      </c>
      <c r="F1720" t="s">
        <v>153</v>
      </c>
      <c r="G1720" t="s">
        <v>154</v>
      </c>
      <c r="H1720">
        <v>1526007296</v>
      </c>
      <c r="I1720">
        <v>1000007591</v>
      </c>
      <c r="L1720" t="s">
        <v>368</v>
      </c>
      <c r="M1720">
        <v>5100001666</v>
      </c>
      <c r="N1720" t="s">
        <v>155</v>
      </c>
      <c r="O1720" t="s">
        <v>156</v>
      </c>
      <c r="P1720">
        <v>4110027035</v>
      </c>
      <c r="Q1720" t="s">
        <v>225</v>
      </c>
      <c r="R1720">
        <v>5000</v>
      </c>
      <c r="S1720" t="s">
        <v>166</v>
      </c>
      <c r="V1720" t="s">
        <v>167</v>
      </c>
      <c r="W1720">
        <v>1502020105</v>
      </c>
      <c r="X1720" t="s">
        <v>226</v>
      </c>
      <c r="Y1720" t="str">
        <f>VLOOKUP(W1720,Sheet4!$A$5:$B$72,2,0)</f>
        <v>RE STYLING</v>
      </c>
      <c r="Z1720">
        <v>87082900</v>
      </c>
      <c r="AA1720">
        <v>15</v>
      </c>
      <c r="AB1720" t="s">
        <v>159</v>
      </c>
      <c r="AC1720" s="24">
        <v>6570.77</v>
      </c>
      <c r="AD1720" t="s">
        <v>160</v>
      </c>
      <c r="AE1720" s="24">
        <v>98561.55</v>
      </c>
      <c r="AF1720">
        <v>0</v>
      </c>
      <c r="AG1720" s="24">
        <v>98561.55</v>
      </c>
      <c r="AH1720">
        <v>0</v>
      </c>
      <c r="AI1720">
        <v>0</v>
      </c>
      <c r="AJ1720">
        <v>0</v>
      </c>
      <c r="AK1720">
        <v>0</v>
      </c>
      <c r="AL1720" s="24">
        <v>98561.55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 s="24">
        <v>98561.55</v>
      </c>
      <c r="AV1720">
        <v>0</v>
      </c>
      <c r="AW1720">
        <v>0</v>
      </c>
      <c r="AX1720">
        <v>311000</v>
      </c>
      <c r="AY1720" t="s">
        <v>161</v>
      </c>
      <c r="AZ1720">
        <v>49.75</v>
      </c>
      <c r="BA1720">
        <v>49.75</v>
      </c>
      <c r="BB1720">
        <v>0</v>
      </c>
      <c r="BC1720" t="s">
        <v>227</v>
      </c>
      <c r="BD1720">
        <v>1509</v>
      </c>
      <c r="BE1720" t="s">
        <v>169</v>
      </c>
      <c r="BF1720">
        <v>5094270009</v>
      </c>
      <c r="BG1720" t="s">
        <v>368</v>
      </c>
    </row>
    <row r="1721" spans="1:59">
      <c r="A1721">
        <v>1115</v>
      </c>
      <c r="B1721">
        <v>1115</v>
      </c>
      <c r="C1721">
        <v>10</v>
      </c>
      <c r="D1721">
        <v>2</v>
      </c>
      <c r="E1721" t="s">
        <v>152</v>
      </c>
      <c r="F1721" t="s">
        <v>153</v>
      </c>
      <c r="G1721" t="s">
        <v>154</v>
      </c>
      <c r="H1721">
        <v>1526007295</v>
      </c>
      <c r="I1721">
        <v>1000007590</v>
      </c>
      <c r="L1721" t="s">
        <v>368</v>
      </c>
      <c r="M1721">
        <v>5100001666</v>
      </c>
      <c r="N1721" t="s">
        <v>155</v>
      </c>
      <c r="O1721" t="s">
        <v>156</v>
      </c>
      <c r="P1721">
        <v>4110027035</v>
      </c>
      <c r="Q1721" t="s">
        <v>225</v>
      </c>
      <c r="R1721">
        <v>5000</v>
      </c>
      <c r="S1721" t="s">
        <v>166</v>
      </c>
      <c r="V1721" t="s">
        <v>167</v>
      </c>
      <c r="W1721">
        <v>1502020105</v>
      </c>
      <c r="X1721" t="s">
        <v>226</v>
      </c>
      <c r="Y1721" t="str">
        <f>VLOOKUP(W1721,Sheet4!$A$5:$B$72,2,0)</f>
        <v>RE STYLING</v>
      </c>
      <c r="Z1721">
        <v>87082900</v>
      </c>
      <c r="AA1721">
        <v>15</v>
      </c>
      <c r="AB1721" t="s">
        <v>159</v>
      </c>
      <c r="AC1721" s="24">
        <v>6570.77</v>
      </c>
      <c r="AD1721" t="s">
        <v>160</v>
      </c>
      <c r="AE1721" s="24">
        <v>98561.55</v>
      </c>
      <c r="AF1721">
        <v>0</v>
      </c>
      <c r="AG1721" s="24">
        <v>98561.55</v>
      </c>
      <c r="AH1721">
        <v>0</v>
      </c>
      <c r="AI1721">
        <v>0</v>
      </c>
      <c r="AJ1721">
        <v>0</v>
      </c>
      <c r="AK1721">
        <v>0</v>
      </c>
      <c r="AL1721" s="24">
        <v>98561.55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 s="24">
        <v>98561.55</v>
      </c>
      <c r="AV1721">
        <v>0</v>
      </c>
      <c r="AW1721">
        <v>0</v>
      </c>
      <c r="AX1721">
        <v>311000</v>
      </c>
      <c r="AY1721" t="s">
        <v>161</v>
      </c>
      <c r="AZ1721">
        <v>49.75</v>
      </c>
      <c r="BA1721">
        <v>49.75</v>
      </c>
      <c r="BB1721">
        <v>0</v>
      </c>
      <c r="BC1721" t="s">
        <v>227</v>
      </c>
      <c r="BD1721">
        <v>1509</v>
      </c>
      <c r="BE1721" t="s">
        <v>169</v>
      </c>
      <c r="BF1721">
        <v>5094270012</v>
      </c>
      <c r="BG1721" t="s">
        <v>368</v>
      </c>
    </row>
    <row r="1722" spans="1:59">
      <c r="A1722">
        <v>1115</v>
      </c>
      <c r="B1722">
        <v>1115</v>
      </c>
      <c r="C1722">
        <v>10</v>
      </c>
      <c r="D1722">
        <v>2</v>
      </c>
      <c r="E1722" t="s">
        <v>152</v>
      </c>
      <c r="F1722" t="s">
        <v>153</v>
      </c>
      <c r="G1722" t="s">
        <v>154</v>
      </c>
      <c r="H1722">
        <v>1526007294</v>
      </c>
      <c r="I1722">
        <v>1000007589</v>
      </c>
      <c r="L1722" t="s">
        <v>368</v>
      </c>
      <c r="M1722">
        <v>5100001666</v>
      </c>
      <c r="N1722" t="s">
        <v>155</v>
      </c>
      <c r="O1722" t="s">
        <v>156</v>
      </c>
      <c r="P1722">
        <v>4110027035</v>
      </c>
      <c r="Q1722" t="s">
        <v>225</v>
      </c>
      <c r="R1722">
        <v>5000</v>
      </c>
      <c r="S1722" t="s">
        <v>166</v>
      </c>
      <c r="V1722" t="s">
        <v>167</v>
      </c>
      <c r="W1722">
        <v>1502020105</v>
      </c>
      <c r="X1722" t="s">
        <v>226</v>
      </c>
      <c r="Y1722" t="str">
        <f>VLOOKUP(W1722,Sheet4!$A$5:$B$72,2,0)</f>
        <v>RE STYLING</v>
      </c>
      <c r="Z1722">
        <v>87082900</v>
      </c>
      <c r="AA1722">
        <v>12</v>
      </c>
      <c r="AB1722" t="s">
        <v>159</v>
      </c>
      <c r="AC1722" s="24">
        <v>6570.77</v>
      </c>
      <c r="AD1722" t="s">
        <v>160</v>
      </c>
      <c r="AE1722" s="24">
        <v>78849.240000000005</v>
      </c>
      <c r="AF1722">
        <v>0</v>
      </c>
      <c r="AG1722" s="24">
        <v>78849.240000000005</v>
      </c>
      <c r="AH1722">
        <v>0</v>
      </c>
      <c r="AI1722">
        <v>0</v>
      </c>
      <c r="AJ1722">
        <v>0</v>
      </c>
      <c r="AK1722">
        <v>0</v>
      </c>
      <c r="AL1722" s="24">
        <v>78849.240000000005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 s="24">
        <v>78849.240000000005</v>
      </c>
      <c r="AV1722">
        <v>0</v>
      </c>
      <c r="AW1722">
        <v>0</v>
      </c>
      <c r="AX1722">
        <v>311000</v>
      </c>
      <c r="AY1722" t="s">
        <v>161</v>
      </c>
      <c r="AZ1722">
        <v>49.75</v>
      </c>
      <c r="BA1722">
        <v>49.75</v>
      </c>
      <c r="BB1722">
        <v>0</v>
      </c>
      <c r="BC1722" t="s">
        <v>227</v>
      </c>
      <c r="BD1722">
        <v>1509</v>
      </c>
      <c r="BE1722" t="s">
        <v>169</v>
      </c>
      <c r="BF1722">
        <v>5094267092</v>
      </c>
      <c r="BG1722" t="s">
        <v>368</v>
      </c>
    </row>
    <row r="1723" spans="1:59">
      <c r="A1723">
        <v>1115</v>
      </c>
      <c r="B1723">
        <v>1115</v>
      </c>
      <c r="C1723">
        <v>10</v>
      </c>
      <c r="D1723">
        <v>2</v>
      </c>
      <c r="E1723" t="s">
        <v>152</v>
      </c>
      <c r="F1723" t="s">
        <v>153</v>
      </c>
      <c r="G1723" t="s">
        <v>154</v>
      </c>
      <c r="H1723">
        <v>1526007293</v>
      </c>
      <c r="I1723">
        <v>1000007586</v>
      </c>
      <c r="L1723" t="s">
        <v>368</v>
      </c>
      <c r="M1723">
        <v>5100001949</v>
      </c>
      <c r="N1723" t="s">
        <v>155</v>
      </c>
      <c r="O1723" t="s">
        <v>156</v>
      </c>
      <c r="P1723">
        <v>4110063766</v>
      </c>
      <c r="Q1723" t="s">
        <v>252</v>
      </c>
      <c r="R1723">
        <v>5000</v>
      </c>
      <c r="S1723" t="s">
        <v>166</v>
      </c>
      <c r="V1723" t="s">
        <v>167</v>
      </c>
      <c r="W1723">
        <v>1502040322</v>
      </c>
      <c r="X1723" t="s">
        <v>250</v>
      </c>
      <c r="Y1723" t="str">
        <f>VLOOKUP(W1723,Sheet4!$A$5:$B$72,2,0)</f>
        <v>DASH BOARD</v>
      </c>
      <c r="Z1723">
        <v>87082900</v>
      </c>
      <c r="AA1723">
        <v>90</v>
      </c>
      <c r="AB1723" t="s">
        <v>159</v>
      </c>
      <c r="AC1723">
        <v>291.27999999999997</v>
      </c>
      <c r="AD1723" t="s">
        <v>160</v>
      </c>
      <c r="AE1723" s="24">
        <v>26215.200000000001</v>
      </c>
      <c r="AF1723">
        <v>0</v>
      </c>
      <c r="AG1723" s="24">
        <v>26215.200000000001</v>
      </c>
      <c r="AH1723">
        <v>0</v>
      </c>
      <c r="AI1723">
        <v>0</v>
      </c>
      <c r="AJ1723">
        <v>0</v>
      </c>
      <c r="AK1723">
        <v>0</v>
      </c>
      <c r="AL1723" s="24">
        <v>26215.200000000001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 s="24">
        <v>26215.200000000001</v>
      </c>
      <c r="AV1723">
        <v>0</v>
      </c>
      <c r="AW1723">
        <v>0</v>
      </c>
      <c r="AX1723">
        <v>311000</v>
      </c>
      <c r="AY1723" t="s">
        <v>161</v>
      </c>
      <c r="AZ1723">
        <v>2.37</v>
      </c>
      <c r="BA1723">
        <v>2.37</v>
      </c>
      <c r="BB1723">
        <v>0</v>
      </c>
      <c r="BC1723" t="s">
        <v>251</v>
      </c>
      <c r="BD1723">
        <v>1511</v>
      </c>
      <c r="BE1723" t="s">
        <v>174</v>
      </c>
      <c r="BF1723">
        <v>5094266020</v>
      </c>
      <c r="BG1723" t="s">
        <v>368</v>
      </c>
    </row>
    <row r="1724" spans="1:59">
      <c r="A1724">
        <v>1115</v>
      </c>
      <c r="B1724">
        <v>1115</v>
      </c>
      <c r="C1724">
        <v>10</v>
      </c>
      <c r="D1724">
        <v>2</v>
      </c>
      <c r="E1724" t="s">
        <v>152</v>
      </c>
      <c r="F1724" t="s">
        <v>153</v>
      </c>
      <c r="G1724" t="s">
        <v>154</v>
      </c>
      <c r="H1724">
        <v>1526007292</v>
      </c>
      <c r="I1724">
        <v>1000007585</v>
      </c>
      <c r="L1724" t="s">
        <v>368</v>
      </c>
      <c r="M1724">
        <v>5100001899</v>
      </c>
      <c r="N1724" t="s">
        <v>155</v>
      </c>
      <c r="O1724" t="s">
        <v>156</v>
      </c>
      <c r="P1724">
        <v>4110041854</v>
      </c>
      <c r="Q1724" t="s">
        <v>172</v>
      </c>
      <c r="R1724">
        <v>5000</v>
      </c>
      <c r="S1724" t="s">
        <v>166</v>
      </c>
      <c r="V1724" t="s">
        <v>167</v>
      </c>
      <c r="W1724">
        <v>1502040267</v>
      </c>
      <c r="X1724" t="s">
        <v>63</v>
      </c>
      <c r="Y1724" t="str">
        <f>VLOOKUP(W1724,Sheet4!$A$5:$B$72,2,0)</f>
        <v>DASH BOARD</v>
      </c>
      <c r="Z1724">
        <v>87082900</v>
      </c>
      <c r="AA1724">
        <v>416</v>
      </c>
      <c r="AB1724" t="s">
        <v>159</v>
      </c>
      <c r="AC1724">
        <v>290.89999999999998</v>
      </c>
      <c r="AD1724" t="s">
        <v>160</v>
      </c>
      <c r="AE1724" s="24">
        <v>121014.39999999999</v>
      </c>
      <c r="AF1724">
        <v>0</v>
      </c>
      <c r="AG1724" s="24">
        <v>121014.39999999999</v>
      </c>
      <c r="AH1724">
        <v>0</v>
      </c>
      <c r="AI1724">
        <v>0</v>
      </c>
      <c r="AJ1724">
        <v>0</v>
      </c>
      <c r="AK1724">
        <v>0</v>
      </c>
      <c r="AL1724" s="24">
        <v>121014.39999999999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 s="24">
        <v>121014.39999999999</v>
      </c>
      <c r="AV1724">
        <v>0</v>
      </c>
      <c r="AW1724">
        <v>0</v>
      </c>
      <c r="AX1724">
        <v>311000</v>
      </c>
      <c r="AY1724" t="s">
        <v>161</v>
      </c>
      <c r="AZ1724">
        <v>4.5</v>
      </c>
      <c r="BA1724">
        <v>4.5</v>
      </c>
      <c r="BB1724">
        <v>0</v>
      </c>
      <c r="BC1724" t="s">
        <v>173</v>
      </c>
      <c r="BD1724">
        <v>1511</v>
      </c>
      <c r="BE1724" t="s">
        <v>174</v>
      </c>
      <c r="BF1724">
        <v>5094266027</v>
      </c>
      <c r="BG1724" t="s">
        <v>368</v>
      </c>
    </row>
    <row r="1725" spans="1:59">
      <c r="A1725">
        <v>1115</v>
      </c>
      <c r="B1725">
        <v>1115</v>
      </c>
      <c r="C1725">
        <v>10</v>
      </c>
      <c r="D1725">
        <v>2</v>
      </c>
      <c r="E1725" t="s">
        <v>152</v>
      </c>
      <c r="F1725" t="s">
        <v>153</v>
      </c>
      <c r="G1725" t="s">
        <v>154</v>
      </c>
      <c r="H1725">
        <v>1526007291</v>
      </c>
      <c r="I1725">
        <v>1000007584</v>
      </c>
      <c r="L1725" t="s">
        <v>368</v>
      </c>
      <c r="M1725">
        <v>5100001907</v>
      </c>
      <c r="N1725" t="s">
        <v>155</v>
      </c>
      <c r="O1725" t="s">
        <v>156</v>
      </c>
      <c r="P1725">
        <v>4110046150</v>
      </c>
      <c r="Q1725" t="s">
        <v>373</v>
      </c>
      <c r="R1725">
        <v>5000</v>
      </c>
      <c r="S1725" t="s">
        <v>166</v>
      </c>
      <c r="V1725" t="s">
        <v>167</v>
      </c>
      <c r="W1725">
        <v>1502040271</v>
      </c>
      <c r="X1725" t="s">
        <v>374</v>
      </c>
      <c r="Y1725" t="str">
        <f>VLOOKUP(W1725,Sheet4!$A$5:$B$72,2,0)</f>
        <v>FRONT MUDGAURD EV</v>
      </c>
      <c r="Z1725">
        <v>87082900</v>
      </c>
      <c r="AA1725">
        <v>100</v>
      </c>
      <c r="AB1725" t="s">
        <v>159</v>
      </c>
      <c r="AC1725">
        <v>402.9</v>
      </c>
      <c r="AD1725" t="s">
        <v>160</v>
      </c>
      <c r="AE1725" s="24">
        <v>40290</v>
      </c>
      <c r="AF1725">
        <v>0</v>
      </c>
      <c r="AG1725" s="24">
        <v>40290</v>
      </c>
      <c r="AH1725">
        <v>0</v>
      </c>
      <c r="AI1725">
        <v>0</v>
      </c>
      <c r="AJ1725">
        <v>0</v>
      </c>
      <c r="AK1725">
        <v>0</v>
      </c>
      <c r="AL1725" s="24">
        <v>40290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 s="24">
        <v>40290</v>
      </c>
      <c r="AV1725">
        <v>0</v>
      </c>
      <c r="AW1725">
        <v>0</v>
      </c>
      <c r="AX1725">
        <v>311000</v>
      </c>
      <c r="AY1725" t="s">
        <v>161</v>
      </c>
      <c r="AZ1725">
        <v>1.82</v>
      </c>
      <c r="BA1725">
        <v>1.82</v>
      </c>
      <c r="BB1725">
        <v>0</v>
      </c>
      <c r="BC1725" t="s">
        <v>375</v>
      </c>
      <c r="BD1725">
        <v>1511</v>
      </c>
      <c r="BE1725" t="s">
        <v>174</v>
      </c>
      <c r="BF1725">
        <v>5094265991</v>
      </c>
      <c r="BG1725" t="s">
        <v>368</v>
      </c>
    </row>
    <row r="1726" spans="1:59">
      <c r="A1726">
        <v>1115</v>
      </c>
      <c r="B1726">
        <v>1115</v>
      </c>
      <c r="C1726">
        <v>10</v>
      </c>
      <c r="D1726">
        <v>2</v>
      </c>
      <c r="E1726" t="s">
        <v>152</v>
      </c>
      <c r="F1726" t="s">
        <v>153</v>
      </c>
      <c r="G1726" t="s">
        <v>154</v>
      </c>
      <c r="H1726">
        <v>1526007290</v>
      </c>
      <c r="I1726">
        <v>1000007583</v>
      </c>
      <c r="L1726" t="s">
        <v>368</v>
      </c>
      <c r="M1726">
        <v>5100001666</v>
      </c>
      <c r="N1726" t="s">
        <v>155</v>
      </c>
      <c r="O1726" t="s">
        <v>156</v>
      </c>
      <c r="P1726">
        <v>4110027035</v>
      </c>
      <c r="Q1726" t="s">
        <v>225</v>
      </c>
      <c r="R1726">
        <v>5000</v>
      </c>
      <c r="S1726" t="s">
        <v>166</v>
      </c>
      <c r="V1726" t="s">
        <v>167</v>
      </c>
      <c r="W1726">
        <v>1502020105</v>
      </c>
      <c r="X1726" t="s">
        <v>226</v>
      </c>
      <c r="Y1726" t="str">
        <f>VLOOKUP(W1726,Sheet4!$A$5:$B$72,2,0)</f>
        <v>RE STYLING</v>
      </c>
      <c r="Z1726">
        <v>87082900</v>
      </c>
      <c r="AA1726">
        <v>15</v>
      </c>
      <c r="AB1726" t="s">
        <v>159</v>
      </c>
      <c r="AC1726" s="24">
        <v>6570.77</v>
      </c>
      <c r="AD1726" t="s">
        <v>160</v>
      </c>
      <c r="AE1726" s="24">
        <v>98561.55</v>
      </c>
      <c r="AF1726">
        <v>0</v>
      </c>
      <c r="AG1726" s="24">
        <v>98561.55</v>
      </c>
      <c r="AH1726">
        <v>0</v>
      </c>
      <c r="AI1726">
        <v>0</v>
      </c>
      <c r="AJ1726">
        <v>0</v>
      </c>
      <c r="AK1726">
        <v>0</v>
      </c>
      <c r="AL1726" s="24">
        <v>98561.55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 s="24">
        <v>98561.55</v>
      </c>
      <c r="AV1726">
        <v>0</v>
      </c>
      <c r="AW1726">
        <v>0</v>
      </c>
      <c r="AX1726">
        <v>311000</v>
      </c>
      <c r="AY1726" t="s">
        <v>161</v>
      </c>
      <c r="AZ1726">
        <v>49.75</v>
      </c>
      <c r="BA1726">
        <v>49.75</v>
      </c>
      <c r="BB1726">
        <v>0</v>
      </c>
      <c r="BC1726" t="s">
        <v>227</v>
      </c>
      <c r="BD1726">
        <v>1509</v>
      </c>
      <c r="BE1726" t="s">
        <v>169</v>
      </c>
      <c r="BF1726">
        <v>5094270596</v>
      </c>
      <c r="BG1726" t="s">
        <v>368</v>
      </c>
    </row>
    <row r="1727" spans="1:59">
      <c r="A1727">
        <v>1115</v>
      </c>
      <c r="B1727">
        <v>1115</v>
      </c>
      <c r="C1727">
        <v>10</v>
      </c>
      <c r="D1727">
        <v>2</v>
      </c>
      <c r="E1727" t="s">
        <v>152</v>
      </c>
      <c r="F1727" t="s">
        <v>153</v>
      </c>
      <c r="G1727" t="s">
        <v>154</v>
      </c>
      <c r="H1727">
        <v>1526007289</v>
      </c>
      <c r="I1727">
        <v>1000007582</v>
      </c>
      <c r="L1727" t="s">
        <v>368</v>
      </c>
      <c r="M1727">
        <v>5100001666</v>
      </c>
      <c r="N1727" t="s">
        <v>155</v>
      </c>
      <c r="O1727" t="s">
        <v>156</v>
      </c>
      <c r="P1727">
        <v>4110027035</v>
      </c>
      <c r="Q1727" t="s">
        <v>225</v>
      </c>
      <c r="R1727">
        <v>5000</v>
      </c>
      <c r="S1727" t="s">
        <v>166</v>
      </c>
      <c r="V1727" t="s">
        <v>167</v>
      </c>
      <c r="W1727">
        <v>1502020105</v>
      </c>
      <c r="X1727" t="s">
        <v>226</v>
      </c>
      <c r="Y1727" t="str">
        <f>VLOOKUP(W1727,Sheet4!$A$5:$B$72,2,0)</f>
        <v>RE STYLING</v>
      </c>
      <c r="Z1727">
        <v>87082900</v>
      </c>
      <c r="AA1727">
        <v>15</v>
      </c>
      <c r="AB1727" t="s">
        <v>159</v>
      </c>
      <c r="AC1727" s="24">
        <v>6570.77</v>
      </c>
      <c r="AD1727" t="s">
        <v>160</v>
      </c>
      <c r="AE1727" s="24">
        <v>98561.55</v>
      </c>
      <c r="AF1727">
        <v>0</v>
      </c>
      <c r="AG1727" s="24">
        <v>98561.55</v>
      </c>
      <c r="AH1727">
        <v>0</v>
      </c>
      <c r="AI1727">
        <v>0</v>
      </c>
      <c r="AJ1727">
        <v>0</v>
      </c>
      <c r="AK1727">
        <v>0</v>
      </c>
      <c r="AL1727" s="24">
        <v>98561.55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 s="24">
        <v>98561.55</v>
      </c>
      <c r="AV1727">
        <v>0</v>
      </c>
      <c r="AW1727">
        <v>0</v>
      </c>
      <c r="AX1727">
        <v>311000</v>
      </c>
      <c r="AY1727" t="s">
        <v>161</v>
      </c>
      <c r="AZ1727">
        <v>49.75</v>
      </c>
      <c r="BA1727">
        <v>49.75</v>
      </c>
      <c r="BB1727">
        <v>0</v>
      </c>
      <c r="BC1727" t="s">
        <v>227</v>
      </c>
      <c r="BD1727">
        <v>1509</v>
      </c>
      <c r="BE1727" t="s">
        <v>169</v>
      </c>
      <c r="BF1727">
        <v>5094267247</v>
      </c>
      <c r="BG1727" t="s">
        <v>368</v>
      </c>
    </row>
    <row r="1728" spans="1:59">
      <c r="A1728">
        <v>1115</v>
      </c>
      <c r="B1728">
        <v>1115</v>
      </c>
      <c r="C1728">
        <v>10</v>
      </c>
      <c r="D1728">
        <v>2</v>
      </c>
      <c r="E1728" t="s">
        <v>152</v>
      </c>
      <c r="F1728" t="s">
        <v>153</v>
      </c>
      <c r="G1728" t="s">
        <v>154</v>
      </c>
      <c r="H1728">
        <v>1526007288</v>
      </c>
      <c r="I1728">
        <v>1000007581</v>
      </c>
      <c r="L1728" t="s">
        <v>368</v>
      </c>
      <c r="M1728">
        <v>5100001666</v>
      </c>
      <c r="N1728" t="s">
        <v>155</v>
      </c>
      <c r="O1728" t="s">
        <v>156</v>
      </c>
      <c r="P1728">
        <v>4110027035</v>
      </c>
      <c r="Q1728" t="s">
        <v>225</v>
      </c>
      <c r="R1728">
        <v>5000</v>
      </c>
      <c r="S1728" t="s">
        <v>166</v>
      </c>
      <c r="V1728" t="s">
        <v>167</v>
      </c>
      <c r="W1728">
        <v>1502020105</v>
      </c>
      <c r="X1728" t="s">
        <v>226</v>
      </c>
      <c r="Y1728" t="str">
        <f>VLOOKUP(W1728,Sheet4!$A$5:$B$72,2,0)</f>
        <v>RE STYLING</v>
      </c>
      <c r="Z1728">
        <v>87082900</v>
      </c>
      <c r="AA1728">
        <v>15</v>
      </c>
      <c r="AB1728" t="s">
        <v>159</v>
      </c>
      <c r="AC1728" s="24">
        <v>6570.77</v>
      </c>
      <c r="AD1728" t="s">
        <v>160</v>
      </c>
      <c r="AE1728" s="24">
        <v>98561.55</v>
      </c>
      <c r="AF1728">
        <v>0</v>
      </c>
      <c r="AG1728" s="24">
        <v>98561.55</v>
      </c>
      <c r="AH1728">
        <v>0</v>
      </c>
      <c r="AI1728">
        <v>0</v>
      </c>
      <c r="AJ1728">
        <v>0</v>
      </c>
      <c r="AK1728">
        <v>0</v>
      </c>
      <c r="AL1728" s="24">
        <v>98561.55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 s="24">
        <v>98561.55</v>
      </c>
      <c r="AV1728">
        <v>0</v>
      </c>
      <c r="AW1728">
        <v>0</v>
      </c>
      <c r="AX1728">
        <v>311000</v>
      </c>
      <c r="AY1728" t="s">
        <v>161</v>
      </c>
      <c r="AZ1728">
        <v>49.75</v>
      </c>
      <c r="BA1728">
        <v>49.75</v>
      </c>
      <c r="BB1728">
        <v>0</v>
      </c>
      <c r="BC1728" t="s">
        <v>227</v>
      </c>
      <c r="BD1728">
        <v>1509</v>
      </c>
      <c r="BE1728" t="s">
        <v>169</v>
      </c>
      <c r="BF1728">
        <v>5094266115</v>
      </c>
      <c r="BG1728" t="s">
        <v>368</v>
      </c>
    </row>
    <row r="1729" spans="1:59">
      <c r="A1729">
        <v>1115</v>
      </c>
      <c r="B1729">
        <v>1115</v>
      </c>
      <c r="C1729">
        <v>10</v>
      </c>
      <c r="D1729">
        <v>2</v>
      </c>
      <c r="E1729" t="s">
        <v>152</v>
      </c>
      <c r="F1729" t="s">
        <v>153</v>
      </c>
      <c r="G1729" t="s">
        <v>154</v>
      </c>
      <c r="H1729">
        <v>1526007287</v>
      </c>
      <c r="I1729">
        <v>1000007580</v>
      </c>
      <c r="L1729" t="s">
        <v>368</v>
      </c>
      <c r="M1729">
        <v>5100001955</v>
      </c>
      <c r="N1729" t="s">
        <v>155</v>
      </c>
      <c r="O1729" t="s">
        <v>156</v>
      </c>
      <c r="P1729">
        <v>5500001432</v>
      </c>
      <c r="Q1729" t="s">
        <v>320</v>
      </c>
      <c r="R1729">
        <v>5356</v>
      </c>
      <c r="S1729" t="s">
        <v>158</v>
      </c>
      <c r="W1729">
        <v>1104040829</v>
      </c>
      <c r="X1729" t="s">
        <v>321</v>
      </c>
      <c r="Y1729" t="s">
        <v>339</v>
      </c>
      <c r="Z1729">
        <v>87141090</v>
      </c>
      <c r="AA1729">
        <v>100</v>
      </c>
      <c r="AB1729" t="s">
        <v>159</v>
      </c>
      <c r="AC1729">
        <v>136.6</v>
      </c>
      <c r="AD1729" t="s">
        <v>160</v>
      </c>
      <c r="AE1729" s="24">
        <v>13660</v>
      </c>
      <c r="AF1729">
        <v>0</v>
      </c>
      <c r="AG1729" s="24">
        <v>13660</v>
      </c>
      <c r="AH1729">
        <v>0</v>
      </c>
      <c r="AI1729">
        <v>0</v>
      </c>
      <c r="AJ1729">
        <v>0</v>
      </c>
      <c r="AK1729">
        <v>0</v>
      </c>
      <c r="AL1729" s="24">
        <v>13660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 s="24">
        <v>13660</v>
      </c>
      <c r="AV1729">
        <v>0</v>
      </c>
      <c r="AW1729">
        <v>0</v>
      </c>
      <c r="AX1729">
        <v>311003</v>
      </c>
      <c r="AY1729" t="s">
        <v>322</v>
      </c>
      <c r="AZ1729">
        <v>2.62</v>
      </c>
      <c r="BA1729">
        <v>2.62</v>
      </c>
      <c r="BB1729">
        <v>0</v>
      </c>
      <c r="BC1729">
        <v>2000000894</v>
      </c>
      <c r="BD1729">
        <v>1123</v>
      </c>
      <c r="BE1729" t="s">
        <v>323</v>
      </c>
      <c r="BF1729" t="s">
        <v>163</v>
      </c>
      <c r="BG1729" t="s">
        <v>164</v>
      </c>
    </row>
    <row r="1730" spans="1:59">
      <c r="A1730">
        <v>1115</v>
      </c>
      <c r="B1730">
        <v>1115</v>
      </c>
      <c r="C1730">
        <v>10</v>
      </c>
      <c r="D1730">
        <v>2</v>
      </c>
      <c r="E1730" t="s">
        <v>152</v>
      </c>
      <c r="F1730" t="s">
        <v>153</v>
      </c>
      <c r="G1730" t="s">
        <v>154</v>
      </c>
      <c r="H1730">
        <v>1526007284</v>
      </c>
      <c r="I1730">
        <v>1000007577</v>
      </c>
      <c r="L1730" t="s">
        <v>368</v>
      </c>
      <c r="M1730">
        <v>5100001928</v>
      </c>
      <c r="N1730" t="s">
        <v>155</v>
      </c>
      <c r="O1730" t="s">
        <v>156</v>
      </c>
      <c r="P1730">
        <v>4110057393</v>
      </c>
      <c r="Q1730" t="s">
        <v>192</v>
      </c>
      <c r="R1730">
        <v>5000</v>
      </c>
      <c r="S1730" t="s">
        <v>166</v>
      </c>
      <c r="V1730" t="s">
        <v>167</v>
      </c>
      <c r="W1730">
        <v>1502020122</v>
      </c>
      <c r="X1730" t="s">
        <v>70</v>
      </c>
      <c r="Y1730" t="str">
        <f>VLOOKUP(W1730,Sheet4!$A$5:$B$72,2,0)</f>
        <v>MAX UG NEW EV</v>
      </c>
      <c r="Z1730">
        <v>87082900</v>
      </c>
      <c r="AA1730">
        <v>10</v>
      </c>
      <c r="AB1730" t="s">
        <v>159</v>
      </c>
      <c r="AC1730" s="24">
        <v>9566.51</v>
      </c>
      <c r="AD1730" t="s">
        <v>160</v>
      </c>
      <c r="AE1730" s="24">
        <v>95665.1</v>
      </c>
      <c r="AF1730">
        <v>0</v>
      </c>
      <c r="AG1730" s="24">
        <v>95665.1</v>
      </c>
      <c r="AH1730">
        <v>0</v>
      </c>
      <c r="AI1730">
        <v>0</v>
      </c>
      <c r="AJ1730">
        <v>0</v>
      </c>
      <c r="AK1730">
        <v>0</v>
      </c>
      <c r="AL1730" s="24">
        <v>95665.1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 s="24">
        <v>95665.1</v>
      </c>
      <c r="AV1730">
        <v>0</v>
      </c>
      <c r="AW1730">
        <v>0</v>
      </c>
      <c r="AX1730">
        <v>311000</v>
      </c>
      <c r="AY1730" t="s">
        <v>161</v>
      </c>
      <c r="AZ1730">
        <v>0</v>
      </c>
      <c r="BA1730">
        <v>61</v>
      </c>
      <c r="BB1730">
        <v>-61</v>
      </c>
      <c r="BC1730" t="s">
        <v>193</v>
      </c>
      <c r="BD1730">
        <v>1509</v>
      </c>
      <c r="BE1730" t="s">
        <v>169</v>
      </c>
      <c r="BF1730">
        <v>5094272658</v>
      </c>
      <c r="BG1730" t="s">
        <v>368</v>
      </c>
    </row>
    <row r="1731" spans="1:59">
      <c r="A1731">
        <v>1115</v>
      </c>
      <c r="B1731">
        <v>1115</v>
      </c>
      <c r="C1731">
        <v>10</v>
      </c>
      <c r="D1731">
        <v>2</v>
      </c>
      <c r="E1731" t="s">
        <v>152</v>
      </c>
      <c r="F1731" t="s">
        <v>153</v>
      </c>
      <c r="G1731" t="s">
        <v>154</v>
      </c>
      <c r="H1731">
        <v>1526007283</v>
      </c>
      <c r="I1731">
        <v>1000007576</v>
      </c>
      <c r="L1731" t="s">
        <v>368</v>
      </c>
      <c r="M1731">
        <v>5100001928</v>
      </c>
      <c r="N1731" t="s">
        <v>155</v>
      </c>
      <c r="O1731" t="s">
        <v>156</v>
      </c>
      <c r="P1731">
        <v>4110057393</v>
      </c>
      <c r="Q1731" t="s">
        <v>192</v>
      </c>
      <c r="R1731">
        <v>5000</v>
      </c>
      <c r="S1731" t="s">
        <v>166</v>
      </c>
      <c r="V1731" t="s">
        <v>167</v>
      </c>
      <c r="W1731">
        <v>1502020122</v>
      </c>
      <c r="X1731" t="s">
        <v>70</v>
      </c>
      <c r="Y1731" t="str">
        <f>VLOOKUP(W1731,Sheet4!$A$5:$B$72,2,0)</f>
        <v>MAX UG NEW EV</v>
      </c>
      <c r="Z1731">
        <v>87082900</v>
      </c>
      <c r="AA1731">
        <v>10</v>
      </c>
      <c r="AB1731" t="s">
        <v>159</v>
      </c>
      <c r="AC1731" s="24">
        <v>9566.51</v>
      </c>
      <c r="AD1731" t="s">
        <v>160</v>
      </c>
      <c r="AE1731" s="24">
        <v>95665.1</v>
      </c>
      <c r="AF1731">
        <v>0</v>
      </c>
      <c r="AG1731" s="24">
        <v>95665.1</v>
      </c>
      <c r="AH1731">
        <v>0</v>
      </c>
      <c r="AI1731">
        <v>0</v>
      </c>
      <c r="AJ1731">
        <v>0</v>
      </c>
      <c r="AK1731">
        <v>0</v>
      </c>
      <c r="AL1731" s="24">
        <v>95665.1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 s="24">
        <v>95665.1</v>
      </c>
      <c r="AV1731">
        <v>0</v>
      </c>
      <c r="AW1731">
        <v>0</v>
      </c>
      <c r="AX1731">
        <v>311000</v>
      </c>
      <c r="AY1731" t="s">
        <v>161</v>
      </c>
      <c r="AZ1731">
        <v>0</v>
      </c>
      <c r="BA1731">
        <v>61</v>
      </c>
      <c r="BB1731">
        <v>-61</v>
      </c>
      <c r="BC1731" t="s">
        <v>193</v>
      </c>
      <c r="BD1731">
        <v>1509</v>
      </c>
      <c r="BE1731" t="s">
        <v>169</v>
      </c>
      <c r="BF1731">
        <v>5094264341</v>
      </c>
      <c r="BG1731" t="s">
        <v>368</v>
      </c>
    </row>
    <row r="1732" spans="1:59">
      <c r="A1732">
        <v>1115</v>
      </c>
      <c r="B1732">
        <v>1115</v>
      </c>
      <c r="C1732">
        <v>10</v>
      </c>
      <c r="D1732">
        <v>2</v>
      </c>
      <c r="E1732" t="s">
        <v>152</v>
      </c>
      <c r="F1732" t="s">
        <v>153</v>
      </c>
      <c r="G1732" t="s">
        <v>154</v>
      </c>
      <c r="H1732">
        <v>1526007282</v>
      </c>
      <c r="I1732">
        <v>1000007575</v>
      </c>
      <c r="L1732" t="s">
        <v>368</v>
      </c>
      <c r="M1732">
        <v>5100001928</v>
      </c>
      <c r="N1732" t="s">
        <v>155</v>
      </c>
      <c r="O1732" t="s">
        <v>156</v>
      </c>
      <c r="P1732">
        <v>4110057393</v>
      </c>
      <c r="Q1732" t="s">
        <v>192</v>
      </c>
      <c r="R1732">
        <v>5000</v>
      </c>
      <c r="S1732" t="s">
        <v>166</v>
      </c>
      <c r="V1732" t="s">
        <v>167</v>
      </c>
      <c r="W1732">
        <v>1502020122</v>
      </c>
      <c r="X1732" t="s">
        <v>70</v>
      </c>
      <c r="Y1732" t="str">
        <f>VLOOKUP(W1732,Sheet4!$A$5:$B$72,2,0)</f>
        <v>MAX UG NEW EV</v>
      </c>
      <c r="Z1732">
        <v>87082900</v>
      </c>
      <c r="AA1732">
        <v>10</v>
      </c>
      <c r="AB1732" t="s">
        <v>159</v>
      </c>
      <c r="AC1732" s="24">
        <v>9566.51</v>
      </c>
      <c r="AD1732" t="s">
        <v>160</v>
      </c>
      <c r="AE1732" s="24">
        <v>95665.1</v>
      </c>
      <c r="AF1732">
        <v>0</v>
      </c>
      <c r="AG1732" s="24">
        <v>95665.1</v>
      </c>
      <c r="AH1732">
        <v>0</v>
      </c>
      <c r="AI1732">
        <v>0</v>
      </c>
      <c r="AJ1732">
        <v>0</v>
      </c>
      <c r="AK1732">
        <v>0</v>
      </c>
      <c r="AL1732" s="24">
        <v>95665.1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 s="24">
        <v>95665.1</v>
      </c>
      <c r="AV1732">
        <v>0</v>
      </c>
      <c r="AW1732">
        <v>0</v>
      </c>
      <c r="AX1732">
        <v>311000</v>
      </c>
      <c r="AY1732" t="s">
        <v>161</v>
      </c>
      <c r="AZ1732">
        <v>0</v>
      </c>
      <c r="BA1732">
        <v>61</v>
      </c>
      <c r="BB1732">
        <v>-61</v>
      </c>
      <c r="BC1732" t="s">
        <v>193</v>
      </c>
      <c r="BD1732">
        <v>1509</v>
      </c>
      <c r="BE1732" t="s">
        <v>169</v>
      </c>
      <c r="BF1732">
        <v>5094259977</v>
      </c>
      <c r="BG1732" t="s">
        <v>368</v>
      </c>
    </row>
    <row r="1733" spans="1:59">
      <c r="A1733">
        <v>1115</v>
      </c>
      <c r="B1733">
        <v>1115</v>
      </c>
      <c r="C1733">
        <v>10</v>
      </c>
      <c r="D1733">
        <v>2</v>
      </c>
      <c r="E1733" t="s">
        <v>152</v>
      </c>
      <c r="F1733" t="s">
        <v>153</v>
      </c>
      <c r="G1733" t="s">
        <v>154</v>
      </c>
      <c r="H1733">
        <v>1526007281</v>
      </c>
      <c r="I1733">
        <v>1000007574</v>
      </c>
      <c r="L1733" t="s">
        <v>368</v>
      </c>
      <c r="M1733">
        <v>5100001928</v>
      </c>
      <c r="N1733" t="s">
        <v>155</v>
      </c>
      <c r="O1733" t="s">
        <v>156</v>
      </c>
      <c r="P1733">
        <v>4110057393</v>
      </c>
      <c r="Q1733" t="s">
        <v>192</v>
      </c>
      <c r="R1733">
        <v>5000</v>
      </c>
      <c r="S1733" t="s">
        <v>166</v>
      </c>
      <c r="V1733" t="s">
        <v>167</v>
      </c>
      <c r="W1733">
        <v>1502020122</v>
      </c>
      <c r="X1733" t="s">
        <v>70</v>
      </c>
      <c r="Y1733" t="str">
        <f>VLOOKUP(W1733,Sheet4!$A$5:$B$72,2,0)</f>
        <v>MAX UG NEW EV</v>
      </c>
      <c r="Z1733">
        <v>87082900</v>
      </c>
      <c r="AA1733">
        <v>10</v>
      </c>
      <c r="AB1733" t="s">
        <v>159</v>
      </c>
      <c r="AC1733" s="24">
        <v>9566.51</v>
      </c>
      <c r="AD1733" t="s">
        <v>160</v>
      </c>
      <c r="AE1733" s="24">
        <v>95665.1</v>
      </c>
      <c r="AF1733">
        <v>0</v>
      </c>
      <c r="AG1733" s="24">
        <v>95665.1</v>
      </c>
      <c r="AH1733">
        <v>0</v>
      </c>
      <c r="AI1733">
        <v>0</v>
      </c>
      <c r="AJ1733">
        <v>0</v>
      </c>
      <c r="AK1733">
        <v>0</v>
      </c>
      <c r="AL1733" s="24">
        <v>95665.1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 s="24">
        <v>95665.1</v>
      </c>
      <c r="AV1733">
        <v>0</v>
      </c>
      <c r="AW1733">
        <v>0</v>
      </c>
      <c r="AX1733">
        <v>311000</v>
      </c>
      <c r="AY1733" t="s">
        <v>161</v>
      </c>
      <c r="AZ1733">
        <v>0</v>
      </c>
      <c r="BA1733">
        <v>61</v>
      </c>
      <c r="BB1733">
        <v>-61</v>
      </c>
      <c r="BC1733" t="s">
        <v>193</v>
      </c>
      <c r="BD1733">
        <v>1509</v>
      </c>
      <c r="BE1733" t="s">
        <v>169</v>
      </c>
      <c r="BF1733">
        <v>5094265694</v>
      </c>
      <c r="BG1733" t="s">
        <v>368</v>
      </c>
    </row>
    <row r="1734" spans="1:59">
      <c r="A1734">
        <v>1115</v>
      </c>
      <c r="B1734">
        <v>1115</v>
      </c>
      <c r="C1734">
        <v>10</v>
      </c>
      <c r="D1734">
        <v>2</v>
      </c>
      <c r="E1734" t="s">
        <v>152</v>
      </c>
      <c r="F1734" t="s">
        <v>153</v>
      </c>
      <c r="G1734" t="s">
        <v>154</v>
      </c>
      <c r="H1734">
        <v>1526007280</v>
      </c>
      <c r="I1734">
        <v>1000007573</v>
      </c>
      <c r="L1734" t="s">
        <v>368</v>
      </c>
      <c r="M1734">
        <v>5100001928</v>
      </c>
      <c r="N1734" t="s">
        <v>155</v>
      </c>
      <c r="O1734" t="s">
        <v>156</v>
      </c>
      <c r="P1734">
        <v>4110057393</v>
      </c>
      <c r="Q1734" t="s">
        <v>192</v>
      </c>
      <c r="R1734">
        <v>5000</v>
      </c>
      <c r="S1734" t="s">
        <v>166</v>
      </c>
      <c r="V1734" t="s">
        <v>167</v>
      </c>
      <c r="W1734">
        <v>1502020122</v>
      </c>
      <c r="X1734" t="s">
        <v>70</v>
      </c>
      <c r="Y1734" t="str">
        <f>VLOOKUP(W1734,Sheet4!$A$5:$B$72,2,0)</f>
        <v>MAX UG NEW EV</v>
      </c>
      <c r="Z1734">
        <v>87082900</v>
      </c>
      <c r="AA1734">
        <v>10</v>
      </c>
      <c r="AB1734" t="s">
        <v>159</v>
      </c>
      <c r="AC1734" s="24">
        <v>9566.51</v>
      </c>
      <c r="AD1734" t="s">
        <v>160</v>
      </c>
      <c r="AE1734" s="24">
        <v>95665.1</v>
      </c>
      <c r="AF1734">
        <v>0</v>
      </c>
      <c r="AG1734" s="24">
        <v>95665.1</v>
      </c>
      <c r="AH1734">
        <v>0</v>
      </c>
      <c r="AI1734">
        <v>0</v>
      </c>
      <c r="AJ1734">
        <v>0</v>
      </c>
      <c r="AK1734">
        <v>0</v>
      </c>
      <c r="AL1734" s="24">
        <v>95665.1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 s="24">
        <v>95665.1</v>
      </c>
      <c r="AV1734">
        <v>0</v>
      </c>
      <c r="AW1734">
        <v>0</v>
      </c>
      <c r="AX1734">
        <v>311000</v>
      </c>
      <c r="AY1734" t="s">
        <v>161</v>
      </c>
      <c r="AZ1734">
        <v>0</v>
      </c>
      <c r="BA1734">
        <v>61</v>
      </c>
      <c r="BB1734">
        <v>-61</v>
      </c>
      <c r="BC1734" t="s">
        <v>193</v>
      </c>
      <c r="BD1734">
        <v>1509</v>
      </c>
      <c r="BE1734" t="s">
        <v>169</v>
      </c>
      <c r="BF1734">
        <v>5094259073</v>
      </c>
      <c r="BG1734" t="s">
        <v>368</v>
      </c>
    </row>
    <row r="1735" spans="1:59">
      <c r="A1735">
        <v>1115</v>
      </c>
      <c r="B1735">
        <v>1115</v>
      </c>
      <c r="C1735">
        <v>10</v>
      </c>
      <c r="D1735">
        <v>2</v>
      </c>
      <c r="E1735" t="s">
        <v>152</v>
      </c>
      <c r="F1735" t="s">
        <v>153</v>
      </c>
      <c r="G1735" t="s">
        <v>154</v>
      </c>
      <c r="H1735">
        <v>1526007278</v>
      </c>
      <c r="I1735">
        <v>1000007571</v>
      </c>
      <c r="L1735" t="s">
        <v>368</v>
      </c>
      <c r="M1735">
        <v>5100001919</v>
      </c>
      <c r="N1735" t="s">
        <v>155</v>
      </c>
      <c r="O1735" t="s">
        <v>156</v>
      </c>
      <c r="P1735">
        <v>5500000930</v>
      </c>
      <c r="Q1735" t="s">
        <v>157</v>
      </c>
      <c r="R1735">
        <v>5356</v>
      </c>
      <c r="S1735" t="s">
        <v>158</v>
      </c>
      <c r="W1735">
        <v>1502010011</v>
      </c>
      <c r="X1735" t="s">
        <v>35</v>
      </c>
      <c r="Y1735" t="str">
        <f>VLOOKUP(W1735,Sheet4!$A$5:$B$72,2,0)</f>
        <v>REAR MUDGAURD</v>
      </c>
      <c r="Z1735">
        <v>87082900</v>
      </c>
      <c r="AA1735">
        <v>432</v>
      </c>
      <c r="AB1735" t="s">
        <v>159</v>
      </c>
      <c r="AC1735">
        <v>89.25</v>
      </c>
      <c r="AD1735" t="s">
        <v>160</v>
      </c>
      <c r="AE1735" s="24">
        <v>38556</v>
      </c>
      <c r="AF1735">
        <v>0</v>
      </c>
      <c r="AG1735" s="24">
        <v>38556</v>
      </c>
      <c r="AH1735">
        <v>0</v>
      </c>
      <c r="AI1735">
        <v>0</v>
      </c>
      <c r="AJ1735">
        <v>0</v>
      </c>
      <c r="AK1735">
        <v>0</v>
      </c>
      <c r="AL1735" s="24">
        <v>38556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 s="24">
        <v>38556</v>
      </c>
      <c r="AV1735">
        <v>0</v>
      </c>
      <c r="AW1735">
        <v>0</v>
      </c>
      <c r="AX1735">
        <v>311000</v>
      </c>
      <c r="AY1735" t="s">
        <v>161</v>
      </c>
      <c r="AZ1735">
        <v>1.32</v>
      </c>
      <c r="BA1735">
        <v>0.72399999999999998</v>
      </c>
      <c r="BB1735">
        <v>0.59599999999999997</v>
      </c>
      <c r="BC1735">
        <v>2000001017</v>
      </c>
      <c r="BD1735">
        <v>1508</v>
      </c>
      <c r="BE1735" t="s">
        <v>162</v>
      </c>
      <c r="BF1735" t="s">
        <v>163</v>
      </c>
      <c r="BG1735" t="s">
        <v>164</v>
      </c>
    </row>
    <row r="1736" spans="1:59">
      <c r="A1736">
        <v>1115</v>
      </c>
      <c r="B1736">
        <v>1115</v>
      </c>
      <c r="C1736">
        <v>10</v>
      </c>
      <c r="D1736">
        <v>2</v>
      </c>
      <c r="E1736" t="s">
        <v>152</v>
      </c>
      <c r="F1736" t="s">
        <v>153</v>
      </c>
      <c r="G1736" t="s">
        <v>154</v>
      </c>
      <c r="H1736">
        <v>1526007277</v>
      </c>
      <c r="I1736">
        <v>1000007570</v>
      </c>
      <c r="L1736" t="s">
        <v>368</v>
      </c>
      <c r="M1736">
        <v>5100001919</v>
      </c>
      <c r="N1736" t="s">
        <v>155</v>
      </c>
      <c r="O1736" t="s">
        <v>156</v>
      </c>
      <c r="P1736">
        <v>5500000930</v>
      </c>
      <c r="Q1736" t="s">
        <v>157</v>
      </c>
      <c r="R1736">
        <v>5356</v>
      </c>
      <c r="S1736" t="s">
        <v>158</v>
      </c>
      <c r="W1736">
        <v>1502010011</v>
      </c>
      <c r="X1736" t="s">
        <v>35</v>
      </c>
      <c r="Y1736" t="str">
        <f>VLOOKUP(W1736,Sheet4!$A$5:$B$72,2,0)</f>
        <v>REAR MUDGAURD</v>
      </c>
      <c r="Z1736">
        <v>87082900</v>
      </c>
      <c r="AA1736">
        <v>432</v>
      </c>
      <c r="AB1736" t="s">
        <v>159</v>
      </c>
      <c r="AC1736">
        <v>89.25</v>
      </c>
      <c r="AD1736" t="s">
        <v>160</v>
      </c>
      <c r="AE1736" s="24">
        <v>38556</v>
      </c>
      <c r="AF1736">
        <v>0</v>
      </c>
      <c r="AG1736" s="24">
        <v>38556</v>
      </c>
      <c r="AH1736">
        <v>0</v>
      </c>
      <c r="AI1736">
        <v>0</v>
      </c>
      <c r="AJ1736">
        <v>0</v>
      </c>
      <c r="AK1736">
        <v>0</v>
      </c>
      <c r="AL1736" s="24">
        <v>38556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 s="24">
        <v>38556</v>
      </c>
      <c r="AV1736">
        <v>0</v>
      </c>
      <c r="AW1736">
        <v>0</v>
      </c>
      <c r="AX1736">
        <v>311000</v>
      </c>
      <c r="AY1736" t="s">
        <v>161</v>
      </c>
      <c r="AZ1736">
        <v>1.32</v>
      </c>
      <c r="BA1736">
        <v>0.72399999999999998</v>
      </c>
      <c r="BB1736">
        <v>0.59599999999999997</v>
      </c>
      <c r="BC1736">
        <v>2000001017</v>
      </c>
      <c r="BD1736">
        <v>1508</v>
      </c>
      <c r="BE1736" t="s">
        <v>162</v>
      </c>
      <c r="BF1736" t="s">
        <v>163</v>
      </c>
      <c r="BG1736" t="s">
        <v>164</v>
      </c>
    </row>
    <row r="1737" spans="1:59">
      <c r="A1737">
        <v>1115</v>
      </c>
      <c r="B1737">
        <v>1115</v>
      </c>
      <c r="C1737">
        <v>10</v>
      </c>
      <c r="D1737">
        <v>2</v>
      </c>
      <c r="E1737" t="s">
        <v>152</v>
      </c>
      <c r="F1737" t="s">
        <v>153</v>
      </c>
      <c r="G1737" t="s">
        <v>154</v>
      </c>
      <c r="H1737">
        <v>1526007276</v>
      </c>
      <c r="I1737">
        <v>1000007569</v>
      </c>
      <c r="L1737" t="s">
        <v>368</v>
      </c>
      <c r="M1737">
        <v>5100001919</v>
      </c>
      <c r="N1737" t="s">
        <v>155</v>
      </c>
      <c r="O1737" t="s">
        <v>156</v>
      </c>
      <c r="P1737">
        <v>5500000930</v>
      </c>
      <c r="Q1737" t="s">
        <v>157</v>
      </c>
      <c r="R1737">
        <v>5356</v>
      </c>
      <c r="S1737" t="s">
        <v>158</v>
      </c>
      <c r="W1737">
        <v>1502010011</v>
      </c>
      <c r="X1737" t="s">
        <v>35</v>
      </c>
      <c r="Y1737" t="str">
        <f>VLOOKUP(W1737,Sheet4!$A$5:$B$72,2,0)</f>
        <v>REAR MUDGAURD</v>
      </c>
      <c r="Z1737">
        <v>87082900</v>
      </c>
      <c r="AA1737">
        <v>432</v>
      </c>
      <c r="AB1737" t="s">
        <v>159</v>
      </c>
      <c r="AC1737">
        <v>89.25</v>
      </c>
      <c r="AD1737" t="s">
        <v>160</v>
      </c>
      <c r="AE1737" s="24">
        <v>38556</v>
      </c>
      <c r="AF1737">
        <v>0</v>
      </c>
      <c r="AG1737" s="24">
        <v>38556</v>
      </c>
      <c r="AH1737">
        <v>0</v>
      </c>
      <c r="AI1737">
        <v>0</v>
      </c>
      <c r="AJ1737">
        <v>0</v>
      </c>
      <c r="AK1737">
        <v>0</v>
      </c>
      <c r="AL1737" s="24">
        <v>38556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 s="24">
        <v>38556</v>
      </c>
      <c r="AV1737">
        <v>0</v>
      </c>
      <c r="AW1737">
        <v>0</v>
      </c>
      <c r="AX1737">
        <v>311000</v>
      </c>
      <c r="AY1737" t="s">
        <v>161</v>
      </c>
      <c r="AZ1737">
        <v>1.32</v>
      </c>
      <c r="BA1737">
        <v>0.72399999999999998</v>
      </c>
      <c r="BB1737">
        <v>0.59599999999999997</v>
      </c>
      <c r="BC1737">
        <v>2000001017</v>
      </c>
      <c r="BD1737">
        <v>1508</v>
      </c>
      <c r="BE1737" t="s">
        <v>162</v>
      </c>
      <c r="BF1737" t="s">
        <v>163</v>
      </c>
      <c r="BG1737" t="s">
        <v>164</v>
      </c>
    </row>
    <row r="1738" spans="1:59">
      <c r="A1738">
        <v>1115</v>
      </c>
      <c r="B1738">
        <v>1115</v>
      </c>
      <c r="C1738">
        <v>10</v>
      </c>
      <c r="D1738">
        <v>2</v>
      </c>
      <c r="E1738" t="s">
        <v>152</v>
      </c>
      <c r="F1738" t="s">
        <v>153</v>
      </c>
      <c r="G1738" t="s">
        <v>154</v>
      </c>
      <c r="H1738">
        <v>1526007275</v>
      </c>
      <c r="I1738">
        <v>1000007568</v>
      </c>
      <c r="L1738" t="s">
        <v>368</v>
      </c>
      <c r="M1738">
        <v>5100001919</v>
      </c>
      <c r="N1738" t="s">
        <v>155</v>
      </c>
      <c r="O1738" t="s">
        <v>156</v>
      </c>
      <c r="P1738">
        <v>5500000930</v>
      </c>
      <c r="Q1738" t="s">
        <v>157</v>
      </c>
      <c r="R1738">
        <v>5356</v>
      </c>
      <c r="S1738" t="s">
        <v>158</v>
      </c>
      <c r="W1738">
        <v>1502010011</v>
      </c>
      <c r="X1738" t="s">
        <v>35</v>
      </c>
      <c r="Y1738" t="str">
        <f>VLOOKUP(W1738,Sheet4!$A$5:$B$72,2,0)</f>
        <v>REAR MUDGAURD</v>
      </c>
      <c r="Z1738">
        <v>87082900</v>
      </c>
      <c r="AA1738">
        <v>432</v>
      </c>
      <c r="AB1738" t="s">
        <v>159</v>
      </c>
      <c r="AC1738">
        <v>89.25</v>
      </c>
      <c r="AD1738" t="s">
        <v>160</v>
      </c>
      <c r="AE1738" s="24">
        <v>38556</v>
      </c>
      <c r="AF1738">
        <v>0</v>
      </c>
      <c r="AG1738" s="24">
        <v>38556</v>
      </c>
      <c r="AH1738">
        <v>0</v>
      </c>
      <c r="AI1738">
        <v>0</v>
      </c>
      <c r="AJ1738">
        <v>0</v>
      </c>
      <c r="AK1738">
        <v>0</v>
      </c>
      <c r="AL1738" s="24">
        <v>38556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 s="24">
        <v>38556</v>
      </c>
      <c r="AV1738">
        <v>0</v>
      </c>
      <c r="AW1738">
        <v>0</v>
      </c>
      <c r="AX1738">
        <v>311000</v>
      </c>
      <c r="AY1738" t="s">
        <v>161</v>
      </c>
      <c r="AZ1738">
        <v>1.32</v>
      </c>
      <c r="BA1738">
        <v>0.72399999999999998</v>
      </c>
      <c r="BB1738">
        <v>0.59599999999999997</v>
      </c>
      <c r="BC1738">
        <v>2000001017</v>
      </c>
      <c r="BD1738">
        <v>1508</v>
      </c>
      <c r="BE1738" t="s">
        <v>162</v>
      </c>
      <c r="BF1738" t="s">
        <v>163</v>
      </c>
      <c r="BG1738" t="s">
        <v>164</v>
      </c>
    </row>
    <row r="1739" spans="1:59">
      <c r="A1739">
        <v>1115</v>
      </c>
      <c r="B1739">
        <v>1115</v>
      </c>
      <c r="C1739">
        <v>10</v>
      </c>
      <c r="D1739">
        <v>2</v>
      </c>
      <c r="E1739" t="s">
        <v>152</v>
      </c>
      <c r="F1739" t="s">
        <v>153</v>
      </c>
      <c r="G1739" t="s">
        <v>154</v>
      </c>
      <c r="H1739">
        <v>1526007274</v>
      </c>
      <c r="I1739">
        <v>1000007567</v>
      </c>
      <c r="L1739" t="s">
        <v>368</v>
      </c>
      <c r="M1739">
        <v>5100001919</v>
      </c>
      <c r="N1739" t="s">
        <v>155</v>
      </c>
      <c r="O1739" t="s">
        <v>156</v>
      </c>
      <c r="P1739">
        <v>5500000930</v>
      </c>
      <c r="Q1739" t="s">
        <v>157</v>
      </c>
      <c r="R1739">
        <v>5356</v>
      </c>
      <c r="S1739" t="s">
        <v>158</v>
      </c>
      <c r="W1739">
        <v>1502010011</v>
      </c>
      <c r="X1739" t="s">
        <v>35</v>
      </c>
      <c r="Y1739" t="str">
        <f>VLOOKUP(W1739,Sheet4!$A$5:$B$72,2,0)</f>
        <v>REAR MUDGAURD</v>
      </c>
      <c r="Z1739">
        <v>87082900</v>
      </c>
      <c r="AA1739">
        <v>432</v>
      </c>
      <c r="AB1739" t="s">
        <v>159</v>
      </c>
      <c r="AC1739">
        <v>89.25</v>
      </c>
      <c r="AD1739" t="s">
        <v>160</v>
      </c>
      <c r="AE1739" s="24">
        <v>38556</v>
      </c>
      <c r="AF1739">
        <v>0</v>
      </c>
      <c r="AG1739" s="24">
        <v>38556</v>
      </c>
      <c r="AH1739">
        <v>0</v>
      </c>
      <c r="AI1739">
        <v>0</v>
      </c>
      <c r="AJ1739">
        <v>0</v>
      </c>
      <c r="AK1739">
        <v>0</v>
      </c>
      <c r="AL1739" s="24">
        <v>38556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 s="24">
        <v>38556</v>
      </c>
      <c r="AV1739">
        <v>0</v>
      </c>
      <c r="AW1739">
        <v>0</v>
      </c>
      <c r="AX1739">
        <v>311000</v>
      </c>
      <c r="AY1739" t="s">
        <v>161</v>
      </c>
      <c r="AZ1739">
        <v>1.32</v>
      </c>
      <c r="BA1739">
        <v>0.72399999999999998</v>
      </c>
      <c r="BB1739">
        <v>0.59599999999999997</v>
      </c>
      <c r="BC1739">
        <v>2000001017</v>
      </c>
      <c r="BD1739">
        <v>1508</v>
      </c>
      <c r="BE1739" t="s">
        <v>162</v>
      </c>
      <c r="BF1739" t="s">
        <v>163</v>
      </c>
      <c r="BG1739" t="s">
        <v>164</v>
      </c>
    </row>
    <row r="1740" spans="1:59">
      <c r="A1740">
        <v>1115</v>
      </c>
      <c r="B1740">
        <v>1115</v>
      </c>
      <c r="C1740">
        <v>10</v>
      </c>
      <c r="D1740">
        <v>2</v>
      </c>
      <c r="E1740" t="s">
        <v>152</v>
      </c>
      <c r="F1740" t="s">
        <v>153</v>
      </c>
      <c r="G1740" t="s">
        <v>154</v>
      </c>
      <c r="H1740">
        <v>1526007273</v>
      </c>
      <c r="I1740">
        <v>1000007566</v>
      </c>
      <c r="L1740" t="s">
        <v>368</v>
      </c>
      <c r="M1740">
        <v>5100001919</v>
      </c>
      <c r="N1740" t="s">
        <v>155</v>
      </c>
      <c r="O1740" t="s">
        <v>156</v>
      </c>
      <c r="P1740">
        <v>5500000930</v>
      </c>
      <c r="Q1740" t="s">
        <v>157</v>
      </c>
      <c r="R1740">
        <v>5356</v>
      </c>
      <c r="S1740" t="s">
        <v>158</v>
      </c>
      <c r="W1740">
        <v>1502010011</v>
      </c>
      <c r="X1740" t="s">
        <v>35</v>
      </c>
      <c r="Y1740" t="str">
        <f>VLOOKUP(W1740,Sheet4!$A$5:$B$72,2,0)</f>
        <v>REAR MUDGAURD</v>
      </c>
      <c r="Z1740">
        <v>87082900</v>
      </c>
      <c r="AA1740">
        <v>432</v>
      </c>
      <c r="AB1740" t="s">
        <v>159</v>
      </c>
      <c r="AC1740">
        <v>89.25</v>
      </c>
      <c r="AD1740" t="s">
        <v>160</v>
      </c>
      <c r="AE1740" s="24">
        <v>38556</v>
      </c>
      <c r="AF1740">
        <v>0</v>
      </c>
      <c r="AG1740" s="24">
        <v>38556</v>
      </c>
      <c r="AH1740">
        <v>0</v>
      </c>
      <c r="AI1740">
        <v>0</v>
      </c>
      <c r="AJ1740">
        <v>0</v>
      </c>
      <c r="AK1740">
        <v>0</v>
      </c>
      <c r="AL1740" s="24">
        <v>38556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 s="24">
        <v>38556</v>
      </c>
      <c r="AV1740">
        <v>0</v>
      </c>
      <c r="AW1740">
        <v>0</v>
      </c>
      <c r="AX1740">
        <v>311000</v>
      </c>
      <c r="AY1740" t="s">
        <v>161</v>
      </c>
      <c r="AZ1740">
        <v>1.32</v>
      </c>
      <c r="BA1740">
        <v>0.72399999999999998</v>
      </c>
      <c r="BB1740">
        <v>0.59599999999999997</v>
      </c>
      <c r="BC1740">
        <v>2000001017</v>
      </c>
      <c r="BD1740">
        <v>1508</v>
      </c>
      <c r="BE1740" t="s">
        <v>162</v>
      </c>
      <c r="BF1740" t="s">
        <v>163</v>
      </c>
      <c r="BG1740" t="s">
        <v>164</v>
      </c>
    </row>
    <row r="1741" spans="1:59">
      <c r="A1741">
        <v>1115</v>
      </c>
      <c r="B1741">
        <v>1115</v>
      </c>
      <c r="C1741">
        <v>10</v>
      </c>
      <c r="D1741">
        <v>2</v>
      </c>
      <c r="E1741" t="s">
        <v>152</v>
      </c>
      <c r="F1741" t="s">
        <v>153</v>
      </c>
      <c r="G1741" t="s">
        <v>154</v>
      </c>
      <c r="H1741">
        <v>1526007272</v>
      </c>
      <c r="I1741">
        <v>1000007565</v>
      </c>
      <c r="L1741" t="s">
        <v>368</v>
      </c>
      <c r="M1741">
        <v>5100001919</v>
      </c>
      <c r="N1741" t="s">
        <v>155</v>
      </c>
      <c r="O1741" t="s">
        <v>156</v>
      </c>
      <c r="P1741">
        <v>5500000930</v>
      </c>
      <c r="Q1741" t="s">
        <v>157</v>
      </c>
      <c r="R1741">
        <v>5356</v>
      </c>
      <c r="S1741" t="s">
        <v>158</v>
      </c>
      <c r="W1741">
        <v>1502010011</v>
      </c>
      <c r="X1741" t="s">
        <v>35</v>
      </c>
      <c r="Y1741" t="str">
        <f>VLOOKUP(W1741,Sheet4!$A$5:$B$72,2,0)</f>
        <v>REAR MUDGAURD</v>
      </c>
      <c r="Z1741">
        <v>87082900</v>
      </c>
      <c r="AA1741">
        <v>432</v>
      </c>
      <c r="AB1741" t="s">
        <v>159</v>
      </c>
      <c r="AC1741">
        <v>89.25</v>
      </c>
      <c r="AD1741" t="s">
        <v>160</v>
      </c>
      <c r="AE1741" s="24">
        <v>38556</v>
      </c>
      <c r="AF1741">
        <v>0</v>
      </c>
      <c r="AG1741" s="24">
        <v>38556</v>
      </c>
      <c r="AH1741">
        <v>0</v>
      </c>
      <c r="AI1741">
        <v>0</v>
      </c>
      <c r="AJ1741">
        <v>0</v>
      </c>
      <c r="AK1741">
        <v>0</v>
      </c>
      <c r="AL1741" s="24">
        <v>38556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 s="24">
        <v>38556</v>
      </c>
      <c r="AV1741">
        <v>0</v>
      </c>
      <c r="AW1741">
        <v>0</v>
      </c>
      <c r="AX1741">
        <v>311000</v>
      </c>
      <c r="AY1741" t="s">
        <v>161</v>
      </c>
      <c r="AZ1741">
        <v>1.32</v>
      </c>
      <c r="BA1741">
        <v>0.72399999999999998</v>
      </c>
      <c r="BB1741">
        <v>0.59599999999999997</v>
      </c>
      <c r="BC1741">
        <v>2000001017</v>
      </c>
      <c r="BD1741">
        <v>1508</v>
      </c>
      <c r="BE1741" t="s">
        <v>162</v>
      </c>
      <c r="BF1741" t="s">
        <v>163</v>
      </c>
      <c r="BG1741" t="s">
        <v>164</v>
      </c>
    </row>
    <row r="1742" spans="1:59">
      <c r="A1742">
        <v>1115</v>
      </c>
      <c r="B1742">
        <v>1115</v>
      </c>
      <c r="C1742">
        <v>10</v>
      </c>
      <c r="D1742">
        <v>2</v>
      </c>
      <c r="E1742" t="s">
        <v>152</v>
      </c>
      <c r="F1742" t="s">
        <v>153</v>
      </c>
      <c r="G1742" t="s">
        <v>154</v>
      </c>
      <c r="H1742">
        <v>1526007271</v>
      </c>
      <c r="I1742">
        <v>1000007564</v>
      </c>
      <c r="L1742" t="s">
        <v>368</v>
      </c>
      <c r="M1742">
        <v>5100001919</v>
      </c>
      <c r="N1742" t="s">
        <v>155</v>
      </c>
      <c r="O1742" t="s">
        <v>156</v>
      </c>
      <c r="P1742">
        <v>5500000930</v>
      </c>
      <c r="Q1742" t="s">
        <v>157</v>
      </c>
      <c r="R1742">
        <v>5356</v>
      </c>
      <c r="S1742" t="s">
        <v>158</v>
      </c>
      <c r="W1742">
        <v>1502010011</v>
      </c>
      <c r="X1742" t="s">
        <v>35</v>
      </c>
      <c r="Y1742" t="str">
        <f>VLOOKUP(W1742,Sheet4!$A$5:$B$72,2,0)</f>
        <v>REAR MUDGAURD</v>
      </c>
      <c r="Z1742">
        <v>87082900</v>
      </c>
      <c r="AA1742">
        <v>432</v>
      </c>
      <c r="AB1742" t="s">
        <v>159</v>
      </c>
      <c r="AC1742">
        <v>89.25</v>
      </c>
      <c r="AD1742" t="s">
        <v>160</v>
      </c>
      <c r="AE1742" s="24">
        <v>38556</v>
      </c>
      <c r="AF1742">
        <v>0</v>
      </c>
      <c r="AG1742" s="24">
        <v>38556</v>
      </c>
      <c r="AH1742">
        <v>0</v>
      </c>
      <c r="AI1742">
        <v>0</v>
      </c>
      <c r="AJ1742">
        <v>0</v>
      </c>
      <c r="AK1742">
        <v>0</v>
      </c>
      <c r="AL1742" s="24">
        <v>38556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 s="24">
        <v>38556</v>
      </c>
      <c r="AV1742">
        <v>0</v>
      </c>
      <c r="AW1742">
        <v>0</v>
      </c>
      <c r="AX1742">
        <v>311000</v>
      </c>
      <c r="AY1742" t="s">
        <v>161</v>
      </c>
      <c r="AZ1742">
        <v>1.32</v>
      </c>
      <c r="BA1742">
        <v>0.72399999999999998</v>
      </c>
      <c r="BB1742">
        <v>0.59599999999999997</v>
      </c>
      <c r="BC1742">
        <v>2000001017</v>
      </c>
      <c r="BD1742">
        <v>1508</v>
      </c>
      <c r="BE1742" t="s">
        <v>162</v>
      </c>
      <c r="BF1742" t="s">
        <v>163</v>
      </c>
      <c r="BG1742" t="s">
        <v>164</v>
      </c>
    </row>
    <row r="1743" spans="1:59">
      <c r="A1743">
        <v>1115</v>
      </c>
      <c r="B1743">
        <v>1115</v>
      </c>
      <c r="C1743">
        <v>10</v>
      </c>
      <c r="D1743">
        <v>2</v>
      </c>
      <c r="E1743" t="s">
        <v>152</v>
      </c>
      <c r="F1743" t="s">
        <v>153</v>
      </c>
      <c r="G1743" t="s">
        <v>154</v>
      </c>
      <c r="H1743">
        <v>1526007270</v>
      </c>
      <c r="I1743">
        <v>1000007563</v>
      </c>
      <c r="L1743" t="s">
        <v>368</v>
      </c>
      <c r="M1743">
        <v>5100001919</v>
      </c>
      <c r="N1743" t="s">
        <v>155</v>
      </c>
      <c r="O1743" t="s">
        <v>156</v>
      </c>
      <c r="P1743">
        <v>5500000930</v>
      </c>
      <c r="Q1743" t="s">
        <v>157</v>
      </c>
      <c r="R1743">
        <v>5356</v>
      </c>
      <c r="S1743" t="s">
        <v>158</v>
      </c>
      <c r="W1743">
        <v>1502010011</v>
      </c>
      <c r="X1743" t="s">
        <v>35</v>
      </c>
      <c r="Y1743" t="str">
        <f>VLOOKUP(W1743,Sheet4!$A$5:$B$72,2,0)</f>
        <v>REAR MUDGAURD</v>
      </c>
      <c r="Z1743">
        <v>87082900</v>
      </c>
      <c r="AA1743">
        <v>432</v>
      </c>
      <c r="AB1743" t="s">
        <v>159</v>
      </c>
      <c r="AC1743">
        <v>89.25</v>
      </c>
      <c r="AD1743" t="s">
        <v>160</v>
      </c>
      <c r="AE1743" s="24">
        <v>38556</v>
      </c>
      <c r="AF1743">
        <v>0</v>
      </c>
      <c r="AG1743" s="24">
        <v>38556</v>
      </c>
      <c r="AH1743">
        <v>0</v>
      </c>
      <c r="AI1743">
        <v>0</v>
      </c>
      <c r="AJ1743">
        <v>0</v>
      </c>
      <c r="AK1743">
        <v>0</v>
      </c>
      <c r="AL1743" s="24">
        <v>38556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 s="24">
        <v>38556</v>
      </c>
      <c r="AV1743">
        <v>0</v>
      </c>
      <c r="AW1743">
        <v>0</v>
      </c>
      <c r="AX1743">
        <v>311000</v>
      </c>
      <c r="AY1743" t="s">
        <v>161</v>
      </c>
      <c r="AZ1743">
        <v>1.32</v>
      </c>
      <c r="BA1743">
        <v>0.72399999999999998</v>
      </c>
      <c r="BB1743">
        <v>0.59599999999999997</v>
      </c>
      <c r="BC1743">
        <v>2000001017</v>
      </c>
      <c r="BD1743">
        <v>1508</v>
      </c>
      <c r="BE1743" t="s">
        <v>162</v>
      </c>
      <c r="BF1743" t="s">
        <v>163</v>
      </c>
      <c r="BG1743" t="s">
        <v>164</v>
      </c>
    </row>
    <row r="1744" spans="1:59">
      <c r="A1744">
        <v>1115</v>
      </c>
      <c r="B1744">
        <v>1115</v>
      </c>
      <c r="C1744">
        <v>10</v>
      </c>
      <c r="D1744">
        <v>2</v>
      </c>
      <c r="E1744" t="s">
        <v>152</v>
      </c>
      <c r="F1744" t="s">
        <v>153</v>
      </c>
      <c r="G1744" t="s">
        <v>154</v>
      </c>
      <c r="H1744">
        <v>1526007269</v>
      </c>
      <c r="I1744">
        <v>1000007562</v>
      </c>
      <c r="L1744" t="s">
        <v>368</v>
      </c>
      <c r="M1744">
        <v>5100001928</v>
      </c>
      <c r="N1744" t="s">
        <v>155</v>
      </c>
      <c r="O1744" t="s">
        <v>156</v>
      </c>
      <c r="P1744">
        <v>4110057393</v>
      </c>
      <c r="Q1744" t="s">
        <v>192</v>
      </c>
      <c r="R1744">
        <v>5000</v>
      </c>
      <c r="S1744" t="s">
        <v>166</v>
      </c>
      <c r="V1744" t="s">
        <v>167</v>
      </c>
      <c r="W1744">
        <v>1502020122</v>
      </c>
      <c r="X1744" t="s">
        <v>70</v>
      </c>
      <c r="Y1744" t="str">
        <f>VLOOKUP(W1744,Sheet4!$A$5:$B$72,2,0)</f>
        <v>MAX UG NEW EV</v>
      </c>
      <c r="Z1744">
        <v>87082900</v>
      </c>
      <c r="AA1744">
        <v>10</v>
      </c>
      <c r="AB1744" t="s">
        <v>159</v>
      </c>
      <c r="AC1744" s="24">
        <v>9566.51</v>
      </c>
      <c r="AD1744" t="s">
        <v>160</v>
      </c>
      <c r="AE1744" s="24">
        <v>95665.1</v>
      </c>
      <c r="AF1744">
        <v>0</v>
      </c>
      <c r="AG1744" s="24">
        <v>95665.1</v>
      </c>
      <c r="AH1744">
        <v>0</v>
      </c>
      <c r="AI1744">
        <v>0</v>
      </c>
      <c r="AJ1744">
        <v>0</v>
      </c>
      <c r="AK1744">
        <v>0</v>
      </c>
      <c r="AL1744" s="24">
        <v>95665.1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 s="24">
        <v>95665.1</v>
      </c>
      <c r="AV1744">
        <v>0</v>
      </c>
      <c r="AW1744">
        <v>0</v>
      </c>
      <c r="AX1744">
        <v>311000</v>
      </c>
      <c r="AY1744" t="s">
        <v>161</v>
      </c>
      <c r="AZ1744">
        <v>0</v>
      </c>
      <c r="BA1744">
        <v>61</v>
      </c>
      <c r="BB1744">
        <v>-61</v>
      </c>
      <c r="BC1744" t="s">
        <v>193</v>
      </c>
      <c r="BD1744">
        <v>1509</v>
      </c>
      <c r="BE1744" t="s">
        <v>169</v>
      </c>
      <c r="BF1744">
        <v>5094259142</v>
      </c>
      <c r="BG1744" t="s">
        <v>368</v>
      </c>
    </row>
    <row r="1745" spans="1:59">
      <c r="A1745">
        <v>1115</v>
      </c>
      <c r="B1745">
        <v>1115</v>
      </c>
      <c r="C1745">
        <v>10</v>
      </c>
      <c r="D1745">
        <v>2</v>
      </c>
      <c r="E1745" t="s">
        <v>152</v>
      </c>
      <c r="F1745" t="s">
        <v>153</v>
      </c>
      <c r="G1745" t="s">
        <v>154</v>
      </c>
      <c r="H1745">
        <v>1526007268</v>
      </c>
      <c r="I1745">
        <v>1000007561</v>
      </c>
      <c r="L1745" t="s">
        <v>368</v>
      </c>
      <c r="M1745">
        <v>5100001928</v>
      </c>
      <c r="N1745" t="s">
        <v>155</v>
      </c>
      <c r="O1745" t="s">
        <v>156</v>
      </c>
      <c r="P1745">
        <v>4110057393</v>
      </c>
      <c r="Q1745" t="s">
        <v>192</v>
      </c>
      <c r="R1745">
        <v>5000</v>
      </c>
      <c r="S1745" t="s">
        <v>166</v>
      </c>
      <c r="V1745" t="s">
        <v>167</v>
      </c>
      <c r="W1745">
        <v>1502020122</v>
      </c>
      <c r="X1745" t="s">
        <v>70</v>
      </c>
      <c r="Y1745" t="str">
        <f>VLOOKUP(W1745,Sheet4!$A$5:$B$72,2,0)</f>
        <v>MAX UG NEW EV</v>
      </c>
      <c r="Z1745">
        <v>87082900</v>
      </c>
      <c r="AA1745">
        <v>10</v>
      </c>
      <c r="AB1745" t="s">
        <v>159</v>
      </c>
      <c r="AC1745" s="24">
        <v>9566.51</v>
      </c>
      <c r="AD1745" t="s">
        <v>160</v>
      </c>
      <c r="AE1745" s="24">
        <v>95665.1</v>
      </c>
      <c r="AF1745">
        <v>0</v>
      </c>
      <c r="AG1745" s="24">
        <v>95665.1</v>
      </c>
      <c r="AH1745">
        <v>0</v>
      </c>
      <c r="AI1745">
        <v>0</v>
      </c>
      <c r="AJ1745">
        <v>0</v>
      </c>
      <c r="AK1745">
        <v>0</v>
      </c>
      <c r="AL1745" s="24">
        <v>95665.1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 s="24">
        <v>95665.1</v>
      </c>
      <c r="AV1745">
        <v>0</v>
      </c>
      <c r="AW1745">
        <v>0</v>
      </c>
      <c r="AX1745">
        <v>311000</v>
      </c>
      <c r="AY1745" t="s">
        <v>161</v>
      </c>
      <c r="AZ1745">
        <v>0</v>
      </c>
      <c r="BA1745">
        <v>61</v>
      </c>
      <c r="BB1745">
        <v>-61</v>
      </c>
      <c r="BC1745" t="s">
        <v>193</v>
      </c>
      <c r="BD1745">
        <v>1509</v>
      </c>
      <c r="BE1745" t="s">
        <v>169</v>
      </c>
      <c r="BF1745">
        <v>5094257940</v>
      </c>
      <c r="BG1745" t="s">
        <v>368</v>
      </c>
    </row>
    <row r="1746" spans="1:59">
      <c r="A1746">
        <v>1115</v>
      </c>
      <c r="B1746">
        <v>1115</v>
      </c>
      <c r="C1746">
        <v>10</v>
      </c>
      <c r="D1746">
        <v>2</v>
      </c>
      <c r="E1746" t="s">
        <v>152</v>
      </c>
      <c r="F1746" t="s">
        <v>153</v>
      </c>
      <c r="G1746" t="s">
        <v>154</v>
      </c>
      <c r="H1746">
        <v>1526007267</v>
      </c>
      <c r="I1746">
        <v>1000007560</v>
      </c>
      <c r="L1746" t="s">
        <v>368</v>
      </c>
      <c r="M1746">
        <v>5100001928</v>
      </c>
      <c r="N1746" t="s">
        <v>155</v>
      </c>
      <c r="O1746" t="s">
        <v>156</v>
      </c>
      <c r="P1746">
        <v>4110057393</v>
      </c>
      <c r="Q1746" t="s">
        <v>192</v>
      </c>
      <c r="R1746">
        <v>5000</v>
      </c>
      <c r="S1746" t="s">
        <v>166</v>
      </c>
      <c r="V1746" t="s">
        <v>167</v>
      </c>
      <c r="W1746">
        <v>1502020122</v>
      </c>
      <c r="X1746" t="s">
        <v>70</v>
      </c>
      <c r="Y1746" t="str">
        <f>VLOOKUP(W1746,Sheet4!$A$5:$B$72,2,0)</f>
        <v>MAX UG NEW EV</v>
      </c>
      <c r="Z1746">
        <v>87082900</v>
      </c>
      <c r="AA1746">
        <v>10</v>
      </c>
      <c r="AB1746" t="s">
        <v>159</v>
      </c>
      <c r="AC1746" s="24">
        <v>9566.51</v>
      </c>
      <c r="AD1746" t="s">
        <v>160</v>
      </c>
      <c r="AE1746" s="24">
        <v>95665.1</v>
      </c>
      <c r="AF1746">
        <v>0</v>
      </c>
      <c r="AG1746" s="24">
        <v>95665.1</v>
      </c>
      <c r="AH1746">
        <v>0</v>
      </c>
      <c r="AI1746">
        <v>0</v>
      </c>
      <c r="AJ1746">
        <v>0</v>
      </c>
      <c r="AK1746">
        <v>0</v>
      </c>
      <c r="AL1746" s="24">
        <v>95665.1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 s="24">
        <v>95665.1</v>
      </c>
      <c r="AV1746">
        <v>0</v>
      </c>
      <c r="AW1746">
        <v>0</v>
      </c>
      <c r="AX1746">
        <v>311000</v>
      </c>
      <c r="AY1746" t="s">
        <v>161</v>
      </c>
      <c r="AZ1746">
        <v>0</v>
      </c>
      <c r="BA1746">
        <v>61</v>
      </c>
      <c r="BB1746">
        <v>-61</v>
      </c>
      <c r="BC1746" t="s">
        <v>193</v>
      </c>
      <c r="BD1746">
        <v>1509</v>
      </c>
      <c r="BE1746" t="s">
        <v>169</v>
      </c>
      <c r="BF1746">
        <v>5094257934</v>
      </c>
      <c r="BG1746" t="s">
        <v>368</v>
      </c>
    </row>
    <row r="1747" spans="1:59">
      <c r="A1747">
        <v>1115</v>
      </c>
      <c r="B1747">
        <v>1115</v>
      </c>
      <c r="C1747">
        <v>10</v>
      </c>
      <c r="D1747">
        <v>2</v>
      </c>
      <c r="E1747" t="s">
        <v>152</v>
      </c>
      <c r="F1747" t="s">
        <v>153</v>
      </c>
      <c r="G1747" t="s">
        <v>154</v>
      </c>
      <c r="H1747">
        <v>1526007266</v>
      </c>
      <c r="I1747">
        <v>1000007558</v>
      </c>
      <c r="L1747" t="s">
        <v>368</v>
      </c>
      <c r="M1747">
        <v>5100001603</v>
      </c>
      <c r="N1747" t="s">
        <v>155</v>
      </c>
      <c r="O1747" t="s">
        <v>156</v>
      </c>
      <c r="P1747">
        <v>4110025468</v>
      </c>
      <c r="Q1747" t="s">
        <v>165</v>
      </c>
      <c r="R1747">
        <v>5000</v>
      </c>
      <c r="S1747" t="s">
        <v>166</v>
      </c>
      <c r="V1747" t="s">
        <v>167</v>
      </c>
      <c r="W1747">
        <v>1502020102</v>
      </c>
      <c r="X1747" t="s">
        <v>58</v>
      </c>
      <c r="Y1747" t="str">
        <f>VLOOKUP(W1747,Sheet4!$A$5:$B$72,2,0)</f>
        <v>MAXIMA HD</v>
      </c>
      <c r="Z1747">
        <v>87082900</v>
      </c>
      <c r="AA1747">
        <v>8</v>
      </c>
      <c r="AB1747" t="s">
        <v>159</v>
      </c>
      <c r="AC1747" s="24">
        <v>8593.51</v>
      </c>
      <c r="AD1747" t="s">
        <v>160</v>
      </c>
      <c r="AE1747" s="24">
        <v>68748.08</v>
      </c>
      <c r="AF1747">
        <v>0</v>
      </c>
      <c r="AG1747" s="24">
        <v>68748.08</v>
      </c>
      <c r="AH1747">
        <v>0</v>
      </c>
      <c r="AI1747">
        <v>0</v>
      </c>
      <c r="AJ1747">
        <v>0</v>
      </c>
      <c r="AK1747">
        <v>0</v>
      </c>
      <c r="AL1747" s="24">
        <v>68748.08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 s="24">
        <v>68748.08</v>
      </c>
      <c r="AV1747">
        <v>0</v>
      </c>
      <c r="AW1747">
        <v>0</v>
      </c>
      <c r="AX1747">
        <v>311000</v>
      </c>
      <c r="AY1747" t="s">
        <v>161</v>
      </c>
      <c r="AZ1747">
        <v>93.34</v>
      </c>
      <c r="BA1747">
        <v>75.430000000000007</v>
      </c>
      <c r="BB1747">
        <v>17.91</v>
      </c>
      <c r="BC1747" t="s">
        <v>168</v>
      </c>
      <c r="BD1747">
        <v>1509</v>
      </c>
      <c r="BE1747" t="s">
        <v>169</v>
      </c>
      <c r="BF1747">
        <v>5094265614</v>
      </c>
      <c r="BG1747" t="s">
        <v>368</v>
      </c>
    </row>
    <row r="1748" spans="1:59">
      <c r="A1748">
        <v>1115</v>
      </c>
      <c r="B1748">
        <v>1115</v>
      </c>
      <c r="C1748">
        <v>10</v>
      </c>
      <c r="D1748">
        <v>2</v>
      </c>
      <c r="E1748" t="s">
        <v>152</v>
      </c>
      <c r="F1748" t="s">
        <v>153</v>
      </c>
      <c r="G1748" t="s">
        <v>154</v>
      </c>
      <c r="H1748">
        <v>1526007264</v>
      </c>
      <c r="I1748">
        <v>1000007556</v>
      </c>
      <c r="L1748" t="s">
        <v>368</v>
      </c>
      <c r="M1748">
        <v>5100001603</v>
      </c>
      <c r="N1748" t="s">
        <v>155</v>
      </c>
      <c r="O1748" t="s">
        <v>156</v>
      </c>
      <c r="P1748">
        <v>4110025468</v>
      </c>
      <c r="Q1748" t="s">
        <v>165</v>
      </c>
      <c r="R1748">
        <v>5000</v>
      </c>
      <c r="S1748" t="s">
        <v>166</v>
      </c>
      <c r="V1748" t="s">
        <v>167</v>
      </c>
      <c r="W1748">
        <v>1502020102</v>
      </c>
      <c r="X1748" t="s">
        <v>58</v>
      </c>
      <c r="Y1748" t="str">
        <f>VLOOKUP(W1748,Sheet4!$A$5:$B$72,2,0)</f>
        <v>MAXIMA HD</v>
      </c>
      <c r="Z1748">
        <v>87082900</v>
      </c>
      <c r="AA1748">
        <v>8</v>
      </c>
      <c r="AB1748" t="s">
        <v>159</v>
      </c>
      <c r="AC1748" s="24">
        <v>8593.51</v>
      </c>
      <c r="AD1748" t="s">
        <v>160</v>
      </c>
      <c r="AE1748" s="24">
        <v>68748.08</v>
      </c>
      <c r="AF1748">
        <v>0</v>
      </c>
      <c r="AG1748" s="24">
        <v>68748.08</v>
      </c>
      <c r="AH1748">
        <v>0</v>
      </c>
      <c r="AI1748">
        <v>0</v>
      </c>
      <c r="AJ1748">
        <v>0</v>
      </c>
      <c r="AK1748">
        <v>0</v>
      </c>
      <c r="AL1748" s="24">
        <v>68748.08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 s="24">
        <v>68748.08</v>
      </c>
      <c r="AV1748">
        <v>0</v>
      </c>
      <c r="AW1748">
        <v>0</v>
      </c>
      <c r="AX1748">
        <v>311000</v>
      </c>
      <c r="AY1748" t="s">
        <v>161</v>
      </c>
      <c r="AZ1748">
        <v>93.34</v>
      </c>
      <c r="BA1748">
        <v>75.430000000000007</v>
      </c>
      <c r="BB1748">
        <v>17.91</v>
      </c>
      <c r="BC1748" t="s">
        <v>168</v>
      </c>
      <c r="BD1748">
        <v>1509</v>
      </c>
      <c r="BE1748" t="s">
        <v>169</v>
      </c>
      <c r="BF1748">
        <v>5094265610</v>
      </c>
      <c r="BG1748" t="s">
        <v>368</v>
      </c>
    </row>
    <row r="1749" spans="1:59">
      <c r="A1749">
        <v>1115</v>
      </c>
      <c r="B1749">
        <v>1115</v>
      </c>
      <c r="C1749">
        <v>10</v>
      </c>
      <c r="D1749">
        <v>2</v>
      </c>
      <c r="E1749" t="s">
        <v>152</v>
      </c>
      <c r="F1749" t="s">
        <v>153</v>
      </c>
      <c r="G1749" t="s">
        <v>154</v>
      </c>
      <c r="H1749">
        <v>1526007263</v>
      </c>
      <c r="I1749">
        <v>1000007555</v>
      </c>
      <c r="L1749" t="s">
        <v>368</v>
      </c>
      <c r="M1749">
        <v>5100001919</v>
      </c>
      <c r="N1749" t="s">
        <v>155</v>
      </c>
      <c r="O1749" t="s">
        <v>156</v>
      </c>
      <c r="P1749">
        <v>5500000930</v>
      </c>
      <c r="Q1749" t="s">
        <v>157</v>
      </c>
      <c r="R1749">
        <v>5356</v>
      </c>
      <c r="S1749" t="s">
        <v>158</v>
      </c>
      <c r="W1749">
        <v>1402010547</v>
      </c>
      <c r="X1749" t="s">
        <v>369</v>
      </c>
      <c r="Y1749" t="str">
        <f>VLOOKUP(W1749,Sheet4!$A$5:$B$72,2,0)</f>
        <v>FRONT MUDGAURD</v>
      </c>
      <c r="Z1749">
        <v>87082900</v>
      </c>
      <c r="AA1749">
        <v>140</v>
      </c>
      <c r="AB1749" t="s">
        <v>159</v>
      </c>
      <c r="AC1749">
        <v>108.65</v>
      </c>
      <c r="AD1749" t="s">
        <v>160</v>
      </c>
      <c r="AE1749" s="24">
        <v>15211</v>
      </c>
      <c r="AF1749">
        <v>0</v>
      </c>
      <c r="AG1749" s="24">
        <v>15211</v>
      </c>
      <c r="AH1749">
        <v>0</v>
      </c>
      <c r="AI1749">
        <v>0</v>
      </c>
      <c r="AJ1749">
        <v>0</v>
      </c>
      <c r="AK1749">
        <v>0</v>
      </c>
      <c r="AL1749" s="24">
        <v>15211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 s="24">
        <v>15211</v>
      </c>
      <c r="AV1749">
        <v>0</v>
      </c>
      <c r="AW1749">
        <v>0</v>
      </c>
      <c r="AX1749">
        <v>311001</v>
      </c>
      <c r="AY1749" t="s">
        <v>370</v>
      </c>
      <c r="AZ1749">
        <v>1.75</v>
      </c>
      <c r="BA1749">
        <v>1.75</v>
      </c>
      <c r="BB1749">
        <v>0</v>
      </c>
      <c r="BC1749">
        <v>2000001019</v>
      </c>
      <c r="BD1749">
        <v>1402</v>
      </c>
      <c r="BE1749" t="s">
        <v>371</v>
      </c>
      <c r="BF1749" t="s">
        <v>163</v>
      </c>
      <c r="BG1749" t="s">
        <v>164</v>
      </c>
    </row>
    <row r="1750" spans="1:59">
      <c r="A1750">
        <v>1115</v>
      </c>
      <c r="B1750">
        <v>1115</v>
      </c>
      <c r="C1750">
        <v>10</v>
      </c>
      <c r="D1750">
        <v>2</v>
      </c>
      <c r="E1750" t="s">
        <v>152</v>
      </c>
      <c r="F1750" t="s">
        <v>153</v>
      </c>
      <c r="G1750" t="s">
        <v>154</v>
      </c>
      <c r="H1750">
        <v>1526007219</v>
      </c>
      <c r="I1750">
        <v>1000007507</v>
      </c>
      <c r="L1750" t="s">
        <v>368</v>
      </c>
      <c r="M1750">
        <v>5100001588</v>
      </c>
      <c r="N1750" t="s">
        <v>155</v>
      </c>
      <c r="O1750" t="s">
        <v>156</v>
      </c>
      <c r="P1750">
        <v>4110025058</v>
      </c>
      <c r="Q1750" t="s">
        <v>180</v>
      </c>
      <c r="R1750">
        <v>5000</v>
      </c>
      <c r="S1750" t="s">
        <v>166</v>
      </c>
      <c r="V1750" t="s">
        <v>167</v>
      </c>
      <c r="W1750">
        <v>1502040235</v>
      </c>
      <c r="X1750" t="s">
        <v>47</v>
      </c>
      <c r="Y1750" t="str">
        <f>VLOOKUP(W1750,Sheet4!$A$5:$B$72,2,0)</f>
        <v>STARTING HANDLE</v>
      </c>
      <c r="Z1750">
        <v>87082900</v>
      </c>
      <c r="AA1750">
        <v>300</v>
      </c>
      <c r="AB1750" t="s">
        <v>159</v>
      </c>
      <c r="AC1750">
        <v>217.33</v>
      </c>
      <c r="AD1750" t="s">
        <v>160</v>
      </c>
      <c r="AE1750" s="24">
        <v>65199</v>
      </c>
      <c r="AF1750">
        <v>0</v>
      </c>
      <c r="AG1750" s="24">
        <v>65199</v>
      </c>
      <c r="AH1750">
        <v>0</v>
      </c>
      <c r="AI1750">
        <v>0</v>
      </c>
      <c r="AJ1750">
        <v>0</v>
      </c>
      <c r="AK1750">
        <v>0</v>
      </c>
      <c r="AL1750" s="24">
        <v>65199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 s="24">
        <v>65199</v>
      </c>
      <c r="AV1750">
        <v>0</v>
      </c>
      <c r="AW1750">
        <v>0</v>
      </c>
      <c r="AX1750">
        <v>311000</v>
      </c>
      <c r="AY1750" t="s">
        <v>161</v>
      </c>
      <c r="AZ1750">
        <v>1.19</v>
      </c>
      <c r="BA1750">
        <v>1.19</v>
      </c>
      <c r="BB1750">
        <v>0</v>
      </c>
      <c r="BC1750" t="s">
        <v>181</v>
      </c>
      <c r="BD1750">
        <v>1511</v>
      </c>
      <c r="BE1750" t="s">
        <v>174</v>
      </c>
      <c r="BF1750">
        <v>5094257123</v>
      </c>
      <c r="BG1750" t="s">
        <v>368</v>
      </c>
    </row>
    <row r="1751" spans="1:59">
      <c r="A1751">
        <v>1115</v>
      </c>
      <c r="B1751">
        <v>1115</v>
      </c>
      <c r="C1751">
        <v>10</v>
      </c>
      <c r="D1751">
        <v>2</v>
      </c>
      <c r="E1751" t="s">
        <v>152</v>
      </c>
      <c r="F1751" t="s">
        <v>153</v>
      </c>
      <c r="G1751" t="s">
        <v>154</v>
      </c>
      <c r="H1751">
        <v>1526007185</v>
      </c>
      <c r="I1751">
        <v>1000007474</v>
      </c>
      <c r="L1751" t="s">
        <v>381</v>
      </c>
      <c r="M1751">
        <v>5100001666</v>
      </c>
      <c r="N1751" t="s">
        <v>155</v>
      </c>
      <c r="O1751" t="s">
        <v>156</v>
      </c>
      <c r="P1751">
        <v>4110027035</v>
      </c>
      <c r="Q1751" t="s">
        <v>225</v>
      </c>
      <c r="R1751">
        <v>5000</v>
      </c>
      <c r="S1751" t="s">
        <v>166</v>
      </c>
      <c r="V1751" t="s">
        <v>167</v>
      </c>
      <c r="W1751">
        <v>1502020105</v>
      </c>
      <c r="X1751" t="s">
        <v>226</v>
      </c>
      <c r="Y1751" t="str">
        <f>VLOOKUP(W1751,Sheet4!$A$5:$B$72,2,0)</f>
        <v>RE STYLING</v>
      </c>
      <c r="Z1751">
        <v>87082900</v>
      </c>
      <c r="AA1751">
        <v>15</v>
      </c>
      <c r="AB1751" t="s">
        <v>159</v>
      </c>
      <c r="AC1751" s="24">
        <v>6570.77</v>
      </c>
      <c r="AD1751" t="s">
        <v>160</v>
      </c>
      <c r="AE1751" s="24">
        <v>98561.55</v>
      </c>
      <c r="AF1751">
        <v>0</v>
      </c>
      <c r="AG1751" s="24">
        <v>98561.55</v>
      </c>
      <c r="AH1751">
        <v>0</v>
      </c>
      <c r="AI1751">
        <v>0</v>
      </c>
      <c r="AJ1751">
        <v>0</v>
      </c>
      <c r="AK1751">
        <v>0</v>
      </c>
      <c r="AL1751" s="24">
        <v>98561.55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 s="24">
        <v>98561.55</v>
      </c>
      <c r="AV1751">
        <v>0</v>
      </c>
      <c r="AW1751">
        <v>0</v>
      </c>
      <c r="AX1751">
        <v>311000</v>
      </c>
      <c r="AY1751" t="s">
        <v>161</v>
      </c>
      <c r="AZ1751">
        <v>49.75</v>
      </c>
      <c r="BA1751">
        <v>49.75</v>
      </c>
      <c r="BB1751">
        <v>0</v>
      </c>
      <c r="BC1751" t="s">
        <v>227</v>
      </c>
      <c r="BD1751">
        <v>1509</v>
      </c>
      <c r="BE1751" t="s">
        <v>169</v>
      </c>
      <c r="BF1751">
        <v>5094256819</v>
      </c>
      <c r="BG1751" t="s">
        <v>381</v>
      </c>
    </row>
    <row r="1752" spans="1:59">
      <c r="A1752">
        <v>1115</v>
      </c>
      <c r="B1752">
        <v>1115</v>
      </c>
      <c r="C1752">
        <v>10</v>
      </c>
      <c r="D1752">
        <v>2</v>
      </c>
      <c r="E1752" t="s">
        <v>152</v>
      </c>
      <c r="F1752" t="s">
        <v>153</v>
      </c>
      <c r="G1752" t="s">
        <v>154</v>
      </c>
      <c r="H1752">
        <v>1526007184</v>
      </c>
      <c r="I1752">
        <v>1000007473</v>
      </c>
      <c r="L1752" t="s">
        <v>381</v>
      </c>
      <c r="M1752">
        <v>5100001730</v>
      </c>
      <c r="N1752" t="s">
        <v>155</v>
      </c>
      <c r="O1752" t="s">
        <v>156</v>
      </c>
      <c r="P1752">
        <v>4110029871</v>
      </c>
      <c r="Q1752" t="s">
        <v>301</v>
      </c>
      <c r="R1752">
        <v>5000</v>
      </c>
      <c r="S1752" t="s">
        <v>166</v>
      </c>
      <c r="V1752" t="s">
        <v>167</v>
      </c>
      <c r="W1752">
        <v>1502020112</v>
      </c>
      <c r="X1752" t="s">
        <v>302</v>
      </c>
      <c r="Y1752" t="str">
        <f>VLOOKUP(W1752,Sheet4!$A$5:$B$72,2,0)</f>
        <v>MAX UG NEW</v>
      </c>
      <c r="Z1752">
        <v>87082900</v>
      </c>
      <c r="AA1752">
        <v>10</v>
      </c>
      <c r="AB1752" t="s">
        <v>159</v>
      </c>
      <c r="AC1752" s="24">
        <v>9441.75</v>
      </c>
      <c r="AD1752" t="s">
        <v>160</v>
      </c>
      <c r="AE1752" s="24">
        <v>94417.5</v>
      </c>
      <c r="AF1752">
        <v>0</v>
      </c>
      <c r="AG1752" s="24">
        <v>94417.5</v>
      </c>
      <c r="AH1752">
        <v>0</v>
      </c>
      <c r="AI1752">
        <v>0</v>
      </c>
      <c r="AJ1752">
        <v>0</v>
      </c>
      <c r="AK1752">
        <v>0</v>
      </c>
      <c r="AL1752" s="24">
        <v>94417.5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 s="24">
        <v>94417.5</v>
      </c>
      <c r="AV1752">
        <v>0</v>
      </c>
      <c r="AW1752">
        <v>0</v>
      </c>
      <c r="AX1752">
        <v>311000</v>
      </c>
      <c r="AY1752" t="s">
        <v>161</v>
      </c>
      <c r="AZ1752">
        <v>75</v>
      </c>
      <c r="BA1752">
        <v>75</v>
      </c>
      <c r="BB1752">
        <v>0</v>
      </c>
      <c r="BC1752" t="s">
        <v>303</v>
      </c>
      <c r="BD1752">
        <v>1509</v>
      </c>
      <c r="BE1752" t="s">
        <v>169</v>
      </c>
      <c r="BF1752">
        <v>5094251876</v>
      </c>
      <c r="BG1752" t="s">
        <v>381</v>
      </c>
    </row>
    <row r="1753" spans="1:59">
      <c r="A1753">
        <v>1115</v>
      </c>
      <c r="B1753">
        <v>1115</v>
      </c>
      <c r="C1753">
        <v>10</v>
      </c>
      <c r="D1753">
        <v>2</v>
      </c>
      <c r="E1753" t="s">
        <v>152</v>
      </c>
      <c r="F1753" t="s">
        <v>153</v>
      </c>
      <c r="G1753" t="s">
        <v>154</v>
      </c>
      <c r="H1753">
        <v>1526007183</v>
      </c>
      <c r="I1753">
        <v>1000007472</v>
      </c>
      <c r="L1753" t="s">
        <v>381</v>
      </c>
      <c r="M1753">
        <v>5100001730</v>
      </c>
      <c r="N1753" t="s">
        <v>155</v>
      </c>
      <c r="O1753" t="s">
        <v>156</v>
      </c>
      <c r="P1753">
        <v>4110029871</v>
      </c>
      <c r="Q1753" t="s">
        <v>301</v>
      </c>
      <c r="R1753">
        <v>5000</v>
      </c>
      <c r="S1753" t="s">
        <v>166</v>
      </c>
      <c r="V1753" t="s">
        <v>167</v>
      </c>
      <c r="W1753">
        <v>1502020112</v>
      </c>
      <c r="X1753" t="s">
        <v>302</v>
      </c>
      <c r="Y1753" t="str">
        <f>VLOOKUP(W1753,Sheet4!$A$5:$B$72,2,0)</f>
        <v>MAX UG NEW</v>
      </c>
      <c r="Z1753">
        <v>87082900</v>
      </c>
      <c r="AA1753">
        <v>10</v>
      </c>
      <c r="AB1753" t="s">
        <v>159</v>
      </c>
      <c r="AC1753" s="24">
        <v>9441.75</v>
      </c>
      <c r="AD1753" t="s">
        <v>160</v>
      </c>
      <c r="AE1753" s="24">
        <v>94417.5</v>
      </c>
      <c r="AF1753">
        <v>0</v>
      </c>
      <c r="AG1753" s="24">
        <v>94417.5</v>
      </c>
      <c r="AH1753">
        <v>0</v>
      </c>
      <c r="AI1753">
        <v>0</v>
      </c>
      <c r="AJ1753">
        <v>0</v>
      </c>
      <c r="AK1753">
        <v>0</v>
      </c>
      <c r="AL1753" s="24">
        <v>94417.5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 s="24">
        <v>94417.5</v>
      </c>
      <c r="AV1753">
        <v>0</v>
      </c>
      <c r="AW1753">
        <v>0</v>
      </c>
      <c r="AX1753">
        <v>311000</v>
      </c>
      <c r="AY1753" t="s">
        <v>161</v>
      </c>
      <c r="AZ1753">
        <v>75</v>
      </c>
      <c r="BA1753">
        <v>75</v>
      </c>
      <c r="BB1753">
        <v>0</v>
      </c>
      <c r="BC1753" t="s">
        <v>303</v>
      </c>
      <c r="BD1753">
        <v>1509</v>
      </c>
      <c r="BE1753" t="s">
        <v>169</v>
      </c>
      <c r="BF1753">
        <v>5094250021</v>
      </c>
      <c r="BG1753" t="s">
        <v>381</v>
      </c>
    </row>
    <row r="1754" spans="1:59">
      <c r="A1754">
        <v>1115</v>
      </c>
      <c r="B1754">
        <v>1115</v>
      </c>
      <c r="C1754">
        <v>10</v>
      </c>
      <c r="D1754">
        <v>2</v>
      </c>
      <c r="E1754" t="s">
        <v>152</v>
      </c>
      <c r="F1754" t="s">
        <v>153</v>
      </c>
      <c r="G1754" t="s">
        <v>154</v>
      </c>
      <c r="H1754">
        <v>1526007182</v>
      </c>
      <c r="I1754">
        <v>1000007471</v>
      </c>
      <c r="L1754" t="s">
        <v>381</v>
      </c>
      <c r="M1754">
        <v>5100001730</v>
      </c>
      <c r="N1754" t="s">
        <v>155</v>
      </c>
      <c r="O1754" t="s">
        <v>156</v>
      </c>
      <c r="P1754">
        <v>4110029871</v>
      </c>
      <c r="Q1754" t="s">
        <v>301</v>
      </c>
      <c r="R1754">
        <v>5000</v>
      </c>
      <c r="S1754" t="s">
        <v>166</v>
      </c>
      <c r="V1754" t="s">
        <v>167</v>
      </c>
      <c r="W1754">
        <v>1502020112</v>
      </c>
      <c r="X1754" t="s">
        <v>302</v>
      </c>
      <c r="Y1754" t="str">
        <f>VLOOKUP(W1754,Sheet4!$A$5:$B$72,2,0)</f>
        <v>MAX UG NEW</v>
      </c>
      <c r="Z1754">
        <v>87082900</v>
      </c>
      <c r="AA1754">
        <v>10</v>
      </c>
      <c r="AB1754" t="s">
        <v>159</v>
      </c>
      <c r="AC1754" s="24">
        <v>9441.75</v>
      </c>
      <c r="AD1754" t="s">
        <v>160</v>
      </c>
      <c r="AE1754" s="24">
        <v>94417.5</v>
      </c>
      <c r="AF1754">
        <v>0</v>
      </c>
      <c r="AG1754" s="24">
        <v>94417.5</v>
      </c>
      <c r="AH1754">
        <v>0</v>
      </c>
      <c r="AI1754">
        <v>0</v>
      </c>
      <c r="AJ1754">
        <v>0</v>
      </c>
      <c r="AK1754">
        <v>0</v>
      </c>
      <c r="AL1754" s="24">
        <v>94417.5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 s="24">
        <v>94417.5</v>
      </c>
      <c r="AV1754">
        <v>0</v>
      </c>
      <c r="AW1754">
        <v>0</v>
      </c>
      <c r="AX1754">
        <v>311000</v>
      </c>
      <c r="AY1754" t="s">
        <v>161</v>
      </c>
      <c r="AZ1754">
        <v>75</v>
      </c>
      <c r="BA1754">
        <v>75</v>
      </c>
      <c r="BB1754">
        <v>0</v>
      </c>
      <c r="BC1754" t="s">
        <v>303</v>
      </c>
      <c r="BD1754">
        <v>1509</v>
      </c>
      <c r="BE1754" t="s">
        <v>169</v>
      </c>
      <c r="BF1754">
        <v>5094250061</v>
      </c>
      <c r="BG1754" t="s">
        <v>381</v>
      </c>
    </row>
    <row r="1755" spans="1:59">
      <c r="A1755">
        <v>1115</v>
      </c>
      <c r="B1755">
        <v>1115</v>
      </c>
      <c r="C1755">
        <v>10</v>
      </c>
      <c r="D1755">
        <v>2</v>
      </c>
      <c r="E1755" t="s">
        <v>152</v>
      </c>
      <c r="F1755" t="s">
        <v>153</v>
      </c>
      <c r="G1755" t="s">
        <v>154</v>
      </c>
      <c r="H1755">
        <v>1526007181</v>
      </c>
      <c r="I1755">
        <v>1000007470</v>
      </c>
      <c r="L1755" t="s">
        <v>381</v>
      </c>
      <c r="M1755">
        <v>5100001730</v>
      </c>
      <c r="N1755" t="s">
        <v>155</v>
      </c>
      <c r="O1755" t="s">
        <v>156</v>
      </c>
      <c r="P1755">
        <v>4110029871</v>
      </c>
      <c r="Q1755" t="s">
        <v>301</v>
      </c>
      <c r="R1755">
        <v>5000</v>
      </c>
      <c r="S1755" t="s">
        <v>166</v>
      </c>
      <c r="V1755" t="s">
        <v>167</v>
      </c>
      <c r="W1755">
        <v>1502020112</v>
      </c>
      <c r="X1755" t="s">
        <v>302</v>
      </c>
      <c r="Y1755" t="str">
        <f>VLOOKUP(W1755,Sheet4!$A$5:$B$72,2,0)</f>
        <v>MAX UG NEW</v>
      </c>
      <c r="Z1755">
        <v>87082900</v>
      </c>
      <c r="AA1755">
        <v>10</v>
      </c>
      <c r="AB1755" t="s">
        <v>159</v>
      </c>
      <c r="AC1755" s="24">
        <v>9441.75</v>
      </c>
      <c r="AD1755" t="s">
        <v>160</v>
      </c>
      <c r="AE1755" s="24">
        <v>94417.5</v>
      </c>
      <c r="AF1755">
        <v>0</v>
      </c>
      <c r="AG1755" s="24">
        <v>94417.5</v>
      </c>
      <c r="AH1755">
        <v>0</v>
      </c>
      <c r="AI1755">
        <v>0</v>
      </c>
      <c r="AJ1755">
        <v>0</v>
      </c>
      <c r="AK1755">
        <v>0</v>
      </c>
      <c r="AL1755" s="24">
        <v>94417.5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 s="24">
        <v>94417.5</v>
      </c>
      <c r="AV1755">
        <v>0</v>
      </c>
      <c r="AW1755">
        <v>0</v>
      </c>
      <c r="AX1755">
        <v>311000</v>
      </c>
      <c r="AY1755" t="s">
        <v>161</v>
      </c>
      <c r="AZ1755">
        <v>75</v>
      </c>
      <c r="BA1755">
        <v>75</v>
      </c>
      <c r="BB1755">
        <v>0</v>
      </c>
      <c r="BC1755" t="s">
        <v>303</v>
      </c>
      <c r="BD1755">
        <v>1509</v>
      </c>
      <c r="BE1755" t="s">
        <v>169</v>
      </c>
      <c r="BF1755">
        <v>5094249977</v>
      </c>
      <c r="BG1755" t="s">
        <v>381</v>
      </c>
    </row>
    <row r="1756" spans="1:59">
      <c r="A1756">
        <v>1115</v>
      </c>
      <c r="B1756">
        <v>1115</v>
      </c>
      <c r="C1756">
        <v>10</v>
      </c>
      <c r="D1756">
        <v>2</v>
      </c>
      <c r="E1756" t="s">
        <v>152</v>
      </c>
      <c r="F1756" t="s">
        <v>153</v>
      </c>
      <c r="G1756" t="s">
        <v>154</v>
      </c>
      <c r="H1756">
        <v>1526007180</v>
      </c>
      <c r="I1756">
        <v>1000007469</v>
      </c>
      <c r="L1756" t="s">
        <v>381</v>
      </c>
      <c r="M1756">
        <v>5100001730</v>
      </c>
      <c r="N1756" t="s">
        <v>155</v>
      </c>
      <c r="O1756" t="s">
        <v>156</v>
      </c>
      <c r="P1756">
        <v>4110029871</v>
      </c>
      <c r="Q1756" t="s">
        <v>301</v>
      </c>
      <c r="R1756">
        <v>5000</v>
      </c>
      <c r="S1756" t="s">
        <v>166</v>
      </c>
      <c r="V1756" t="s">
        <v>167</v>
      </c>
      <c r="W1756">
        <v>1502020112</v>
      </c>
      <c r="X1756" t="s">
        <v>302</v>
      </c>
      <c r="Y1756" t="str">
        <f>VLOOKUP(W1756,Sheet4!$A$5:$B$72,2,0)</f>
        <v>MAX UG NEW</v>
      </c>
      <c r="Z1756">
        <v>87082900</v>
      </c>
      <c r="AA1756">
        <v>10</v>
      </c>
      <c r="AB1756" t="s">
        <v>159</v>
      </c>
      <c r="AC1756" s="24">
        <v>9441.75</v>
      </c>
      <c r="AD1756" t="s">
        <v>160</v>
      </c>
      <c r="AE1756" s="24">
        <v>94417.5</v>
      </c>
      <c r="AF1756">
        <v>0</v>
      </c>
      <c r="AG1756" s="24">
        <v>94417.5</v>
      </c>
      <c r="AH1756">
        <v>0</v>
      </c>
      <c r="AI1756">
        <v>0</v>
      </c>
      <c r="AJ1756">
        <v>0</v>
      </c>
      <c r="AK1756">
        <v>0</v>
      </c>
      <c r="AL1756" s="24">
        <v>94417.5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 s="24">
        <v>94417.5</v>
      </c>
      <c r="AV1756">
        <v>0</v>
      </c>
      <c r="AW1756">
        <v>0</v>
      </c>
      <c r="AX1756">
        <v>311000</v>
      </c>
      <c r="AY1756" t="s">
        <v>161</v>
      </c>
      <c r="AZ1756">
        <v>75</v>
      </c>
      <c r="BA1756">
        <v>75</v>
      </c>
      <c r="BB1756">
        <v>0</v>
      </c>
      <c r="BC1756" t="s">
        <v>303</v>
      </c>
      <c r="BD1756">
        <v>1509</v>
      </c>
      <c r="BE1756" t="s">
        <v>169</v>
      </c>
      <c r="BF1756">
        <v>5094251874</v>
      </c>
      <c r="BG1756" t="s">
        <v>381</v>
      </c>
    </row>
    <row r="1757" spans="1:59">
      <c r="A1757">
        <v>1115</v>
      </c>
      <c r="B1757">
        <v>1115</v>
      </c>
      <c r="C1757">
        <v>10</v>
      </c>
      <c r="D1757">
        <v>2</v>
      </c>
      <c r="E1757" t="s">
        <v>152</v>
      </c>
      <c r="F1757" t="s">
        <v>153</v>
      </c>
      <c r="G1757" t="s">
        <v>154</v>
      </c>
      <c r="H1757">
        <v>1526007179</v>
      </c>
      <c r="I1757">
        <v>1000007468</v>
      </c>
      <c r="L1757" t="s">
        <v>381</v>
      </c>
      <c r="M1757">
        <v>5100001227</v>
      </c>
      <c r="N1757" t="s">
        <v>155</v>
      </c>
      <c r="O1757" t="s">
        <v>156</v>
      </c>
      <c r="P1757">
        <v>4110011319</v>
      </c>
      <c r="Q1757" t="s">
        <v>175</v>
      </c>
      <c r="R1757">
        <v>5000</v>
      </c>
      <c r="S1757" t="s">
        <v>166</v>
      </c>
      <c r="V1757" t="s">
        <v>167</v>
      </c>
      <c r="W1757">
        <v>1502020074</v>
      </c>
      <c r="X1757" t="s">
        <v>28</v>
      </c>
      <c r="Y1757" t="str">
        <f>VLOOKUP(W1757,Sheet4!$A$5:$B$72,2,0)</f>
        <v>MAX UG NEW</v>
      </c>
      <c r="Z1757">
        <v>87082900</v>
      </c>
      <c r="AA1757">
        <v>10</v>
      </c>
      <c r="AB1757" t="s">
        <v>159</v>
      </c>
      <c r="AC1757" s="24">
        <v>9397.5</v>
      </c>
      <c r="AD1757" t="s">
        <v>160</v>
      </c>
      <c r="AE1757" s="24">
        <v>93975</v>
      </c>
      <c r="AF1757">
        <v>0</v>
      </c>
      <c r="AG1757" s="24">
        <v>93975</v>
      </c>
      <c r="AH1757">
        <v>0</v>
      </c>
      <c r="AI1757">
        <v>0</v>
      </c>
      <c r="AJ1757">
        <v>0</v>
      </c>
      <c r="AK1757">
        <v>0</v>
      </c>
      <c r="AL1757" s="24">
        <v>93975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 s="24">
        <v>93975</v>
      </c>
      <c r="AV1757">
        <v>0</v>
      </c>
      <c r="AW1757">
        <v>0</v>
      </c>
      <c r="AX1757">
        <v>311000</v>
      </c>
      <c r="AY1757" t="s">
        <v>161</v>
      </c>
      <c r="AZ1757">
        <v>69.5</v>
      </c>
      <c r="BA1757">
        <v>69.5</v>
      </c>
      <c r="BB1757">
        <v>0</v>
      </c>
      <c r="BC1757" t="s">
        <v>176</v>
      </c>
      <c r="BD1757">
        <v>1509</v>
      </c>
      <c r="BE1757" t="s">
        <v>169</v>
      </c>
      <c r="BF1757">
        <v>5094249701</v>
      </c>
      <c r="BG1757" t="s">
        <v>381</v>
      </c>
    </row>
    <row r="1758" spans="1:59">
      <c r="A1758">
        <v>1115</v>
      </c>
      <c r="B1758">
        <v>1115</v>
      </c>
      <c r="C1758">
        <v>10</v>
      </c>
      <c r="D1758">
        <v>2</v>
      </c>
      <c r="E1758" t="s">
        <v>152</v>
      </c>
      <c r="F1758" t="s">
        <v>153</v>
      </c>
      <c r="G1758" t="s">
        <v>154</v>
      </c>
      <c r="H1758">
        <v>1526007178</v>
      </c>
      <c r="I1758">
        <v>1000007467</v>
      </c>
      <c r="L1758" t="s">
        <v>381</v>
      </c>
      <c r="M1758">
        <v>5100001227</v>
      </c>
      <c r="N1758" t="s">
        <v>155</v>
      </c>
      <c r="O1758" t="s">
        <v>156</v>
      </c>
      <c r="P1758">
        <v>4110011319</v>
      </c>
      <c r="Q1758" t="s">
        <v>175</v>
      </c>
      <c r="R1758">
        <v>5000</v>
      </c>
      <c r="S1758" t="s">
        <v>166</v>
      </c>
      <c r="V1758" t="s">
        <v>167</v>
      </c>
      <c r="W1758">
        <v>1502020074</v>
      </c>
      <c r="X1758" t="s">
        <v>28</v>
      </c>
      <c r="Y1758" t="str">
        <f>VLOOKUP(W1758,Sheet4!$A$5:$B$72,2,0)</f>
        <v>MAX UG NEW</v>
      </c>
      <c r="Z1758">
        <v>87082900</v>
      </c>
      <c r="AA1758">
        <v>10</v>
      </c>
      <c r="AB1758" t="s">
        <v>159</v>
      </c>
      <c r="AC1758" s="24">
        <v>9397.5</v>
      </c>
      <c r="AD1758" t="s">
        <v>160</v>
      </c>
      <c r="AE1758" s="24">
        <v>93975</v>
      </c>
      <c r="AF1758">
        <v>0</v>
      </c>
      <c r="AG1758" s="24">
        <v>93975</v>
      </c>
      <c r="AH1758">
        <v>0</v>
      </c>
      <c r="AI1758">
        <v>0</v>
      </c>
      <c r="AJ1758">
        <v>0</v>
      </c>
      <c r="AK1758">
        <v>0</v>
      </c>
      <c r="AL1758" s="24">
        <v>93975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 s="24">
        <v>93975</v>
      </c>
      <c r="AV1758">
        <v>0</v>
      </c>
      <c r="AW1758">
        <v>0</v>
      </c>
      <c r="AX1758">
        <v>311000</v>
      </c>
      <c r="AY1758" t="s">
        <v>161</v>
      </c>
      <c r="AZ1758">
        <v>69.5</v>
      </c>
      <c r="BA1758">
        <v>69.5</v>
      </c>
      <c r="BB1758">
        <v>0</v>
      </c>
      <c r="BC1758" t="s">
        <v>176</v>
      </c>
      <c r="BD1758">
        <v>1509</v>
      </c>
      <c r="BE1758" t="s">
        <v>169</v>
      </c>
      <c r="BF1758">
        <v>5094250118</v>
      </c>
      <c r="BG1758" t="s">
        <v>381</v>
      </c>
    </row>
    <row r="1759" spans="1:59">
      <c r="A1759">
        <v>1115</v>
      </c>
      <c r="B1759">
        <v>1115</v>
      </c>
      <c r="C1759">
        <v>10</v>
      </c>
      <c r="D1759">
        <v>2</v>
      </c>
      <c r="E1759" t="s">
        <v>152</v>
      </c>
      <c r="F1759" t="s">
        <v>153</v>
      </c>
      <c r="G1759" t="s">
        <v>154</v>
      </c>
      <c r="H1759">
        <v>1526007177</v>
      </c>
      <c r="I1759">
        <v>1000007466</v>
      </c>
      <c r="L1759" t="s">
        <v>381</v>
      </c>
      <c r="M1759">
        <v>5100001227</v>
      </c>
      <c r="N1759" t="s">
        <v>155</v>
      </c>
      <c r="O1759" t="s">
        <v>156</v>
      </c>
      <c r="P1759">
        <v>4110011319</v>
      </c>
      <c r="Q1759" t="s">
        <v>175</v>
      </c>
      <c r="R1759">
        <v>5000</v>
      </c>
      <c r="S1759" t="s">
        <v>166</v>
      </c>
      <c r="V1759" t="s">
        <v>167</v>
      </c>
      <c r="W1759">
        <v>1502020074</v>
      </c>
      <c r="X1759" t="s">
        <v>28</v>
      </c>
      <c r="Y1759" t="str">
        <f>VLOOKUP(W1759,Sheet4!$A$5:$B$72,2,0)</f>
        <v>MAX UG NEW</v>
      </c>
      <c r="Z1759">
        <v>87082900</v>
      </c>
      <c r="AA1759">
        <v>10</v>
      </c>
      <c r="AB1759" t="s">
        <v>159</v>
      </c>
      <c r="AC1759" s="24">
        <v>9397.5</v>
      </c>
      <c r="AD1759" t="s">
        <v>160</v>
      </c>
      <c r="AE1759" s="24">
        <v>93975</v>
      </c>
      <c r="AF1759">
        <v>0</v>
      </c>
      <c r="AG1759" s="24">
        <v>93975</v>
      </c>
      <c r="AH1759">
        <v>0</v>
      </c>
      <c r="AI1759">
        <v>0</v>
      </c>
      <c r="AJ1759">
        <v>0</v>
      </c>
      <c r="AK1759">
        <v>0</v>
      </c>
      <c r="AL1759" s="24">
        <v>93975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 s="24">
        <v>93975</v>
      </c>
      <c r="AV1759">
        <v>0</v>
      </c>
      <c r="AW1759">
        <v>0</v>
      </c>
      <c r="AX1759">
        <v>311000</v>
      </c>
      <c r="AY1759" t="s">
        <v>161</v>
      </c>
      <c r="AZ1759">
        <v>69.5</v>
      </c>
      <c r="BA1759">
        <v>69.5</v>
      </c>
      <c r="BB1759">
        <v>0</v>
      </c>
      <c r="BC1759" t="s">
        <v>176</v>
      </c>
      <c r="BD1759">
        <v>1509</v>
      </c>
      <c r="BE1759" t="s">
        <v>169</v>
      </c>
      <c r="BF1759">
        <v>5094260000</v>
      </c>
      <c r="BG1759" t="s">
        <v>381</v>
      </c>
    </row>
    <row r="1760" spans="1:59">
      <c r="A1760">
        <v>1115</v>
      </c>
      <c r="B1760">
        <v>1115</v>
      </c>
      <c r="C1760">
        <v>10</v>
      </c>
      <c r="D1760">
        <v>2</v>
      </c>
      <c r="E1760" t="s">
        <v>152</v>
      </c>
      <c r="F1760" t="s">
        <v>153</v>
      </c>
      <c r="G1760" t="s">
        <v>154</v>
      </c>
      <c r="H1760">
        <v>1526007176</v>
      </c>
      <c r="I1760">
        <v>1000007465</v>
      </c>
      <c r="L1760" t="s">
        <v>381</v>
      </c>
      <c r="M1760">
        <v>5100001227</v>
      </c>
      <c r="N1760" t="s">
        <v>155</v>
      </c>
      <c r="O1760" t="s">
        <v>156</v>
      </c>
      <c r="P1760">
        <v>4110011319</v>
      </c>
      <c r="Q1760" t="s">
        <v>175</v>
      </c>
      <c r="R1760">
        <v>5000</v>
      </c>
      <c r="S1760" t="s">
        <v>166</v>
      </c>
      <c r="V1760" t="s">
        <v>167</v>
      </c>
      <c r="W1760">
        <v>1502020074</v>
      </c>
      <c r="X1760" t="s">
        <v>28</v>
      </c>
      <c r="Y1760" t="str">
        <f>VLOOKUP(W1760,Sheet4!$A$5:$B$72,2,0)</f>
        <v>MAX UG NEW</v>
      </c>
      <c r="Z1760">
        <v>87082900</v>
      </c>
      <c r="AA1760">
        <v>10</v>
      </c>
      <c r="AB1760" t="s">
        <v>159</v>
      </c>
      <c r="AC1760" s="24">
        <v>9397.5</v>
      </c>
      <c r="AD1760" t="s">
        <v>160</v>
      </c>
      <c r="AE1760" s="24">
        <v>93975</v>
      </c>
      <c r="AF1760">
        <v>0</v>
      </c>
      <c r="AG1760" s="24">
        <v>93975</v>
      </c>
      <c r="AH1760">
        <v>0</v>
      </c>
      <c r="AI1760">
        <v>0</v>
      </c>
      <c r="AJ1760">
        <v>0</v>
      </c>
      <c r="AK1760">
        <v>0</v>
      </c>
      <c r="AL1760" s="24">
        <v>93975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 s="24">
        <v>93975</v>
      </c>
      <c r="AV1760">
        <v>0</v>
      </c>
      <c r="AW1760">
        <v>0</v>
      </c>
      <c r="AX1760">
        <v>311000</v>
      </c>
      <c r="AY1760" t="s">
        <v>161</v>
      </c>
      <c r="AZ1760">
        <v>69.5</v>
      </c>
      <c r="BA1760">
        <v>69.5</v>
      </c>
      <c r="BB1760">
        <v>0</v>
      </c>
      <c r="BC1760" t="s">
        <v>176</v>
      </c>
      <c r="BD1760">
        <v>1509</v>
      </c>
      <c r="BE1760" t="s">
        <v>169</v>
      </c>
      <c r="BF1760">
        <v>5094258205</v>
      </c>
      <c r="BG1760" t="s">
        <v>381</v>
      </c>
    </row>
    <row r="1761" spans="1:59">
      <c r="A1761">
        <v>1115</v>
      </c>
      <c r="B1761">
        <v>1115</v>
      </c>
      <c r="C1761">
        <v>10</v>
      </c>
      <c r="D1761">
        <v>2</v>
      </c>
      <c r="E1761" t="s">
        <v>152</v>
      </c>
      <c r="F1761" t="s">
        <v>153</v>
      </c>
      <c r="G1761" t="s">
        <v>154</v>
      </c>
      <c r="H1761">
        <v>1526007175</v>
      </c>
      <c r="I1761">
        <v>1000007464</v>
      </c>
      <c r="L1761" t="s">
        <v>381</v>
      </c>
      <c r="M1761">
        <v>5100001939</v>
      </c>
      <c r="N1761" t="s">
        <v>155</v>
      </c>
      <c r="O1761" t="s">
        <v>156</v>
      </c>
      <c r="P1761">
        <v>4110059608</v>
      </c>
      <c r="Q1761" t="s">
        <v>240</v>
      </c>
      <c r="R1761">
        <v>5000</v>
      </c>
      <c r="S1761" t="s">
        <v>166</v>
      </c>
      <c r="V1761" t="s">
        <v>167</v>
      </c>
      <c r="W1761">
        <v>1502020129</v>
      </c>
      <c r="X1761" t="s">
        <v>241</v>
      </c>
      <c r="Y1761" t="str">
        <f>VLOOKUP(W1761,Sheet4!$A$5:$B$72,2,0)</f>
        <v>RE STYLING</v>
      </c>
      <c r="Z1761">
        <v>87082900</v>
      </c>
      <c r="AA1761">
        <v>15</v>
      </c>
      <c r="AB1761" t="s">
        <v>159</v>
      </c>
      <c r="AC1761" s="24">
        <v>6500.18</v>
      </c>
      <c r="AD1761" t="s">
        <v>160</v>
      </c>
      <c r="AE1761" s="24">
        <v>97502.7</v>
      </c>
      <c r="AF1761">
        <v>0</v>
      </c>
      <c r="AG1761" s="24">
        <v>97502.7</v>
      </c>
      <c r="AH1761">
        <v>0</v>
      </c>
      <c r="AI1761">
        <v>0</v>
      </c>
      <c r="AJ1761">
        <v>0</v>
      </c>
      <c r="AK1761">
        <v>0</v>
      </c>
      <c r="AL1761" s="24">
        <v>97502.7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 s="24">
        <v>97502.7</v>
      </c>
      <c r="AV1761">
        <v>0</v>
      </c>
      <c r="AW1761">
        <v>0</v>
      </c>
      <c r="AX1761">
        <v>311000</v>
      </c>
      <c r="AY1761" t="s">
        <v>161</v>
      </c>
      <c r="AZ1761">
        <v>0</v>
      </c>
      <c r="BA1761">
        <v>0</v>
      </c>
      <c r="BB1761">
        <v>0</v>
      </c>
      <c r="BC1761" t="s">
        <v>242</v>
      </c>
      <c r="BD1761">
        <v>1509</v>
      </c>
      <c r="BE1761" t="s">
        <v>169</v>
      </c>
      <c r="BF1761">
        <v>5094257018</v>
      </c>
      <c r="BG1761" t="s">
        <v>381</v>
      </c>
    </row>
    <row r="1762" spans="1:59">
      <c r="A1762">
        <v>1115</v>
      </c>
      <c r="B1762">
        <v>1115</v>
      </c>
      <c r="C1762">
        <v>10</v>
      </c>
      <c r="D1762">
        <v>2</v>
      </c>
      <c r="E1762" t="s">
        <v>152</v>
      </c>
      <c r="F1762" t="s">
        <v>153</v>
      </c>
      <c r="G1762" t="s">
        <v>154</v>
      </c>
      <c r="H1762">
        <v>1526007174</v>
      </c>
      <c r="I1762">
        <v>1000007463</v>
      </c>
      <c r="L1762" t="s">
        <v>381</v>
      </c>
      <c r="M1762">
        <v>5100001939</v>
      </c>
      <c r="N1762" t="s">
        <v>155</v>
      </c>
      <c r="O1762" t="s">
        <v>156</v>
      </c>
      <c r="P1762">
        <v>4110059608</v>
      </c>
      <c r="Q1762" t="s">
        <v>240</v>
      </c>
      <c r="R1762">
        <v>5000</v>
      </c>
      <c r="S1762" t="s">
        <v>166</v>
      </c>
      <c r="V1762" t="s">
        <v>167</v>
      </c>
      <c r="W1762">
        <v>1502020129</v>
      </c>
      <c r="X1762" t="s">
        <v>241</v>
      </c>
      <c r="Y1762" t="str">
        <f>VLOOKUP(W1762,Sheet4!$A$5:$B$72,2,0)</f>
        <v>RE STYLING</v>
      </c>
      <c r="Z1762">
        <v>87082900</v>
      </c>
      <c r="AA1762">
        <v>15</v>
      </c>
      <c r="AB1762" t="s">
        <v>159</v>
      </c>
      <c r="AC1762" s="24">
        <v>6500.18</v>
      </c>
      <c r="AD1762" t="s">
        <v>160</v>
      </c>
      <c r="AE1762" s="24">
        <v>97502.7</v>
      </c>
      <c r="AF1762">
        <v>0</v>
      </c>
      <c r="AG1762" s="24">
        <v>97502.7</v>
      </c>
      <c r="AH1762">
        <v>0</v>
      </c>
      <c r="AI1762">
        <v>0</v>
      </c>
      <c r="AJ1762">
        <v>0</v>
      </c>
      <c r="AK1762">
        <v>0</v>
      </c>
      <c r="AL1762" s="24">
        <v>97502.7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 s="24">
        <v>97502.7</v>
      </c>
      <c r="AV1762">
        <v>0</v>
      </c>
      <c r="AW1762">
        <v>0</v>
      </c>
      <c r="AX1762">
        <v>311000</v>
      </c>
      <c r="AY1762" t="s">
        <v>161</v>
      </c>
      <c r="AZ1762">
        <v>0</v>
      </c>
      <c r="BA1762">
        <v>0</v>
      </c>
      <c r="BB1762">
        <v>0</v>
      </c>
      <c r="BC1762" t="s">
        <v>242</v>
      </c>
      <c r="BD1762">
        <v>1509</v>
      </c>
      <c r="BE1762" t="s">
        <v>169</v>
      </c>
      <c r="BF1762">
        <v>5094257437</v>
      </c>
      <c r="BG1762" t="s">
        <v>381</v>
      </c>
    </row>
    <row r="1763" spans="1:59">
      <c r="A1763">
        <v>1115</v>
      </c>
      <c r="B1763">
        <v>1115</v>
      </c>
      <c r="C1763">
        <v>10</v>
      </c>
      <c r="D1763">
        <v>2</v>
      </c>
      <c r="E1763" t="s">
        <v>152</v>
      </c>
      <c r="F1763" t="s">
        <v>153</v>
      </c>
      <c r="G1763" t="s">
        <v>154</v>
      </c>
      <c r="H1763">
        <v>1526007173</v>
      </c>
      <c r="I1763">
        <v>1000007462</v>
      </c>
      <c r="L1763" t="s">
        <v>381</v>
      </c>
      <c r="M1763">
        <v>5100001939</v>
      </c>
      <c r="N1763" t="s">
        <v>155</v>
      </c>
      <c r="O1763" t="s">
        <v>156</v>
      </c>
      <c r="P1763">
        <v>4110059608</v>
      </c>
      <c r="Q1763" t="s">
        <v>240</v>
      </c>
      <c r="R1763">
        <v>5000</v>
      </c>
      <c r="S1763" t="s">
        <v>166</v>
      </c>
      <c r="V1763" t="s">
        <v>167</v>
      </c>
      <c r="W1763">
        <v>1502020129</v>
      </c>
      <c r="X1763" t="s">
        <v>241</v>
      </c>
      <c r="Y1763" t="str">
        <f>VLOOKUP(W1763,Sheet4!$A$5:$B$72,2,0)</f>
        <v>RE STYLING</v>
      </c>
      <c r="Z1763">
        <v>87082900</v>
      </c>
      <c r="AA1763">
        <v>15</v>
      </c>
      <c r="AB1763" t="s">
        <v>159</v>
      </c>
      <c r="AC1763" s="24">
        <v>6500.18</v>
      </c>
      <c r="AD1763" t="s">
        <v>160</v>
      </c>
      <c r="AE1763" s="24">
        <v>97502.7</v>
      </c>
      <c r="AF1763">
        <v>0</v>
      </c>
      <c r="AG1763" s="24">
        <v>97502.7</v>
      </c>
      <c r="AH1763">
        <v>0</v>
      </c>
      <c r="AI1763">
        <v>0</v>
      </c>
      <c r="AJ1763">
        <v>0</v>
      </c>
      <c r="AK1763">
        <v>0</v>
      </c>
      <c r="AL1763" s="24">
        <v>97502.7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 s="24">
        <v>97502.7</v>
      </c>
      <c r="AV1763">
        <v>0</v>
      </c>
      <c r="AW1763">
        <v>0</v>
      </c>
      <c r="AX1763">
        <v>311000</v>
      </c>
      <c r="AY1763" t="s">
        <v>161</v>
      </c>
      <c r="AZ1763">
        <v>0</v>
      </c>
      <c r="BA1763">
        <v>0</v>
      </c>
      <c r="BB1763">
        <v>0</v>
      </c>
      <c r="BC1763" t="s">
        <v>242</v>
      </c>
      <c r="BD1763">
        <v>1509</v>
      </c>
      <c r="BE1763" t="s">
        <v>169</v>
      </c>
      <c r="BF1763">
        <v>5094257526</v>
      </c>
      <c r="BG1763" t="s">
        <v>381</v>
      </c>
    </row>
    <row r="1764" spans="1:59">
      <c r="A1764">
        <v>1115</v>
      </c>
      <c r="B1764">
        <v>1115</v>
      </c>
      <c r="C1764">
        <v>10</v>
      </c>
      <c r="D1764">
        <v>2</v>
      </c>
      <c r="E1764" t="s">
        <v>152</v>
      </c>
      <c r="F1764" t="s">
        <v>153</v>
      </c>
      <c r="G1764" t="s">
        <v>154</v>
      </c>
      <c r="H1764">
        <v>1526007172</v>
      </c>
      <c r="I1764">
        <v>1000007461</v>
      </c>
      <c r="L1764" t="s">
        <v>381</v>
      </c>
      <c r="M1764">
        <v>5100001939</v>
      </c>
      <c r="N1764" t="s">
        <v>155</v>
      </c>
      <c r="O1764" t="s">
        <v>156</v>
      </c>
      <c r="P1764">
        <v>4110059608</v>
      </c>
      <c r="Q1764" t="s">
        <v>240</v>
      </c>
      <c r="R1764">
        <v>5000</v>
      </c>
      <c r="S1764" t="s">
        <v>166</v>
      </c>
      <c r="V1764" t="s">
        <v>167</v>
      </c>
      <c r="W1764">
        <v>1502020129</v>
      </c>
      <c r="X1764" t="s">
        <v>241</v>
      </c>
      <c r="Y1764" t="str">
        <f>VLOOKUP(W1764,Sheet4!$A$5:$B$72,2,0)</f>
        <v>RE STYLING</v>
      </c>
      <c r="Z1764">
        <v>87082900</v>
      </c>
      <c r="AA1764">
        <v>15</v>
      </c>
      <c r="AB1764" t="s">
        <v>159</v>
      </c>
      <c r="AC1764" s="24">
        <v>6500.18</v>
      </c>
      <c r="AD1764" t="s">
        <v>160</v>
      </c>
      <c r="AE1764" s="24">
        <v>97502.7</v>
      </c>
      <c r="AF1764">
        <v>0</v>
      </c>
      <c r="AG1764" s="24">
        <v>97502.7</v>
      </c>
      <c r="AH1764">
        <v>0</v>
      </c>
      <c r="AI1764">
        <v>0</v>
      </c>
      <c r="AJ1764">
        <v>0</v>
      </c>
      <c r="AK1764">
        <v>0</v>
      </c>
      <c r="AL1764" s="24">
        <v>97502.7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 s="24">
        <v>97502.7</v>
      </c>
      <c r="AV1764">
        <v>0</v>
      </c>
      <c r="AW1764">
        <v>0</v>
      </c>
      <c r="AX1764">
        <v>311000</v>
      </c>
      <c r="AY1764" t="s">
        <v>161</v>
      </c>
      <c r="AZ1764">
        <v>0</v>
      </c>
      <c r="BA1764">
        <v>0</v>
      </c>
      <c r="BB1764">
        <v>0</v>
      </c>
      <c r="BC1764" t="s">
        <v>242</v>
      </c>
      <c r="BD1764">
        <v>1509</v>
      </c>
      <c r="BE1764" t="s">
        <v>169</v>
      </c>
      <c r="BF1764">
        <v>5094249998</v>
      </c>
      <c r="BG1764" t="s">
        <v>381</v>
      </c>
    </row>
    <row r="1765" spans="1:59">
      <c r="A1765">
        <v>1115</v>
      </c>
      <c r="B1765">
        <v>1115</v>
      </c>
      <c r="C1765">
        <v>10</v>
      </c>
      <c r="D1765">
        <v>2</v>
      </c>
      <c r="E1765" t="s">
        <v>152</v>
      </c>
      <c r="F1765" t="s">
        <v>153</v>
      </c>
      <c r="G1765" t="s">
        <v>154</v>
      </c>
      <c r="H1765">
        <v>1526007171</v>
      </c>
      <c r="I1765">
        <v>1000007460</v>
      </c>
      <c r="L1765" t="s">
        <v>381</v>
      </c>
      <c r="M1765">
        <v>5100001928</v>
      </c>
      <c r="N1765" t="s">
        <v>155</v>
      </c>
      <c r="O1765" t="s">
        <v>156</v>
      </c>
      <c r="P1765">
        <v>4110057393</v>
      </c>
      <c r="Q1765" t="s">
        <v>192</v>
      </c>
      <c r="R1765">
        <v>5000</v>
      </c>
      <c r="S1765" t="s">
        <v>166</v>
      </c>
      <c r="V1765" t="s">
        <v>167</v>
      </c>
      <c r="W1765">
        <v>1502020122</v>
      </c>
      <c r="X1765" t="s">
        <v>70</v>
      </c>
      <c r="Y1765" t="str">
        <f>VLOOKUP(W1765,Sheet4!$A$5:$B$72,2,0)</f>
        <v>MAX UG NEW EV</v>
      </c>
      <c r="Z1765">
        <v>87082900</v>
      </c>
      <c r="AA1765">
        <v>10</v>
      </c>
      <c r="AB1765" t="s">
        <v>159</v>
      </c>
      <c r="AC1765" s="24">
        <v>9566.51</v>
      </c>
      <c r="AD1765" t="s">
        <v>160</v>
      </c>
      <c r="AE1765" s="24">
        <v>95665.1</v>
      </c>
      <c r="AF1765">
        <v>0</v>
      </c>
      <c r="AG1765" s="24">
        <v>95665.1</v>
      </c>
      <c r="AH1765">
        <v>0</v>
      </c>
      <c r="AI1765">
        <v>0</v>
      </c>
      <c r="AJ1765">
        <v>0</v>
      </c>
      <c r="AK1765">
        <v>0</v>
      </c>
      <c r="AL1765" s="24">
        <v>95665.1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 s="24">
        <v>95665.1</v>
      </c>
      <c r="AV1765">
        <v>0</v>
      </c>
      <c r="AW1765">
        <v>0</v>
      </c>
      <c r="AX1765">
        <v>311000</v>
      </c>
      <c r="AY1765" t="s">
        <v>161</v>
      </c>
      <c r="AZ1765">
        <v>0</v>
      </c>
      <c r="BA1765">
        <v>61</v>
      </c>
      <c r="BB1765">
        <v>-61</v>
      </c>
      <c r="BC1765" t="s">
        <v>193</v>
      </c>
      <c r="BD1765">
        <v>1509</v>
      </c>
      <c r="BE1765" t="s">
        <v>169</v>
      </c>
      <c r="BF1765">
        <v>5094249694</v>
      </c>
      <c r="BG1765" t="s">
        <v>381</v>
      </c>
    </row>
    <row r="1766" spans="1:59">
      <c r="A1766">
        <v>1115</v>
      </c>
      <c r="B1766">
        <v>1115</v>
      </c>
      <c r="C1766">
        <v>10</v>
      </c>
      <c r="D1766">
        <v>2</v>
      </c>
      <c r="E1766" t="s">
        <v>152</v>
      </c>
      <c r="F1766" t="s">
        <v>153</v>
      </c>
      <c r="G1766" t="s">
        <v>154</v>
      </c>
      <c r="H1766">
        <v>1526007170</v>
      </c>
      <c r="I1766">
        <v>1000007459</v>
      </c>
      <c r="L1766" t="s">
        <v>381</v>
      </c>
      <c r="M1766">
        <v>5100001928</v>
      </c>
      <c r="N1766" t="s">
        <v>155</v>
      </c>
      <c r="O1766" t="s">
        <v>156</v>
      </c>
      <c r="P1766">
        <v>4110057393</v>
      </c>
      <c r="Q1766" t="s">
        <v>192</v>
      </c>
      <c r="R1766">
        <v>5000</v>
      </c>
      <c r="S1766" t="s">
        <v>166</v>
      </c>
      <c r="V1766" t="s">
        <v>167</v>
      </c>
      <c r="W1766">
        <v>1502020122</v>
      </c>
      <c r="X1766" t="s">
        <v>70</v>
      </c>
      <c r="Y1766" t="str">
        <f>VLOOKUP(W1766,Sheet4!$A$5:$B$72,2,0)</f>
        <v>MAX UG NEW EV</v>
      </c>
      <c r="Z1766">
        <v>87082900</v>
      </c>
      <c r="AA1766">
        <v>10</v>
      </c>
      <c r="AB1766" t="s">
        <v>159</v>
      </c>
      <c r="AC1766" s="24">
        <v>9566.51</v>
      </c>
      <c r="AD1766" t="s">
        <v>160</v>
      </c>
      <c r="AE1766" s="24">
        <v>95665.1</v>
      </c>
      <c r="AF1766">
        <v>0</v>
      </c>
      <c r="AG1766" s="24">
        <v>95665.1</v>
      </c>
      <c r="AH1766">
        <v>0</v>
      </c>
      <c r="AI1766">
        <v>0</v>
      </c>
      <c r="AJ1766">
        <v>0</v>
      </c>
      <c r="AK1766">
        <v>0</v>
      </c>
      <c r="AL1766" s="24">
        <v>95665.1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 s="24">
        <v>95665.1</v>
      </c>
      <c r="AV1766">
        <v>0</v>
      </c>
      <c r="AW1766">
        <v>0</v>
      </c>
      <c r="AX1766">
        <v>311000</v>
      </c>
      <c r="AY1766" t="s">
        <v>161</v>
      </c>
      <c r="AZ1766">
        <v>0</v>
      </c>
      <c r="BA1766">
        <v>61</v>
      </c>
      <c r="BB1766">
        <v>-61</v>
      </c>
      <c r="BC1766" t="s">
        <v>193</v>
      </c>
      <c r="BD1766">
        <v>1509</v>
      </c>
      <c r="BE1766" t="s">
        <v>169</v>
      </c>
      <c r="BF1766">
        <v>5094249695</v>
      </c>
      <c r="BG1766" t="s">
        <v>381</v>
      </c>
    </row>
    <row r="1767" spans="1:59">
      <c r="A1767">
        <v>1115</v>
      </c>
      <c r="B1767">
        <v>1115</v>
      </c>
      <c r="C1767">
        <v>10</v>
      </c>
      <c r="D1767">
        <v>2</v>
      </c>
      <c r="E1767" t="s">
        <v>152</v>
      </c>
      <c r="F1767" t="s">
        <v>153</v>
      </c>
      <c r="G1767" t="s">
        <v>154</v>
      </c>
      <c r="H1767">
        <v>1526007169</v>
      </c>
      <c r="I1767">
        <v>1000007458</v>
      </c>
      <c r="L1767" t="s">
        <v>381</v>
      </c>
      <c r="M1767">
        <v>5100001928</v>
      </c>
      <c r="N1767" t="s">
        <v>155</v>
      </c>
      <c r="O1767" t="s">
        <v>156</v>
      </c>
      <c r="P1767">
        <v>4110057393</v>
      </c>
      <c r="Q1767" t="s">
        <v>192</v>
      </c>
      <c r="R1767">
        <v>5000</v>
      </c>
      <c r="S1767" t="s">
        <v>166</v>
      </c>
      <c r="V1767" t="s">
        <v>167</v>
      </c>
      <c r="W1767">
        <v>1502020122</v>
      </c>
      <c r="X1767" t="s">
        <v>70</v>
      </c>
      <c r="Y1767" t="str">
        <f>VLOOKUP(W1767,Sheet4!$A$5:$B$72,2,0)</f>
        <v>MAX UG NEW EV</v>
      </c>
      <c r="Z1767">
        <v>87082900</v>
      </c>
      <c r="AA1767">
        <v>10</v>
      </c>
      <c r="AB1767" t="s">
        <v>159</v>
      </c>
      <c r="AC1767" s="24">
        <v>9566.51</v>
      </c>
      <c r="AD1767" t="s">
        <v>160</v>
      </c>
      <c r="AE1767" s="24">
        <v>95665.1</v>
      </c>
      <c r="AF1767">
        <v>0</v>
      </c>
      <c r="AG1767" s="24">
        <v>95665.1</v>
      </c>
      <c r="AH1767">
        <v>0</v>
      </c>
      <c r="AI1767">
        <v>0</v>
      </c>
      <c r="AJ1767">
        <v>0</v>
      </c>
      <c r="AK1767">
        <v>0</v>
      </c>
      <c r="AL1767" s="24">
        <v>95665.1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 s="24">
        <v>95665.1</v>
      </c>
      <c r="AV1767">
        <v>0</v>
      </c>
      <c r="AW1767">
        <v>0</v>
      </c>
      <c r="AX1767">
        <v>311000</v>
      </c>
      <c r="AY1767" t="s">
        <v>161</v>
      </c>
      <c r="AZ1767">
        <v>0</v>
      </c>
      <c r="BA1767">
        <v>61</v>
      </c>
      <c r="BB1767">
        <v>-61</v>
      </c>
      <c r="BC1767" t="s">
        <v>193</v>
      </c>
      <c r="BD1767">
        <v>1509</v>
      </c>
      <c r="BE1767" t="s">
        <v>169</v>
      </c>
      <c r="BF1767">
        <v>5094249734</v>
      </c>
      <c r="BG1767" t="s">
        <v>381</v>
      </c>
    </row>
    <row r="1768" spans="1:59">
      <c r="A1768">
        <v>1115</v>
      </c>
      <c r="B1768">
        <v>1115</v>
      </c>
      <c r="C1768">
        <v>10</v>
      </c>
      <c r="D1768">
        <v>2</v>
      </c>
      <c r="E1768" t="s">
        <v>152</v>
      </c>
      <c r="F1768" t="s">
        <v>153</v>
      </c>
      <c r="G1768" t="s">
        <v>154</v>
      </c>
      <c r="H1768">
        <v>1526007168</v>
      </c>
      <c r="I1768">
        <v>1000007457</v>
      </c>
      <c r="L1768" t="s">
        <v>381</v>
      </c>
      <c r="M1768">
        <v>5100001666</v>
      </c>
      <c r="N1768" t="s">
        <v>155</v>
      </c>
      <c r="O1768" t="s">
        <v>156</v>
      </c>
      <c r="P1768">
        <v>4110027035</v>
      </c>
      <c r="Q1768" t="s">
        <v>225</v>
      </c>
      <c r="R1768">
        <v>5000</v>
      </c>
      <c r="S1768" t="s">
        <v>166</v>
      </c>
      <c r="V1768" t="s">
        <v>167</v>
      </c>
      <c r="W1768">
        <v>1502020105</v>
      </c>
      <c r="X1768" t="s">
        <v>226</v>
      </c>
      <c r="Y1768" t="str">
        <f>VLOOKUP(W1768,Sheet4!$A$5:$B$72,2,0)</f>
        <v>RE STYLING</v>
      </c>
      <c r="Z1768">
        <v>87082900</v>
      </c>
      <c r="AA1768">
        <v>15</v>
      </c>
      <c r="AB1768" t="s">
        <v>159</v>
      </c>
      <c r="AC1768" s="24">
        <v>6570.77</v>
      </c>
      <c r="AD1768" t="s">
        <v>160</v>
      </c>
      <c r="AE1768" s="24">
        <v>98561.55</v>
      </c>
      <c r="AF1768">
        <v>0</v>
      </c>
      <c r="AG1768" s="24">
        <v>98561.55</v>
      </c>
      <c r="AH1768">
        <v>0</v>
      </c>
      <c r="AI1768">
        <v>0</v>
      </c>
      <c r="AJ1768">
        <v>0</v>
      </c>
      <c r="AK1768">
        <v>0</v>
      </c>
      <c r="AL1768" s="24">
        <v>98561.55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 s="24">
        <v>98561.55</v>
      </c>
      <c r="AV1768">
        <v>0</v>
      </c>
      <c r="AW1768">
        <v>0</v>
      </c>
      <c r="AX1768">
        <v>311000</v>
      </c>
      <c r="AY1768" t="s">
        <v>161</v>
      </c>
      <c r="AZ1768">
        <v>49.75</v>
      </c>
      <c r="BA1768">
        <v>49.75</v>
      </c>
      <c r="BB1768">
        <v>0</v>
      </c>
      <c r="BC1768" t="s">
        <v>227</v>
      </c>
      <c r="BD1768">
        <v>1509</v>
      </c>
      <c r="BE1768" t="s">
        <v>169</v>
      </c>
      <c r="BF1768">
        <v>5094249914</v>
      </c>
      <c r="BG1768" t="s">
        <v>381</v>
      </c>
    </row>
    <row r="1769" spans="1:59">
      <c r="A1769">
        <v>1115</v>
      </c>
      <c r="B1769">
        <v>1115</v>
      </c>
      <c r="C1769">
        <v>10</v>
      </c>
      <c r="D1769">
        <v>2</v>
      </c>
      <c r="E1769" t="s">
        <v>152</v>
      </c>
      <c r="F1769" t="s">
        <v>153</v>
      </c>
      <c r="G1769" t="s">
        <v>154</v>
      </c>
      <c r="H1769">
        <v>1526007167</v>
      </c>
      <c r="I1769">
        <v>1000007456</v>
      </c>
      <c r="L1769" t="s">
        <v>381</v>
      </c>
      <c r="M1769">
        <v>5100001666</v>
      </c>
      <c r="N1769" t="s">
        <v>155</v>
      </c>
      <c r="O1769" t="s">
        <v>156</v>
      </c>
      <c r="P1769">
        <v>4110027035</v>
      </c>
      <c r="Q1769" t="s">
        <v>225</v>
      </c>
      <c r="R1769">
        <v>5000</v>
      </c>
      <c r="S1769" t="s">
        <v>166</v>
      </c>
      <c r="V1769" t="s">
        <v>167</v>
      </c>
      <c r="W1769">
        <v>1502020105</v>
      </c>
      <c r="X1769" t="s">
        <v>226</v>
      </c>
      <c r="Y1769" t="str">
        <f>VLOOKUP(W1769,Sheet4!$A$5:$B$72,2,0)</f>
        <v>RE STYLING</v>
      </c>
      <c r="Z1769">
        <v>87082900</v>
      </c>
      <c r="AA1769">
        <v>15</v>
      </c>
      <c r="AB1769" t="s">
        <v>159</v>
      </c>
      <c r="AC1769" s="24">
        <v>6570.77</v>
      </c>
      <c r="AD1769" t="s">
        <v>160</v>
      </c>
      <c r="AE1769" s="24">
        <v>98561.55</v>
      </c>
      <c r="AF1769">
        <v>0</v>
      </c>
      <c r="AG1769" s="24">
        <v>98561.55</v>
      </c>
      <c r="AH1769">
        <v>0</v>
      </c>
      <c r="AI1769">
        <v>0</v>
      </c>
      <c r="AJ1769">
        <v>0</v>
      </c>
      <c r="AK1769">
        <v>0</v>
      </c>
      <c r="AL1769" s="24">
        <v>98561.55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 s="24">
        <v>98561.55</v>
      </c>
      <c r="AV1769">
        <v>0</v>
      </c>
      <c r="AW1769">
        <v>0</v>
      </c>
      <c r="AX1769">
        <v>311000</v>
      </c>
      <c r="AY1769" t="s">
        <v>161</v>
      </c>
      <c r="AZ1769">
        <v>49.75</v>
      </c>
      <c r="BA1769">
        <v>49.75</v>
      </c>
      <c r="BB1769">
        <v>0</v>
      </c>
      <c r="BC1769" t="s">
        <v>227</v>
      </c>
      <c r="BD1769">
        <v>1509</v>
      </c>
      <c r="BE1769" t="s">
        <v>169</v>
      </c>
      <c r="BF1769">
        <v>5094249918</v>
      </c>
      <c r="BG1769" t="s">
        <v>381</v>
      </c>
    </row>
    <row r="1770" spans="1:59">
      <c r="A1770">
        <v>1115</v>
      </c>
      <c r="B1770">
        <v>1115</v>
      </c>
      <c r="C1770">
        <v>10</v>
      </c>
      <c r="D1770">
        <v>2</v>
      </c>
      <c r="E1770" t="s">
        <v>152</v>
      </c>
      <c r="F1770" t="s">
        <v>153</v>
      </c>
      <c r="G1770" t="s">
        <v>154</v>
      </c>
      <c r="H1770">
        <v>1526007166</v>
      </c>
      <c r="I1770">
        <v>1000007455</v>
      </c>
      <c r="L1770" t="s">
        <v>381</v>
      </c>
      <c r="M1770">
        <v>5100001666</v>
      </c>
      <c r="N1770" t="s">
        <v>155</v>
      </c>
      <c r="O1770" t="s">
        <v>156</v>
      </c>
      <c r="P1770">
        <v>4110027035</v>
      </c>
      <c r="Q1770" t="s">
        <v>225</v>
      </c>
      <c r="R1770">
        <v>5000</v>
      </c>
      <c r="S1770" t="s">
        <v>166</v>
      </c>
      <c r="V1770" t="s">
        <v>167</v>
      </c>
      <c r="W1770">
        <v>1502020105</v>
      </c>
      <c r="X1770" t="s">
        <v>226</v>
      </c>
      <c r="Y1770" t="str">
        <f>VLOOKUP(W1770,Sheet4!$A$5:$B$72,2,0)</f>
        <v>RE STYLING</v>
      </c>
      <c r="Z1770">
        <v>87082900</v>
      </c>
      <c r="AA1770">
        <v>15</v>
      </c>
      <c r="AB1770" t="s">
        <v>159</v>
      </c>
      <c r="AC1770" s="24">
        <v>6570.77</v>
      </c>
      <c r="AD1770" t="s">
        <v>160</v>
      </c>
      <c r="AE1770" s="24">
        <v>98561.55</v>
      </c>
      <c r="AF1770">
        <v>0</v>
      </c>
      <c r="AG1770" s="24">
        <v>98561.55</v>
      </c>
      <c r="AH1770">
        <v>0</v>
      </c>
      <c r="AI1770">
        <v>0</v>
      </c>
      <c r="AJ1770">
        <v>0</v>
      </c>
      <c r="AK1770">
        <v>0</v>
      </c>
      <c r="AL1770" s="24">
        <v>98561.55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 s="24">
        <v>98561.55</v>
      </c>
      <c r="AV1770">
        <v>0</v>
      </c>
      <c r="AW1770">
        <v>0</v>
      </c>
      <c r="AX1770">
        <v>311000</v>
      </c>
      <c r="AY1770" t="s">
        <v>161</v>
      </c>
      <c r="AZ1770">
        <v>49.75</v>
      </c>
      <c r="BA1770">
        <v>49.75</v>
      </c>
      <c r="BB1770">
        <v>0</v>
      </c>
      <c r="BC1770" t="s">
        <v>227</v>
      </c>
      <c r="BD1770">
        <v>1509</v>
      </c>
      <c r="BE1770" t="s">
        <v>169</v>
      </c>
      <c r="BF1770">
        <v>5094249912</v>
      </c>
      <c r="BG1770" t="s">
        <v>381</v>
      </c>
    </row>
    <row r="1771" spans="1:59">
      <c r="A1771">
        <v>1115</v>
      </c>
      <c r="B1771">
        <v>1115</v>
      </c>
      <c r="C1771">
        <v>10</v>
      </c>
      <c r="D1771">
        <v>2</v>
      </c>
      <c r="E1771" t="s">
        <v>152</v>
      </c>
      <c r="F1771" t="s">
        <v>153</v>
      </c>
      <c r="G1771" t="s">
        <v>154</v>
      </c>
      <c r="H1771">
        <v>1526007165</v>
      </c>
      <c r="I1771">
        <v>1000007454</v>
      </c>
      <c r="L1771" t="s">
        <v>381</v>
      </c>
      <c r="M1771">
        <v>5100001666</v>
      </c>
      <c r="N1771" t="s">
        <v>155</v>
      </c>
      <c r="O1771" t="s">
        <v>156</v>
      </c>
      <c r="P1771">
        <v>4110027035</v>
      </c>
      <c r="Q1771" t="s">
        <v>225</v>
      </c>
      <c r="R1771">
        <v>5000</v>
      </c>
      <c r="S1771" t="s">
        <v>166</v>
      </c>
      <c r="V1771" t="s">
        <v>167</v>
      </c>
      <c r="W1771">
        <v>1502020105</v>
      </c>
      <c r="X1771" t="s">
        <v>226</v>
      </c>
      <c r="Y1771" t="str">
        <f>VLOOKUP(W1771,Sheet4!$A$5:$B$72,2,0)</f>
        <v>RE STYLING</v>
      </c>
      <c r="Z1771">
        <v>87082900</v>
      </c>
      <c r="AA1771">
        <v>15</v>
      </c>
      <c r="AB1771" t="s">
        <v>159</v>
      </c>
      <c r="AC1771" s="24">
        <v>6570.77</v>
      </c>
      <c r="AD1771" t="s">
        <v>160</v>
      </c>
      <c r="AE1771" s="24">
        <v>98561.55</v>
      </c>
      <c r="AF1771">
        <v>0</v>
      </c>
      <c r="AG1771" s="24">
        <v>98561.55</v>
      </c>
      <c r="AH1771">
        <v>0</v>
      </c>
      <c r="AI1771">
        <v>0</v>
      </c>
      <c r="AJ1771">
        <v>0</v>
      </c>
      <c r="AK1771">
        <v>0</v>
      </c>
      <c r="AL1771" s="24">
        <v>98561.55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 s="24">
        <v>98561.55</v>
      </c>
      <c r="AV1771">
        <v>0</v>
      </c>
      <c r="AW1771">
        <v>0</v>
      </c>
      <c r="AX1771">
        <v>311000</v>
      </c>
      <c r="AY1771" t="s">
        <v>161</v>
      </c>
      <c r="AZ1771">
        <v>49.75</v>
      </c>
      <c r="BA1771">
        <v>49.75</v>
      </c>
      <c r="BB1771">
        <v>0</v>
      </c>
      <c r="BC1771" t="s">
        <v>227</v>
      </c>
      <c r="BD1771">
        <v>1509</v>
      </c>
      <c r="BE1771" t="s">
        <v>169</v>
      </c>
      <c r="BF1771">
        <v>5094249913</v>
      </c>
      <c r="BG1771" t="s">
        <v>381</v>
      </c>
    </row>
    <row r="1772" spans="1:59">
      <c r="A1772">
        <v>1115</v>
      </c>
      <c r="B1772">
        <v>1115</v>
      </c>
      <c r="C1772">
        <v>10</v>
      </c>
      <c r="D1772">
        <v>2</v>
      </c>
      <c r="E1772" t="s">
        <v>152</v>
      </c>
      <c r="F1772" t="s">
        <v>153</v>
      </c>
      <c r="G1772" t="s">
        <v>154</v>
      </c>
      <c r="H1772">
        <v>1526007164</v>
      </c>
      <c r="I1772">
        <v>1000007453</v>
      </c>
      <c r="L1772" t="s">
        <v>381</v>
      </c>
      <c r="M1772">
        <v>5100001666</v>
      </c>
      <c r="N1772" t="s">
        <v>155</v>
      </c>
      <c r="O1772" t="s">
        <v>156</v>
      </c>
      <c r="P1772">
        <v>4110027035</v>
      </c>
      <c r="Q1772" t="s">
        <v>225</v>
      </c>
      <c r="R1772">
        <v>5000</v>
      </c>
      <c r="S1772" t="s">
        <v>166</v>
      </c>
      <c r="V1772" t="s">
        <v>167</v>
      </c>
      <c r="W1772">
        <v>1502020105</v>
      </c>
      <c r="X1772" t="s">
        <v>226</v>
      </c>
      <c r="Y1772" t="str">
        <f>VLOOKUP(W1772,Sheet4!$A$5:$B$72,2,0)</f>
        <v>RE STYLING</v>
      </c>
      <c r="Z1772">
        <v>87082900</v>
      </c>
      <c r="AA1772">
        <v>15</v>
      </c>
      <c r="AB1772" t="s">
        <v>159</v>
      </c>
      <c r="AC1772" s="24">
        <v>6570.77</v>
      </c>
      <c r="AD1772" t="s">
        <v>160</v>
      </c>
      <c r="AE1772" s="24">
        <v>98561.55</v>
      </c>
      <c r="AF1772">
        <v>0</v>
      </c>
      <c r="AG1772" s="24">
        <v>98561.55</v>
      </c>
      <c r="AH1772">
        <v>0</v>
      </c>
      <c r="AI1772">
        <v>0</v>
      </c>
      <c r="AJ1772">
        <v>0</v>
      </c>
      <c r="AK1772">
        <v>0</v>
      </c>
      <c r="AL1772" s="24">
        <v>98561.55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 s="24">
        <v>98561.55</v>
      </c>
      <c r="AV1772">
        <v>0</v>
      </c>
      <c r="AW1772">
        <v>0</v>
      </c>
      <c r="AX1772">
        <v>311000</v>
      </c>
      <c r="AY1772" t="s">
        <v>161</v>
      </c>
      <c r="AZ1772">
        <v>49.75</v>
      </c>
      <c r="BA1772">
        <v>49.75</v>
      </c>
      <c r="BB1772">
        <v>0</v>
      </c>
      <c r="BC1772" t="s">
        <v>227</v>
      </c>
      <c r="BD1772">
        <v>1509</v>
      </c>
      <c r="BE1772" t="s">
        <v>169</v>
      </c>
      <c r="BF1772">
        <v>5094249911</v>
      </c>
      <c r="BG1772" t="s">
        <v>381</v>
      </c>
    </row>
    <row r="1773" spans="1:59">
      <c r="A1773">
        <v>1115</v>
      </c>
      <c r="B1773">
        <v>1115</v>
      </c>
      <c r="C1773">
        <v>10</v>
      </c>
      <c r="D1773">
        <v>2</v>
      </c>
      <c r="E1773" t="s">
        <v>152</v>
      </c>
      <c r="F1773" t="s">
        <v>153</v>
      </c>
      <c r="G1773" t="s">
        <v>154</v>
      </c>
      <c r="H1773">
        <v>1526007163</v>
      </c>
      <c r="I1773">
        <v>1000007452</v>
      </c>
      <c r="L1773" t="s">
        <v>381</v>
      </c>
      <c r="M1773">
        <v>5100001603</v>
      </c>
      <c r="N1773" t="s">
        <v>155</v>
      </c>
      <c r="O1773" t="s">
        <v>156</v>
      </c>
      <c r="P1773">
        <v>4110025468</v>
      </c>
      <c r="Q1773" t="s">
        <v>165</v>
      </c>
      <c r="R1773">
        <v>5000</v>
      </c>
      <c r="S1773" t="s">
        <v>166</v>
      </c>
      <c r="V1773" t="s">
        <v>167</v>
      </c>
      <c r="W1773">
        <v>1502020102</v>
      </c>
      <c r="X1773" t="s">
        <v>58</v>
      </c>
      <c r="Y1773" t="str">
        <f>VLOOKUP(W1773,Sheet4!$A$5:$B$72,2,0)</f>
        <v>MAXIMA HD</v>
      </c>
      <c r="Z1773">
        <v>87082900</v>
      </c>
      <c r="AA1773">
        <v>8</v>
      </c>
      <c r="AB1773" t="s">
        <v>159</v>
      </c>
      <c r="AC1773" s="24">
        <v>8593.51</v>
      </c>
      <c r="AD1773" t="s">
        <v>160</v>
      </c>
      <c r="AE1773" s="24">
        <v>68748.08</v>
      </c>
      <c r="AF1773">
        <v>0</v>
      </c>
      <c r="AG1773" s="24">
        <v>68748.08</v>
      </c>
      <c r="AH1773">
        <v>0</v>
      </c>
      <c r="AI1773">
        <v>0</v>
      </c>
      <c r="AJ1773">
        <v>0</v>
      </c>
      <c r="AK1773">
        <v>0</v>
      </c>
      <c r="AL1773" s="24">
        <v>68748.08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 s="24">
        <v>68748.08</v>
      </c>
      <c r="AV1773">
        <v>0</v>
      </c>
      <c r="AW1773">
        <v>0</v>
      </c>
      <c r="AX1773">
        <v>311000</v>
      </c>
      <c r="AY1773" t="s">
        <v>161</v>
      </c>
      <c r="AZ1773">
        <v>93.34</v>
      </c>
      <c r="BA1773">
        <v>75.430000000000007</v>
      </c>
      <c r="BB1773">
        <v>17.91</v>
      </c>
      <c r="BC1773" t="s">
        <v>168</v>
      </c>
      <c r="BD1773">
        <v>1509</v>
      </c>
      <c r="BE1773" t="s">
        <v>169</v>
      </c>
      <c r="BF1773">
        <v>5094249976</v>
      </c>
      <c r="BG1773" t="s">
        <v>381</v>
      </c>
    </row>
    <row r="1774" spans="1:59">
      <c r="A1774">
        <v>1115</v>
      </c>
      <c r="B1774">
        <v>1115</v>
      </c>
      <c r="C1774">
        <v>10</v>
      </c>
      <c r="D1774">
        <v>2</v>
      </c>
      <c r="E1774" t="s">
        <v>152</v>
      </c>
      <c r="F1774" t="s">
        <v>153</v>
      </c>
      <c r="G1774" t="s">
        <v>154</v>
      </c>
      <c r="H1774">
        <v>1526007162</v>
      </c>
      <c r="I1774">
        <v>1000007451</v>
      </c>
      <c r="L1774" t="s">
        <v>381</v>
      </c>
      <c r="M1774">
        <v>5100001603</v>
      </c>
      <c r="N1774" t="s">
        <v>155</v>
      </c>
      <c r="O1774" t="s">
        <v>156</v>
      </c>
      <c r="P1774">
        <v>4110025468</v>
      </c>
      <c r="Q1774" t="s">
        <v>165</v>
      </c>
      <c r="R1774">
        <v>5000</v>
      </c>
      <c r="S1774" t="s">
        <v>166</v>
      </c>
      <c r="V1774" t="s">
        <v>167</v>
      </c>
      <c r="W1774">
        <v>1502020102</v>
      </c>
      <c r="X1774" t="s">
        <v>58</v>
      </c>
      <c r="Y1774" t="str">
        <f>VLOOKUP(W1774,Sheet4!$A$5:$B$72,2,0)</f>
        <v>MAXIMA HD</v>
      </c>
      <c r="Z1774">
        <v>87082900</v>
      </c>
      <c r="AA1774">
        <v>8</v>
      </c>
      <c r="AB1774" t="s">
        <v>159</v>
      </c>
      <c r="AC1774" s="24">
        <v>8593.51</v>
      </c>
      <c r="AD1774" t="s">
        <v>160</v>
      </c>
      <c r="AE1774" s="24">
        <v>68748.08</v>
      </c>
      <c r="AF1774">
        <v>0</v>
      </c>
      <c r="AG1774" s="24">
        <v>68748.08</v>
      </c>
      <c r="AH1774">
        <v>0</v>
      </c>
      <c r="AI1774">
        <v>0</v>
      </c>
      <c r="AJ1774">
        <v>0</v>
      </c>
      <c r="AK1774">
        <v>0</v>
      </c>
      <c r="AL1774" s="24">
        <v>68748.08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 s="24">
        <v>68748.08</v>
      </c>
      <c r="AV1774">
        <v>0</v>
      </c>
      <c r="AW1774">
        <v>0</v>
      </c>
      <c r="AX1774">
        <v>311000</v>
      </c>
      <c r="AY1774" t="s">
        <v>161</v>
      </c>
      <c r="AZ1774">
        <v>93.34</v>
      </c>
      <c r="BA1774">
        <v>75.430000000000007</v>
      </c>
      <c r="BB1774">
        <v>17.91</v>
      </c>
      <c r="BC1774" t="s">
        <v>168</v>
      </c>
      <c r="BD1774">
        <v>1509</v>
      </c>
      <c r="BE1774" t="s">
        <v>169</v>
      </c>
      <c r="BF1774">
        <v>5094265544</v>
      </c>
      <c r="BG1774" t="s">
        <v>381</v>
      </c>
    </row>
    <row r="1775" spans="1:59">
      <c r="A1775">
        <v>1115</v>
      </c>
      <c r="B1775">
        <v>1115</v>
      </c>
      <c r="C1775">
        <v>10</v>
      </c>
      <c r="D1775">
        <v>2</v>
      </c>
      <c r="E1775" t="s">
        <v>152</v>
      </c>
      <c r="F1775" t="s">
        <v>153</v>
      </c>
      <c r="G1775" t="s">
        <v>154</v>
      </c>
      <c r="H1775">
        <v>1526007161</v>
      </c>
      <c r="I1775">
        <v>1000007450</v>
      </c>
      <c r="L1775" t="s">
        <v>381</v>
      </c>
      <c r="M1775">
        <v>5100001603</v>
      </c>
      <c r="N1775" t="s">
        <v>155</v>
      </c>
      <c r="O1775" t="s">
        <v>156</v>
      </c>
      <c r="P1775">
        <v>4110025468</v>
      </c>
      <c r="Q1775" t="s">
        <v>165</v>
      </c>
      <c r="R1775">
        <v>5000</v>
      </c>
      <c r="S1775" t="s">
        <v>166</v>
      </c>
      <c r="V1775" t="s">
        <v>167</v>
      </c>
      <c r="W1775">
        <v>1502020102</v>
      </c>
      <c r="X1775" t="s">
        <v>58</v>
      </c>
      <c r="Y1775" t="str">
        <f>VLOOKUP(W1775,Sheet4!$A$5:$B$72,2,0)</f>
        <v>MAXIMA HD</v>
      </c>
      <c r="Z1775">
        <v>87082900</v>
      </c>
      <c r="AA1775">
        <v>8</v>
      </c>
      <c r="AB1775" t="s">
        <v>159</v>
      </c>
      <c r="AC1775" s="24">
        <v>8593.51</v>
      </c>
      <c r="AD1775" t="s">
        <v>160</v>
      </c>
      <c r="AE1775" s="24">
        <v>68748.08</v>
      </c>
      <c r="AF1775">
        <v>0</v>
      </c>
      <c r="AG1775" s="24">
        <v>68748.08</v>
      </c>
      <c r="AH1775">
        <v>0</v>
      </c>
      <c r="AI1775">
        <v>0</v>
      </c>
      <c r="AJ1775">
        <v>0</v>
      </c>
      <c r="AK1775">
        <v>0</v>
      </c>
      <c r="AL1775" s="24">
        <v>68748.08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 s="24">
        <v>68748.08</v>
      </c>
      <c r="AV1775">
        <v>0</v>
      </c>
      <c r="AW1775">
        <v>0</v>
      </c>
      <c r="AX1775">
        <v>311000</v>
      </c>
      <c r="AY1775" t="s">
        <v>161</v>
      </c>
      <c r="AZ1775">
        <v>93.34</v>
      </c>
      <c r="BA1775">
        <v>75.430000000000007</v>
      </c>
      <c r="BB1775">
        <v>17.91</v>
      </c>
      <c r="BC1775" t="s">
        <v>168</v>
      </c>
      <c r="BD1775">
        <v>1509</v>
      </c>
      <c r="BE1775" t="s">
        <v>169</v>
      </c>
      <c r="BF1775">
        <v>5094269535</v>
      </c>
      <c r="BG1775" t="s">
        <v>381</v>
      </c>
    </row>
    <row r="1776" spans="1:59">
      <c r="A1776">
        <v>1115</v>
      </c>
      <c r="B1776">
        <v>1115</v>
      </c>
      <c r="C1776">
        <v>10</v>
      </c>
      <c r="D1776">
        <v>2</v>
      </c>
      <c r="E1776" t="s">
        <v>152</v>
      </c>
      <c r="F1776" t="s">
        <v>153</v>
      </c>
      <c r="G1776" t="s">
        <v>154</v>
      </c>
      <c r="H1776">
        <v>1526007160</v>
      </c>
      <c r="I1776">
        <v>1000007449</v>
      </c>
      <c r="L1776" t="s">
        <v>381</v>
      </c>
      <c r="M1776">
        <v>5100001924</v>
      </c>
      <c r="N1776" t="s">
        <v>155</v>
      </c>
      <c r="O1776" t="s">
        <v>156</v>
      </c>
      <c r="P1776">
        <v>4110055642</v>
      </c>
      <c r="Q1776" t="s">
        <v>199</v>
      </c>
      <c r="R1776">
        <v>5000</v>
      </c>
      <c r="S1776" t="s">
        <v>166</v>
      </c>
      <c r="V1776" t="s">
        <v>167</v>
      </c>
      <c r="W1776">
        <v>1502040316</v>
      </c>
      <c r="X1776" t="s">
        <v>351</v>
      </c>
      <c r="Y1776" t="str">
        <f>VLOOKUP(W1776,Sheet4!$A$5:$B$72,2,0)</f>
        <v>Re Side Door</v>
      </c>
      <c r="Z1776">
        <v>87082900</v>
      </c>
      <c r="AA1776">
        <v>120</v>
      </c>
      <c r="AB1776" t="s">
        <v>159</v>
      </c>
      <c r="AC1776">
        <v>497.87</v>
      </c>
      <c r="AD1776" t="s">
        <v>160</v>
      </c>
      <c r="AE1776" s="24">
        <v>59744.4</v>
      </c>
      <c r="AF1776">
        <v>0</v>
      </c>
      <c r="AG1776" s="24">
        <v>59744.4</v>
      </c>
      <c r="AH1776">
        <v>0</v>
      </c>
      <c r="AI1776">
        <v>0</v>
      </c>
      <c r="AJ1776">
        <v>0</v>
      </c>
      <c r="AK1776">
        <v>0</v>
      </c>
      <c r="AL1776" s="24">
        <v>59744.4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 s="24">
        <v>59744.4</v>
      </c>
      <c r="AV1776">
        <v>0</v>
      </c>
      <c r="AW1776">
        <v>0</v>
      </c>
      <c r="AX1776">
        <v>311000</v>
      </c>
      <c r="AY1776" t="s">
        <v>161</v>
      </c>
      <c r="AZ1776">
        <v>2.27</v>
      </c>
      <c r="BA1776">
        <v>2.27</v>
      </c>
      <c r="BB1776">
        <v>0</v>
      </c>
      <c r="BC1776" t="s">
        <v>352</v>
      </c>
      <c r="BD1776">
        <v>1511</v>
      </c>
      <c r="BE1776" t="s">
        <v>174</v>
      </c>
      <c r="BF1776">
        <v>5094268263</v>
      </c>
      <c r="BG1776" t="s">
        <v>381</v>
      </c>
    </row>
    <row r="1777" spans="1:59">
      <c r="A1777">
        <v>1115</v>
      </c>
      <c r="B1777">
        <v>1115</v>
      </c>
      <c r="C1777">
        <v>10</v>
      </c>
      <c r="D1777">
        <v>2</v>
      </c>
      <c r="E1777" t="s">
        <v>152</v>
      </c>
      <c r="F1777" t="s">
        <v>153</v>
      </c>
      <c r="G1777" t="s">
        <v>154</v>
      </c>
      <c r="H1777">
        <v>1526007159</v>
      </c>
      <c r="I1777">
        <v>1000007448</v>
      </c>
      <c r="L1777" t="s">
        <v>381</v>
      </c>
      <c r="M1777">
        <v>5100001924</v>
      </c>
      <c r="N1777" t="s">
        <v>155</v>
      </c>
      <c r="O1777" t="s">
        <v>156</v>
      </c>
      <c r="P1777">
        <v>4110055642</v>
      </c>
      <c r="Q1777" t="s">
        <v>199</v>
      </c>
      <c r="R1777">
        <v>5000</v>
      </c>
      <c r="S1777" t="s">
        <v>166</v>
      </c>
      <c r="V1777" t="s">
        <v>167</v>
      </c>
      <c r="W1777">
        <v>1502040315</v>
      </c>
      <c r="X1777" t="s">
        <v>353</v>
      </c>
      <c r="Y1777" t="str">
        <f>VLOOKUP(W1777,Sheet4!$A$5:$B$72,2,0)</f>
        <v>Re Side Door</v>
      </c>
      <c r="Z1777">
        <v>87082900</v>
      </c>
      <c r="AA1777">
        <v>120</v>
      </c>
      <c r="AB1777" t="s">
        <v>159</v>
      </c>
      <c r="AC1777">
        <v>497.08</v>
      </c>
      <c r="AD1777" t="s">
        <v>160</v>
      </c>
      <c r="AE1777" s="24">
        <v>59649.599999999999</v>
      </c>
      <c r="AF1777">
        <v>0</v>
      </c>
      <c r="AG1777" s="24">
        <v>59649.599999999999</v>
      </c>
      <c r="AH1777">
        <v>0</v>
      </c>
      <c r="AI1777">
        <v>0</v>
      </c>
      <c r="AJ1777">
        <v>0</v>
      </c>
      <c r="AK1777">
        <v>0</v>
      </c>
      <c r="AL1777" s="24">
        <v>59649.599999999999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 s="24">
        <v>59649.599999999999</v>
      </c>
      <c r="AV1777">
        <v>0</v>
      </c>
      <c r="AW1777">
        <v>0</v>
      </c>
      <c r="AX1777">
        <v>311000</v>
      </c>
      <c r="AY1777" t="s">
        <v>161</v>
      </c>
      <c r="AZ1777">
        <v>2.27</v>
      </c>
      <c r="BA1777">
        <v>2.27</v>
      </c>
      <c r="BB1777">
        <v>0</v>
      </c>
      <c r="BC1777" t="s">
        <v>354</v>
      </c>
      <c r="BD1777">
        <v>1511</v>
      </c>
      <c r="BE1777" t="s">
        <v>174</v>
      </c>
      <c r="BF1777">
        <v>5094268260</v>
      </c>
      <c r="BG1777" t="s">
        <v>381</v>
      </c>
    </row>
    <row r="1778" spans="1:59">
      <c r="A1778">
        <v>1115</v>
      </c>
      <c r="B1778">
        <v>1115</v>
      </c>
      <c r="C1778">
        <v>10</v>
      </c>
      <c r="D1778">
        <v>2</v>
      </c>
      <c r="E1778" t="s">
        <v>152</v>
      </c>
      <c r="F1778" t="s">
        <v>153</v>
      </c>
      <c r="G1778" t="s">
        <v>154</v>
      </c>
      <c r="H1778">
        <v>1526007158</v>
      </c>
      <c r="I1778">
        <v>1000007447</v>
      </c>
      <c r="L1778" t="s">
        <v>381</v>
      </c>
      <c r="M1778">
        <v>5100001603</v>
      </c>
      <c r="N1778" t="s">
        <v>155</v>
      </c>
      <c r="O1778" t="s">
        <v>156</v>
      </c>
      <c r="P1778">
        <v>4110025468</v>
      </c>
      <c r="Q1778" t="s">
        <v>165</v>
      </c>
      <c r="R1778">
        <v>5000</v>
      </c>
      <c r="S1778" t="s">
        <v>166</v>
      </c>
      <c r="V1778" t="s">
        <v>167</v>
      </c>
      <c r="W1778">
        <v>1502020102</v>
      </c>
      <c r="X1778" t="s">
        <v>58</v>
      </c>
      <c r="Y1778" t="str">
        <f>VLOOKUP(W1778,Sheet4!$A$5:$B$72,2,0)</f>
        <v>MAXIMA HD</v>
      </c>
      <c r="Z1778">
        <v>87082900</v>
      </c>
      <c r="AA1778">
        <v>8</v>
      </c>
      <c r="AB1778" t="s">
        <v>159</v>
      </c>
      <c r="AC1778" s="24">
        <v>8593.51</v>
      </c>
      <c r="AD1778" t="s">
        <v>160</v>
      </c>
      <c r="AE1778" s="24">
        <v>68748.08</v>
      </c>
      <c r="AF1778">
        <v>0</v>
      </c>
      <c r="AG1778" s="24">
        <v>68748.08</v>
      </c>
      <c r="AH1778">
        <v>0</v>
      </c>
      <c r="AI1778">
        <v>0</v>
      </c>
      <c r="AJ1778">
        <v>0</v>
      </c>
      <c r="AK1778">
        <v>0</v>
      </c>
      <c r="AL1778" s="24">
        <v>68748.08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 s="24">
        <v>68748.08</v>
      </c>
      <c r="AV1778">
        <v>0</v>
      </c>
      <c r="AW1778">
        <v>0</v>
      </c>
      <c r="AX1778">
        <v>311000</v>
      </c>
      <c r="AY1778" t="s">
        <v>161</v>
      </c>
      <c r="AZ1778">
        <v>93.34</v>
      </c>
      <c r="BA1778">
        <v>75.430000000000007</v>
      </c>
      <c r="BB1778">
        <v>17.91</v>
      </c>
      <c r="BC1778" t="s">
        <v>168</v>
      </c>
      <c r="BD1778">
        <v>1509</v>
      </c>
      <c r="BE1778" t="s">
        <v>169</v>
      </c>
      <c r="BF1778">
        <v>5094258080</v>
      </c>
      <c r="BG1778" t="s">
        <v>381</v>
      </c>
    </row>
    <row r="1779" spans="1:59">
      <c r="A1779">
        <v>1115</v>
      </c>
      <c r="B1779">
        <v>1115</v>
      </c>
      <c r="C1779">
        <v>10</v>
      </c>
      <c r="D1779">
        <v>2</v>
      </c>
      <c r="E1779" t="s">
        <v>152</v>
      </c>
      <c r="F1779" t="s">
        <v>153</v>
      </c>
      <c r="G1779" t="s">
        <v>154</v>
      </c>
      <c r="H1779">
        <v>1526007157</v>
      </c>
      <c r="I1779">
        <v>1000007446</v>
      </c>
      <c r="L1779" t="s">
        <v>381</v>
      </c>
      <c r="M1779">
        <v>5100001603</v>
      </c>
      <c r="N1779" t="s">
        <v>155</v>
      </c>
      <c r="O1779" t="s">
        <v>156</v>
      </c>
      <c r="P1779">
        <v>4110025468</v>
      </c>
      <c r="Q1779" t="s">
        <v>165</v>
      </c>
      <c r="R1779">
        <v>5000</v>
      </c>
      <c r="S1779" t="s">
        <v>166</v>
      </c>
      <c r="V1779" t="s">
        <v>167</v>
      </c>
      <c r="W1779">
        <v>1502020102</v>
      </c>
      <c r="X1779" t="s">
        <v>58</v>
      </c>
      <c r="Y1779" t="str">
        <f>VLOOKUP(W1779,Sheet4!$A$5:$B$72,2,0)</f>
        <v>MAXIMA HD</v>
      </c>
      <c r="Z1779">
        <v>87082900</v>
      </c>
      <c r="AA1779">
        <v>8</v>
      </c>
      <c r="AB1779" t="s">
        <v>159</v>
      </c>
      <c r="AC1779" s="24">
        <v>8593.51</v>
      </c>
      <c r="AD1779" t="s">
        <v>160</v>
      </c>
      <c r="AE1779" s="24">
        <v>68748.08</v>
      </c>
      <c r="AF1779">
        <v>0</v>
      </c>
      <c r="AG1779" s="24">
        <v>68748.08</v>
      </c>
      <c r="AH1779">
        <v>0</v>
      </c>
      <c r="AI1779">
        <v>0</v>
      </c>
      <c r="AJ1779">
        <v>0</v>
      </c>
      <c r="AK1779">
        <v>0</v>
      </c>
      <c r="AL1779" s="24">
        <v>68748.08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 s="24">
        <v>68748.08</v>
      </c>
      <c r="AV1779">
        <v>0</v>
      </c>
      <c r="AW1779">
        <v>0</v>
      </c>
      <c r="AX1779">
        <v>311000</v>
      </c>
      <c r="AY1779" t="s">
        <v>161</v>
      </c>
      <c r="AZ1779">
        <v>93.34</v>
      </c>
      <c r="BA1779">
        <v>75.430000000000007</v>
      </c>
      <c r="BB1779">
        <v>17.91</v>
      </c>
      <c r="BC1779" t="s">
        <v>168</v>
      </c>
      <c r="BD1779">
        <v>1509</v>
      </c>
      <c r="BE1779" t="s">
        <v>169</v>
      </c>
      <c r="BF1779">
        <v>5094261229</v>
      </c>
      <c r="BG1779" t="s">
        <v>381</v>
      </c>
    </row>
    <row r="1780" spans="1:59">
      <c r="A1780">
        <v>1115</v>
      </c>
      <c r="B1780">
        <v>1115</v>
      </c>
      <c r="C1780">
        <v>10</v>
      </c>
      <c r="D1780">
        <v>2</v>
      </c>
      <c r="E1780" t="s">
        <v>152</v>
      </c>
      <c r="F1780" t="s">
        <v>153</v>
      </c>
      <c r="G1780" t="s">
        <v>154</v>
      </c>
      <c r="H1780">
        <v>1526007156</v>
      </c>
      <c r="I1780">
        <v>1000007445</v>
      </c>
      <c r="L1780" t="s">
        <v>381</v>
      </c>
      <c r="M1780">
        <v>5100001666</v>
      </c>
      <c r="N1780" t="s">
        <v>155</v>
      </c>
      <c r="O1780" t="s">
        <v>156</v>
      </c>
      <c r="P1780">
        <v>4110027035</v>
      </c>
      <c r="Q1780" t="s">
        <v>225</v>
      </c>
      <c r="R1780">
        <v>5000</v>
      </c>
      <c r="S1780" t="s">
        <v>166</v>
      </c>
      <c r="V1780" t="s">
        <v>167</v>
      </c>
      <c r="W1780">
        <v>1502020105</v>
      </c>
      <c r="X1780" t="s">
        <v>226</v>
      </c>
      <c r="Y1780" t="str">
        <f>VLOOKUP(W1780,Sheet4!$A$5:$B$72,2,0)</f>
        <v>RE STYLING</v>
      </c>
      <c r="Z1780">
        <v>87082900</v>
      </c>
      <c r="AA1780">
        <v>15</v>
      </c>
      <c r="AB1780" t="s">
        <v>159</v>
      </c>
      <c r="AC1780" s="24">
        <v>6570.77</v>
      </c>
      <c r="AD1780" t="s">
        <v>160</v>
      </c>
      <c r="AE1780" s="24">
        <v>98561.55</v>
      </c>
      <c r="AF1780">
        <v>0</v>
      </c>
      <c r="AG1780" s="24">
        <v>98561.55</v>
      </c>
      <c r="AH1780">
        <v>0</v>
      </c>
      <c r="AI1780">
        <v>0</v>
      </c>
      <c r="AJ1780">
        <v>0</v>
      </c>
      <c r="AK1780">
        <v>0</v>
      </c>
      <c r="AL1780" s="24">
        <v>98561.55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 s="24">
        <v>98561.55</v>
      </c>
      <c r="AV1780">
        <v>0</v>
      </c>
      <c r="AW1780">
        <v>0</v>
      </c>
      <c r="AX1780">
        <v>311000</v>
      </c>
      <c r="AY1780" t="s">
        <v>161</v>
      </c>
      <c r="AZ1780">
        <v>49.75</v>
      </c>
      <c r="BA1780">
        <v>49.75</v>
      </c>
      <c r="BB1780">
        <v>0</v>
      </c>
      <c r="BC1780" t="s">
        <v>227</v>
      </c>
      <c r="BD1780">
        <v>1509</v>
      </c>
      <c r="BE1780" t="s">
        <v>169</v>
      </c>
      <c r="BF1780">
        <v>5094249904</v>
      </c>
      <c r="BG1780" t="s">
        <v>381</v>
      </c>
    </row>
    <row r="1781" spans="1:59">
      <c r="A1781">
        <v>1115</v>
      </c>
      <c r="B1781">
        <v>1115</v>
      </c>
      <c r="C1781">
        <v>10</v>
      </c>
      <c r="D1781">
        <v>2</v>
      </c>
      <c r="E1781" t="s">
        <v>152</v>
      </c>
      <c r="F1781" t="s">
        <v>153</v>
      </c>
      <c r="G1781" t="s">
        <v>154</v>
      </c>
      <c r="H1781">
        <v>1526007155</v>
      </c>
      <c r="I1781">
        <v>1000007444</v>
      </c>
      <c r="L1781" t="s">
        <v>381</v>
      </c>
      <c r="M1781">
        <v>5100001666</v>
      </c>
      <c r="N1781" t="s">
        <v>155</v>
      </c>
      <c r="O1781" t="s">
        <v>156</v>
      </c>
      <c r="P1781">
        <v>4110027035</v>
      </c>
      <c r="Q1781" t="s">
        <v>225</v>
      </c>
      <c r="R1781">
        <v>5000</v>
      </c>
      <c r="S1781" t="s">
        <v>166</v>
      </c>
      <c r="V1781" t="s">
        <v>167</v>
      </c>
      <c r="W1781">
        <v>1502020105</v>
      </c>
      <c r="X1781" t="s">
        <v>226</v>
      </c>
      <c r="Y1781" t="str">
        <f>VLOOKUP(W1781,Sheet4!$A$5:$B$72,2,0)</f>
        <v>RE STYLING</v>
      </c>
      <c r="Z1781">
        <v>87082900</v>
      </c>
      <c r="AA1781">
        <v>15</v>
      </c>
      <c r="AB1781" t="s">
        <v>159</v>
      </c>
      <c r="AC1781" s="24">
        <v>6570.77</v>
      </c>
      <c r="AD1781" t="s">
        <v>160</v>
      </c>
      <c r="AE1781" s="24">
        <v>98561.55</v>
      </c>
      <c r="AF1781">
        <v>0</v>
      </c>
      <c r="AG1781" s="24">
        <v>98561.55</v>
      </c>
      <c r="AH1781">
        <v>0</v>
      </c>
      <c r="AI1781">
        <v>0</v>
      </c>
      <c r="AJ1781">
        <v>0</v>
      </c>
      <c r="AK1781">
        <v>0</v>
      </c>
      <c r="AL1781" s="24">
        <v>98561.55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 s="24">
        <v>98561.55</v>
      </c>
      <c r="AV1781">
        <v>0</v>
      </c>
      <c r="AW1781">
        <v>0</v>
      </c>
      <c r="AX1781">
        <v>311000</v>
      </c>
      <c r="AY1781" t="s">
        <v>161</v>
      </c>
      <c r="AZ1781">
        <v>49.75</v>
      </c>
      <c r="BA1781">
        <v>49.75</v>
      </c>
      <c r="BB1781">
        <v>0</v>
      </c>
      <c r="BC1781" t="s">
        <v>227</v>
      </c>
      <c r="BD1781">
        <v>1509</v>
      </c>
      <c r="BE1781" t="s">
        <v>169</v>
      </c>
      <c r="BF1781">
        <v>5094249870</v>
      </c>
      <c r="BG1781" t="s">
        <v>381</v>
      </c>
    </row>
    <row r="1782" spans="1:59">
      <c r="A1782">
        <v>1115</v>
      </c>
      <c r="B1782">
        <v>1115</v>
      </c>
      <c r="C1782">
        <v>10</v>
      </c>
      <c r="D1782">
        <v>2</v>
      </c>
      <c r="E1782" t="s">
        <v>152</v>
      </c>
      <c r="F1782" t="s">
        <v>153</v>
      </c>
      <c r="G1782" t="s">
        <v>154</v>
      </c>
      <c r="H1782">
        <v>1526007218</v>
      </c>
      <c r="I1782">
        <v>1000007506</v>
      </c>
      <c r="L1782" t="s">
        <v>368</v>
      </c>
      <c r="M1782">
        <v>5100001099</v>
      </c>
      <c r="N1782" t="s">
        <v>155</v>
      </c>
      <c r="O1782" t="s">
        <v>156</v>
      </c>
      <c r="P1782">
        <v>4110004650</v>
      </c>
      <c r="Q1782" t="s">
        <v>177</v>
      </c>
      <c r="R1782">
        <v>5000</v>
      </c>
      <c r="S1782" t="s">
        <v>166</v>
      </c>
      <c r="V1782" t="s">
        <v>167</v>
      </c>
      <c r="W1782">
        <v>1502040133</v>
      </c>
      <c r="X1782" t="s">
        <v>228</v>
      </c>
      <c r="Y1782" t="str">
        <f>VLOOKUP(W1782,Sheet4!$A$5:$B$72,2,0)</f>
        <v>REAR COVER</v>
      </c>
      <c r="Z1782">
        <v>87082900</v>
      </c>
      <c r="AA1782">
        <v>55</v>
      </c>
      <c r="AB1782" t="s">
        <v>159</v>
      </c>
      <c r="AC1782">
        <v>164.49</v>
      </c>
      <c r="AD1782" t="s">
        <v>160</v>
      </c>
      <c r="AE1782" s="24">
        <v>9046.9500000000007</v>
      </c>
      <c r="AF1782">
        <v>0</v>
      </c>
      <c r="AG1782" s="24">
        <v>9046.9500000000007</v>
      </c>
      <c r="AH1782">
        <v>0</v>
      </c>
      <c r="AI1782">
        <v>0</v>
      </c>
      <c r="AJ1782">
        <v>0</v>
      </c>
      <c r="AK1782">
        <v>0</v>
      </c>
      <c r="AL1782" s="24">
        <v>9046.9500000000007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 s="24">
        <v>9046.9500000000007</v>
      </c>
      <c r="AV1782">
        <v>0</v>
      </c>
      <c r="AW1782">
        <v>0</v>
      </c>
      <c r="AX1782">
        <v>311000</v>
      </c>
      <c r="AY1782" t="s">
        <v>161</v>
      </c>
      <c r="AZ1782">
        <v>1.248</v>
      </c>
      <c r="BA1782">
        <v>1.248</v>
      </c>
      <c r="BB1782">
        <v>0</v>
      </c>
      <c r="BC1782" t="s">
        <v>229</v>
      </c>
      <c r="BD1782">
        <v>1511</v>
      </c>
      <c r="BE1782" t="s">
        <v>174</v>
      </c>
      <c r="BF1782">
        <v>5094252548</v>
      </c>
      <c r="BG1782" t="s">
        <v>368</v>
      </c>
    </row>
    <row r="1783" spans="1:59">
      <c r="A1783">
        <v>1115</v>
      </c>
      <c r="B1783">
        <v>1115</v>
      </c>
      <c r="C1783">
        <v>10</v>
      </c>
      <c r="D1783">
        <v>2</v>
      </c>
      <c r="E1783" t="s">
        <v>152</v>
      </c>
      <c r="F1783" t="s">
        <v>153</v>
      </c>
      <c r="G1783" t="s">
        <v>154</v>
      </c>
      <c r="H1783">
        <v>1526007217</v>
      </c>
      <c r="I1783">
        <v>1000007505</v>
      </c>
      <c r="L1783" t="s">
        <v>368</v>
      </c>
      <c r="M1783">
        <v>5100001099</v>
      </c>
      <c r="N1783" t="s">
        <v>155</v>
      </c>
      <c r="O1783" t="s">
        <v>156</v>
      </c>
      <c r="P1783">
        <v>4110004650</v>
      </c>
      <c r="Q1783" t="s">
        <v>177</v>
      </c>
      <c r="R1783">
        <v>5000</v>
      </c>
      <c r="S1783" t="s">
        <v>166</v>
      </c>
      <c r="V1783" t="s">
        <v>167</v>
      </c>
      <c r="W1783">
        <v>1502040132</v>
      </c>
      <c r="X1783" t="s">
        <v>230</v>
      </c>
      <c r="Y1783" t="str">
        <f>VLOOKUP(W1783,Sheet4!$A$5:$B$72,2,0)</f>
        <v>REAR COVER</v>
      </c>
      <c r="Z1783">
        <v>87082900</v>
      </c>
      <c r="AA1783">
        <v>55</v>
      </c>
      <c r="AB1783" t="s">
        <v>159</v>
      </c>
      <c r="AC1783">
        <v>159.41</v>
      </c>
      <c r="AD1783" t="s">
        <v>160</v>
      </c>
      <c r="AE1783" s="24">
        <v>8767.5499999999993</v>
      </c>
      <c r="AF1783">
        <v>0</v>
      </c>
      <c r="AG1783" s="24">
        <v>8767.5499999999993</v>
      </c>
      <c r="AH1783">
        <v>0</v>
      </c>
      <c r="AI1783">
        <v>0</v>
      </c>
      <c r="AJ1783">
        <v>0</v>
      </c>
      <c r="AK1783">
        <v>0</v>
      </c>
      <c r="AL1783" s="24">
        <v>8767.5499999999993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 s="24">
        <v>8767.5499999999993</v>
      </c>
      <c r="AV1783">
        <v>0</v>
      </c>
      <c r="AW1783">
        <v>0</v>
      </c>
      <c r="AX1783">
        <v>311000</v>
      </c>
      <c r="AY1783" t="s">
        <v>161</v>
      </c>
      <c r="AZ1783">
        <v>1.1659999999999999</v>
      </c>
      <c r="BA1783">
        <v>1.1659999999999999</v>
      </c>
      <c r="BB1783">
        <v>0</v>
      </c>
      <c r="BC1783" t="s">
        <v>231</v>
      </c>
      <c r="BD1783">
        <v>1511</v>
      </c>
      <c r="BE1783" t="s">
        <v>174</v>
      </c>
      <c r="BF1783">
        <v>5094252547</v>
      </c>
      <c r="BG1783" t="s">
        <v>368</v>
      </c>
    </row>
    <row r="1784" spans="1:59">
      <c r="A1784">
        <v>1115</v>
      </c>
      <c r="B1784">
        <v>1115</v>
      </c>
      <c r="C1784">
        <v>10</v>
      </c>
      <c r="D1784">
        <v>2</v>
      </c>
      <c r="E1784" t="s">
        <v>152</v>
      </c>
      <c r="F1784" t="s">
        <v>153</v>
      </c>
      <c r="G1784" t="s">
        <v>154</v>
      </c>
      <c r="H1784">
        <v>1526007216</v>
      </c>
      <c r="I1784">
        <v>1000007504</v>
      </c>
      <c r="L1784" t="s">
        <v>368</v>
      </c>
      <c r="M1784">
        <v>5100001925</v>
      </c>
      <c r="N1784" t="s">
        <v>155</v>
      </c>
      <c r="O1784" t="s">
        <v>156</v>
      </c>
      <c r="P1784">
        <v>4110055667</v>
      </c>
      <c r="Q1784" t="s">
        <v>185</v>
      </c>
      <c r="R1784">
        <v>5000</v>
      </c>
      <c r="S1784" t="s">
        <v>166</v>
      </c>
      <c r="V1784" t="s">
        <v>167</v>
      </c>
      <c r="W1784">
        <v>1502040318</v>
      </c>
      <c r="X1784" t="s">
        <v>72</v>
      </c>
      <c r="Y1784" t="str">
        <f>VLOOKUP(W1784,Sheet4!$A$5:$B$72,2,0)</f>
        <v>Re Side Door</v>
      </c>
      <c r="Z1784">
        <v>87082900</v>
      </c>
      <c r="AA1784">
        <v>120</v>
      </c>
      <c r="AB1784" t="s">
        <v>159</v>
      </c>
      <c r="AC1784">
        <v>506.59</v>
      </c>
      <c r="AD1784" t="s">
        <v>160</v>
      </c>
      <c r="AE1784" s="24">
        <v>60790.8</v>
      </c>
      <c r="AF1784">
        <v>0</v>
      </c>
      <c r="AG1784" s="24">
        <v>60790.8</v>
      </c>
      <c r="AH1784">
        <v>0</v>
      </c>
      <c r="AI1784">
        <v>0</v>
      </c>
      <c r="AJ1784">
        <v>0</v>
      </c>
      <c r="AK1784">
        <v>0</v>
      </c>
      <c r="AL1784" s="24">
        <v>60790.8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 s="24">
        <v>60790.8</v>
      </c>
      <c r="AV1784">
        <v>0</v>
      </c>
      <c r="AW1784">
        <v>0</v>
      </c>
      <c r="AX1784">
        <v>311000</v>
      </c>
      <c r="AY1784" t="s">
        <v>161</v>
      </c>
      <c r="AZ1784">
        <v>2.27</v>
      </c>
      <c r="BA1784">
        <v>2.27</v>
      </c>
      <c r="BB1784">
        <v>0</v>
      </c>
      <c r="BC1784" t="s">
        <v>187</v>
      </c>
      <c r="BD1784">
        <v>1511</v>
      </c>
      <c r="BE1784" t="s">
        <v>174</v>
      </c>
      <c r="BF1784">
        <v>5094268245</v>
      </c>
      <c r="BG1784" t="s">
        <v>368</v>
      </c>
    </row>
    <row r="1785" spans="1:59">
      <c r="A1785">
        <v>1115</v>
      </c>
      <c r="B1785">
        <v>1115</v>
      </c>
      <c r="C1785">
        <v>10</v>
      </c>
      <c r="D1785">
        <v>2</v>
      </c>
      <c r="E1785" t="s">
        <v>152</v>
      </c>
      <c r="F1785" t="s">
        <v>153</v>
      </c>
      <c r="G1785" t="s">
        <v>154</v>
      </c>
      <c r="H1785">
        <v>1526007215</v>
      </c>
      <c r="I1785">
        <v>1000007503</v>
      </c>
      <c r="L1785" t="s">
        <v>368</v>
      </c>
      <c r="M1785">
        <v>5100001925</v>
      </c>
      <c r="N1785" t="s">
        <v>155</v>
      </c>
      <c r="O1785" t="s">
        <v>156</v>
      </c>
      <c r="P1785">
        <v>4110055667</v>
      </c>
      <c r="Q1785" t="s">
        <v>185</v>
      </c>
      <c r="R1785">
        <v>5000</v>
      </c>
      <c r="S1785" t="s">
        <v>166</v>
      </c>
      <c r="V1785" t="s">
        <v>167</v>
      </c>
      <c r="W1785">
        <v>1502040317</v>
      </c>
      <c r="X1785" t="s">
        <v>73</v>
      </c>
      <c r="Y1785" t="str">
        <f>VLOOKUP(W1785,Sheet4!$A$5:$B$72,2,0)</f>
        <v>Re Side Door</v>
      </c>
      <c r="Z1785">
        <v>87082900</v>
      </c>
      <c r="AA1785">
        <v>120</v>
      </c>
      <c r="AB1785" t="s">
        <v>159</v>
      </c>
      <c r="AC1785">
        <v>506.59</v>
      </c>
      <c r="AD1785" t="s">
        <v>160</v>
      </c>
      <c r="AE1785" s="24">
        <v>60790.8</v>
      </c>
      <c r="AF1785">
        <v>0</v>
      </c>
      <c r="AG1785" s="24">
        <v>60790.8</v>
      </c>
      <c r="AH1785">
        <v>0</v>
      </c>
      <c r="AI1785">
        <v>0</v>
      </c>
      <c r="AJ1785">
        <v>0</v>
      </c>
      <c r="AK1785">
        <v>0</v>
      </c>
      <c r="AL1785" s="24">
        <v>60790.8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 s="24">
        <v>60790.8</v>
      </c>
      <c r="AV1785">
        <v>0</v>
      </c>
      <c r="AW1785">
        <v>0</v>
      </c>
      <c r="AX1785">
        <v>311000</v>
      </c>
      <c r="AY1785" t="s">
        <v>161</v>
      </c>
      <c r="AZ1785">
        <v>2.27</v>
      </c>
      <c r="BA1785">
        <v>2.27</v>
      </c>
      <c r="BB1785">
        <v>0</v>
      </c>
      <c r="BC1785" t="s">
        <v>186</v>
      </c>
      <c r="BD1785">
        <v>1511</v>
      </c>
      <c r="BE1785" t="s">
        <v>174</v>
      </c>
      <c r="BF1785">
        <v>5094268248</v>
      </c>
      <c r="BG1785" t="s">
        <v>368</v>
      </c>
    </row>
    <row r="1786" spans="1:59">
      <c r="A1786">
        <v>1115</v>
      </c>
      <c r="B1786">
        <v>1115</v>
      </c>
      <c r="C1786">
        <v>10</v>
      </c>
      <c r="D1786">
        <v>2</v>
      </c>
      <c r="E1786" t="s">
        <v>152</v>
      </c>
      <c r="F1786" t="s">
        <v>153</v>
      </c>
      <c r="G1786" t="s">
        <v>154</v>
      </c>
      <c r="H1786">
        <v>1526007214</v>
      </c>
      <c r="I1786">
        <v>1000007502</v>
      </c>
      <c r="L1786" t="s">
        <v>368</v>
      </c>
      <c r="M1786">
        <v>5100001100</v>
      </c>
      <c r="N1786" t="s">
        <v>155</v>
      </c>
      <c r="O1786" t="s">
        <v>156</v>
      </c>
      <c r="P1786">
        <v>4110004652</v>
      </c>
      <c r="Q1786" t="s">
        <v>177</v>
      </c>
      <c r="R1786">
        <v>5000</v>
      </c>
      <c r="S1786" t="s">
        <v>166</v>
      </c>
      <c r="V1786" t="s">
        <v>167</v>
      </c>
      <c r="W1786">
        <v>1502040165</v>
      </c>
      <c r="X1786" t="s">
        <v>234</v>
      </c>
      <c r="Y1786" t="str">
        <f>VLOOKUP(W1786,Sheet4!$A$5:$B$72,2,0)</f>
        <v>REAR COVER</v>
      </c>
      <c r="Z1786">
        <v>87082900</v>
      </c>
      <c r="AA1786">
        <v>55</v>
      </c>
      <c r="AB1786" t="s">
        <v>159</v>
      </c>
      <c r="AC1786">
        <v>165.65</v>
      </c>
      <c r="AD1786" t="s">
        <v>160</v>
      </c>
      <c r="AE1786" s="24">
        <v>9110.75</v>
      </c>
      <c r="AF1786">
        <v>0</v>
      </c>
      <c r="AG1786" s="24">
        <v>9110.75</v>
      </c>
      <c r="AH1786">
        <v>0</v>
      </c>
      <c r="AI1786">
        <v>0</v>
      </c>
      <c r="AJ1786">
        <v>0</v>
      </c>
      <c r="AK1786">
        <v>0</v>
      </c>
      <c r="AL1786" s="24">
        <v>9110.75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 s="24">
        <v>9110.75</v>
      </c>
      <c r="AV1786">
        <v>0</v>
      </c>
      <c r="AW1786">
        <v>0</v>
      </c>
      <c r="AX1786">
        <v>311000</v>
      </c>
      <c r="AY1786" t="s">
        <v>161</v>
      </c>
      <c r="AZ1786">
        <v>1.248</v>
      </c>
      <c r="BA1786">
        <v>1.248</v>
      </c>
      <c r="BB1786">
        <v>0</v>
      </c>
      <c r="BC1786" t="s">
        <v>235</v>
      </c>
      <c r="BD1786">
        <v>1511</v>
      </c>
      <c r="BE1786" t="s">
        <v>174</v>
      </c>
      <c r="BF1786" t="s">
        <v>163</v>
      </c>
      <c r="BG1786" t="s">
        <v>164</v>
      </c>
    </row>
    <row r="1787" spans="1:59">
      <c r="A1787">
        <v>1115</v>
      </c>
      <c r="B1787">
        <v>1115</v>
      </c>
      <c r="C1787">
        <v>10</v>
      </c>
      <c r="D1787">
        <v>2</v>
      </c>
      <c r="E1787" t="s">
        <v>152</v>
      </c>
      <c r="F1787" t="s">
        <v>153</v>
      </c>
      <c r="G1787" t="s">
        <v>154</v>
      </c>
      <c r="H1787">
        <v>1526007213</v>
      </c>
      <c r="I1787">
        <v>1000007501</v>
      </c>
      <c r="L1787" t="s">
        <v>368</v>
      </c>
      <c r="M1787">
        <v>5100001100</v>
      </c>
      <c r="N1787" t="s">
        <v>155</v>
      </c>
      <c r="O1787" t="s">
        <v>156</v>
      </c>
      <c r="P1787">
        <v>4110004652</v>
      </c>
      <c r="Q1787" t="s">
        <v>177</v>
      </c>
      <c r="R1787">
        <v>5000</v>
      </c>
      <c r="S1787" t="s">
        <v>166</v>
      </c>
      <c r="V1787" t="s">
        <v>167</v>
      </c>
      <c r="W1787">
        <v>1502040164</v>
      </c>
      <c r="X1787" t="s">
        <v>236</v>
      </c>
      <c r="Y1787" t="str">
        <f>VLOOKUP(W1787,Sheet4!$A$5:$B$72,2,0)</f>
        <v>REAR COVER</v>
      </c>
      <c r="Z1787">
        <v>87082900</v>
      </c>
      <c r="AA1787">
        <v>55</v>
      </c>
      <c r="AB1787" t="s">
        <v>159</v>
      </c>
      <c r="AC1787">
        <v>160.52000000000001</v>
      </c>
      <c r="AD1787" t="s">
        <v>160</v>
      </c>
      <c r="AE1787" s="24">
        <v>8828.6</v>
      </c>
      <c r="AF1787">
        <v>0</v>
      </c>
      <c r="AG1787" s="24">
        <v>8828.6</v>
      </c>
      <c r="AH1787">
        <v>0</v>
      </c>
      <c r="AI1787">
        <v>0</v>
      </c>
      <c r="AJ1787">
        <v>0</v>
      </c>
      <c r="AK1787">
        <v>0</v>
      </c>
      <c r="AL1787" s="24">
        <v>8828.6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 s="24">
        <v>8828.6</v>
      </c>
      <c r="AV1787">
        <v>0</v>
      </c>
      <c r="AW1787">
        <v>0</v>
      </c>
      <c r="AX1787">
        <v>311000</v>
      </c>
      <c r="AY1787" t="s">
        <v>161</v>
      </c>
      <c r="AZ1787">
        <v>1.1659999999999999</v>
      </c>
      <c r="BA1787">
        <v>1.1659999999999999</v>
      </c>
      <c r="BB1787">
        <v>0</v>
      </c>
      <c r="BC1787" t="s">
        <v>237</v>
      </c>
      <c r="BD1787">
        <v>1511</v>
      </c>
      <c r="BE1787" t="s">
        <v>174</v>
      </c>
      <c r="BF1787" t="s">
        <v>163</v>
      </c>
      <c r="BG1787" t="s">
        <v>164</v>
      </c>
    </row>
    <row r="1788" spans="1:59">
      <c r="A1788">
        <v>1115</v>
      </c>
      <c r="B1788">
        <v>1115</v>
      </c>
      <c r="C1788">
        <v>10</v>
      </c>
      <c r="D1788">
        <v>2</v>
      </c>
      <c r="E1788" t="s">
        <v>152</v>
      </c>
      <c r="F1788" t="s">
        <v>153</v>
      </c>
      <c r="G1788" t="s">
        <v>154</v>
      </c>
      <c r="H1788">
        <v>1526007212</v>
      </c>
      <c r="I1788">
        <v>1000007500</v>
      </c>
      <c r="L1788" t="s">
        <v>368</v>
      </c>
      <c r="M1788">
        <v>5100001100</v>
      </c>
      <c r="N1788" t="s">
        <v>155</v>
      </c>
      <c r="O1788" t="s">
        <v>156</v>
      </c>
      <c r="P1788">
        <v>4110004652</v>
      </c>
      <c r="Q1788" t="s">
        <v>177</v>
      </c>
      <c r="R1788">
        <v>5000</v>
      </c>
      <c r="S1788" t="s">
        <v>166</v>
      </c>
      <c r="V1788" t="s">
        <v>167</v>
      </c>
      <c r="W1788">
        <v>1502040126</v>
      </c>
      <c r="X1788" t="s">
        <v>53</v>
      </c>
      <c r="Y1788" t="str">
        <f>VLOOKUP(W1788,Sheet4!$A$5:$B$72,2,0)</f>
        <v>REAR COVER</v>
      </c>
      <c r="Z1788">
        <v>87082900</v>
      </c>
      <c r="AA1788">
        <v>55</v>
      </c>
      <c r="AB1788" t="s">
        <v>159</v>
      </c>
      <c r="AC1788">
        <v>155.58000000000001</v>
      </c>
      <c r="AD1788" t="s">
        <v>160</v>
      </c>
      <c r="AE1788" s="24">
        <v>8556.9</v>
      </c>
      <c r="AF1788">
        <v>0</v>
      </c>
      <c r="AG1788" s="24">
        <v>8556.9</v>
      </c>
      <c r="AH1788">
        <v>0</v>
      </c>
      <c r="AI1788">
        <v>0</v>
      </c>
      <c r="AJ1788">
        <v>0</v>
      </c>
      <c r="AK1788">
        <v>0</v>
      </c>
      <c r="AL1788" s="24">
        <v>8556.9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 s="24">
        <v>8556.9</v>
      </c>
      <c r="AV1788">
        <v>0</v>
      </c>
      <c r="AW1788">
        <v>0</v>
      </c>
      <c r="AX1788">
        <v>311000</v>
      </c>
      <c r="AY1788" t="s">
        <v>161</v>
      </c>
      <c r="AZ1788">
        <v>1.1850000000000001</v>
      </c>
      <c r="BA1788">
        <v>1.1850000000000001</v>
      </c>
      <c r="BB1788">
        <v>0</v>
      </c>
      <c r="BC1788" t="s">
        <v>232</v>
      </c>
      <c r="BD1788">
        <v>1511</v>
      </c>
      <c r="BE1788" t="s">
        <v>174</v>
      </c>
      <c r="BF1788">
        <v>5094263806</v>
      </c>
      <c r="BG1788" t="s">
        <v>368</v>
      </c>
    </row>
    <row r="1789" spans="1:59">
      <c r="A1789">
        <v>1115</v>
      </c>
      <c r="B1789">
        <v>1115</v>
      </c>
      <c r="C1789">
        <v>10</v>
      </c>
      <c r="D1789">
        <v>2</v>
      </c>
      <c r="E1789" t="s">
        <v>152</v>
      </c>
      <c r="F1789" t="s">
        <v>153</v>
      </c>
      <c r="G1789" t="s">
        <v>154</v>
      </c>
      <c r="H1789">
        <v>1526007211</v>
      </c>
      <c r="I1789">
        <v>1000007499</v>
      </c>
      <c r="L1789" t="s">
        <v>368</v>
      </c>
      <c r="M1789">
        <v>5100001100</v>
      </c>
      <c r="N1789" t="s">
        <v>155</v>
      </c>
      <c r="O1789" t="s">
        <v>156</v>
      </c>
      <c r="P1789">
        <v>4110004652</v>
      </c>
      <c r="Q1789" t="s">
        <v>177</v>
      </c>
      <c r="R1789">
        <v>5000</v>
      </c>
      <c r="S1789" t="s">
        <v>166</v>
      </c>
      <c r="V1789" t="s">
        <v>167</v>
      </c>
      <c r="W1789">
        <v>1502040125</v>
      </c>
      <c r="X1789" t="s">
        <v>52</v>
      </c>
      <c r="Y1789" t="str">
        <f>VLOOKUP(W1789,Sheet4!$A$5:$B$72,2,0)</f>
        <v>REAR COVER</v>
      </c>
      <c r="Z1789">
        <v>87082900</v>
      </c>
      <c r="AA1789">
        <v>55</v>
      </c>
      <c r="AB1789" t="s">
        <v>159</v>
      </c>
      <c r="AC1789">
        <v>160.44999999999999</v>
      </c>
      <c r="AD1789" t="s">
        <v>160</v>
      </c>
      <c r="AE1789" s="24">
        <v>8824.75</v>
      </c>
      <c r="AF1789">
        <v>0</v>
      </c>
      <c r="AG1789" s="24">
        <v>8824.75</v>
      </c>
      <c r="AH1789">
        <v>0</v>
      </c>
      <c r="AI1789">
        <v>0</v>
      </c>
      <c r="AJ1789">
        <v>0</v>
      </c>
      <c r="AK1789">
        <v>0</v>
      </c>
      <c r="AL1789" s="24">
        <v>8824.75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 s="24">
        <v>8824.75</v>
      </c>
      <c r="AV1789">
        <v>0</v>
      </c>
      <c r="AW1789">
        <v>0</v>
      </c>
      <c r="AX1789">
        <v>311000</v>
      </c>
      <c r="AY1789" t="s">
        <v>161</v>
      </c>
      <c r="AZ1789">
        <v>1.1850000000000001</v>
      </c>
      <c r="BA1789">
        <v>1.1850000000000001</v>
      </c>
      <c r="BB1789">
        <v>0</v>
      </c>
      <c r="BC1789" t="s">
        <v>233</v>
      </c>
      <c r="BD1789">
        <v>1511</v>
      </c>
      <c r="BE1789" t="s">
        <v>174</v>
      </c>
      <c r="BF1789">
        <v>5094263860</v>
      </c>
      <c r="BG1789" t="s">
        <v>368</v>
      </c>
    </row>
    <row r="1790" spans="1:59">
      <c r="A1790">
        <v>1115</v>
      </c>
      <c r="B1790">
        <v>1115</v>
      </c>
      <c r="C1790">
        <v>10</v>
      </c>
      <c r="D1790">
        <v>2</v>
      </c>
      <c r="E1790" t="s">
        <v>152</v>
      </c>
      <c r="F1790" t="s">
        <v>153</v>
      </c>
      <c r="G1790" t="s">
        <v>154</v>
      </c>
      <c r="H1790">
        <v>1526007208</v>
      </c>
      <c r="I1790">
        <v>1000007497</v>
      </c>
      <c r="L1790" t="s">
        <v>368</v>
      </c>
      <c r="M1790">
        <v>5100001666</v>
      </c>
      <c r="N1790" t="s">
        <v>155</v>
      </c>
      <c r="O1790" t="s">
        <v>156</v>
      </c>
      <c r="P1790">
        <v>4110027035</v>
      </c>
      <c r="Q1790" t="s">
        <v>225</v>
      </c>
      <c r="R1790">
        <v>5000</v>
      </c>
      <c r="S1790" t="s">
        <v>166</v>
      </c>
      <c r="V1790" t="s">
        <v>167</v>
      </c>
      <c r="W1790">
        <v>1502020105</v>
      </c>
      <c r="X1790" t="s">
        <v>226</v>
      </c>
      <c r="Y1790" t="str">
        <f>VLOOKUP(W1790,Sheet4!$A$5:$B$72,2,0)</f>
        <v>RE STYLING</v>
      </c>
      <c r="Z1790">
        <v>87082900</v>
      </c>
      <c r="AA1790">
        <v>15</v>
      </c>
      <c r="AB1790" t="s">
        <v>159</v>
      </c>
      <c r="AC1790" s="24">
        <v>6570.77</v>
      </c>
      <c r="AD1790" t="s">
        <v>160</v>
      </c>
      <c r="AE1790" s="24">
        <v>98561.55</v>
      </c>
      <c r="AF1790">
        <v>0</v>
      </c>
      <c r="AG1790" s="24">
        <v>98561.55</v>
      </c>
      <c r="AH1790">
        <v>0</v>
      </c>
      <c r="AI1790">
        <v>0</v>
      </c>
      <c r="AJ1790">
        <v>0</v>
      </c>
      <c r="AK1790">
        <v>0</v>
      </c>
      <c r="AL1790" s="24">
        <v>98561.55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 s="24">
        <v>98561.55</v>
      </c>
      <c r="AV1790">
        <v>0</v>
      </c>
      <c r="AW1790">
        <v>0</v>
      </c>
      <c r="AX1790">
        <v>311000</v>
      </c>
      <c r="AY1790" t="s">
        <v>161</v>
      </c>
      <c r="AZ1790">
        <v>49.75</v>
      </c>
      <c r="BA1790">
        <v>49.75</v>
      </c>
      <c r="BB1790">
        <v>0</v>
      </c>
      <c r="BC1790" t="s">
        <v>227</v>
      </c>
      <c r="BD1790">
        <v>1509</v>
      </c>
      <c r="BE1790" t="s">
        <v>169</v>
      </c>
      <c r="BF1790">
        <v>5094265790</v>
      </c>
      <c r="BG1790" t="s">
        <v>368</v>
      </c>
    </row>
    <row r="1791" spans="1:59">
      <c r="A1791">
        <v>1115</v>
      </c>
      <c r="B1791">
        <v>1115</v>
      </c>
      <c r="C1791">
        <v>10</v>
      </c>
      <c r="D1791">
        <v>2</v>
      </c>
      <c r="E1791" t="s">
        <v>152</v>
      </c>
      <c r="F1791" t="s">
        <v>153</v>
      </c>
      <c r="G1791" t="s">
        <v>154</v>
      </c>
      <c r="H1791">
        <v>1526007207</v>
      </c>
      <c r="I1791">
        <v>1000007496</v>
      </c>
      <c r="L1791" t="s">
        <v>368</v>
      </c>
      <c r="M1791">
        <v>5100001666</v>
      </c>
      <c r="N1791" t="s">
        <v>155</v>
      </c>
      <c r="O1791" t="s">
        <v>156</v>
      </c>
      <c r="P1791">
        <v>4110027035</v>
      </c>
      <c r="Q1791" t="s">
        <v>225</v>
      </c>
      <c r="R1791">
        <v>5000</v>
      </c>
      <c r="S1791" t="s">
        <v>166</v>
      </c>
      <c r="V1791" t="s">
        <v>167</v>
      </c>
      <c r="W1791">
        <v>1502020105</v>
      </c>
      <c r="X1791" t="s">
        <v>226</v>
      </c>
      <c r="Y1791" t="str">
        <f>VLOOKUP(W1791,Sheet4!$A$5:$B$72,2,0)</f>
        <v>RE STYLING</v>
      </c>
      <c r="Z1791">
        <v>87082900</v>
      </c>
      <c r="AA1791">
        <v>15</v>
      </c>
      <c r="AB1791" t="s">
        <v>159</v>
      </c>
      <c r="AC1791" s="24">
        <v>6570.77</v>
      </c>
      <c r="AD1791" t="s">
        <v>160</v>
      </c>
      <c r="AE1791" s="24">
        <v>98561.55</v>
      </c>
      <c r="AF1791">
        <v>0</v>
      </c>
      <c r="AG1791" s="24">
        <v>98561.55</v>
      </c>
      <c r="AH1791">
        <v>0</v>
      </c>
      <c r="AI1791">
        <v>0</v>
      </c>
      <c r="AJ1791">
        <v>0</v>
      </c>
      <c r="AK1791">
        <v>0</v>
      </c>
      <c r="AL1791" s="24">
        <v>98561.55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 s="24">
        <v>98561.55</v>
      </c>
      <c r="AV1791">
        <v>0</v>
      </c>
      <c r="AW1791">
        <v>0</v>
      </c>
      <c r="AX1791">
        <v>311000</v>
      </c>
      <c r="AY1791" t="s">
        <v>161</v>
      </c>
      <c r="AZ1791">
        <v>49.75</v>
      </c>
      <c r="BA1791">
        <v>49.75</v>
      </c>
      <c r="BB1791">
        <v>0</v>
      </c>
      <c r="BC1791" t="s">
        <v>227</v>
      </c>
      <c r="BD1791">
        <v>1509</v>
      </c>
      <c r="BE1791" t="s">
        <v>169</v>
      </c>
      <c r="BF1791">
        <v>5094267006</v>
      </c>
      <c r="BG1791" t="s">
        <v>368</v>
      </c>
    </row>
    <row r="1792" spans="1:59">
      <c r="A1792">
        <v>1115</v>
      </c>
      <c r="B1792">
        <v>1115</v>
      </c>
      <c r="C1792">
        <v>10</v>
      </c>
      <c r="D1792">
        <v>2</v>
      </c>
      <c r="E1792" t="s">
        <v>152</v>
      </c>
      <c r="F1792" t="s">
        <v>153</v>
      </c>
      <c r="G1792" t="s">
        <v>154</v>
      </c>
      <c r="H1792">
        <v>1526007206</v>
      </c>
      <c r="I1792">
        <v>1000007495</v>
      </c>
      <c r="L1792" t="s">
        <v>368</v>
      </c>
      <c r="M1792">
        <v>5100001730</v>
      </c>
      <c r="N1792" t="s">
        <v>155</v>
      </c>
      <c r="O1792" t="s">
        <v>156</v>
      </c>
      <c r="P1792">
        <v>4110029871</v>
      </c>
      <c r="Q1792" t="s">
        <v>301</v>
      </c>
      <c r="R1792">
        <v>5000</v>
      </c>
      <c r="S1792" t="s">
        <v>166</v>
      </c>
      <c r="V1792" t="s">
        <v>167</v>
      </c>
      <c r="W1792">
        <v>1502020112</v>
      </c>
      <c r="X1792" t="s">
        <v>302</v>
      </c>
      <c r="Y1792" t="str">
        <f>VLOOKUP(W1792,Sheet4!$A$5:$B$72,2,0)</f>
        <v>MAX UG NEW</v>
      </c>
      <c r="Z1792">
        <v>87082900</v>
      </c>
      <c r="AA1792">
        <v>10</v>
      </c>
      <c r="AB1792" t="s">
        <v>159</v>
      </c>
      <c r="AC1792" s="24">
        <v>9441.75</v>
      </c>
      <c r="AD1792" t="s">
        <v>160</v>
      </c>
      <c r="AE1792" s="24">
        <v>94417.5</v>
      </c>
      <c r="AF1792">
        <v>0</v>
      </c>
      <c r="AG1792" s="24">
        <v>94417.5</v>
      </c>
      <c r="AH1792">
        <v>0</v>
      </c>
      <c r="AI1792">
        <v>0</v>
      </c>
      <c r="AJ1792">
        <v>0</v>
      </c>
      <c r="AK1792">
        <v>0</v>
      </c>
      <c r="AL1792" s="24">
        <v>94417.5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 s="24">
        <v>94417.5</v>
      </c>
      <c r="AV1792">
        <v>0</v>
      </c>
      <c r="AW1792">
        <v>0</v>
      </c>
      <c r="AX1792">
        <v>311000</v>
      </c>
      <c r="AY1792" t="s">
        <v>161</v>
      </c>
      <c r="AZ1792">
        <v>75</v>
      </c>
      <c r="BA1792">
        <v>75</v>
      </c>
      <c r="BB1792">
        <v>0</v>
      </c>
      <c r="BC1792" t="s">
        <v>303</v>
      </c>
      <c r="BD1792">
        <v>1509</v>
      </c>
      <c r="BE1792" t="s">
        <v>169</v>
      </c>
      <c r="BF1792">
        <v>5094272640</v>
      </c>
      <c r="BG1792" t="s">
        <v>368</v>
      </c>
    </row>
    <row r="1793" spans="1:59">
      <c r="A1793">
        <v>1115</v>
      </c>
      <c r="B1793">
        <v>1115</v>
      </c>
      <c r="C1793">
        <v>10</v>
      </c>
      <c r="D1793">
        <v>2</v>
      </c>
      <c r="E1793" t="s">
        <v>152</v>
      </c>
      <c r="F1793" t="s">
        <v>153</v>
      </c>
      <c r="G1793" t="s">
        <v>154</v>
      </c>
      <c r="H1793">
        <v>1526007205</v>
      </c>
      <c r="I1793">
        <v>1000007494</v>
      </c>
      <c r="L1793" t="s">
        <v>368</v>
      </c>
      <c r="M1793">
        <v>5100001666</v>
      </c>
      <c r="N1793" t="s">
        <v>155</v>
      </c>
      <c r="O1793" t="s">
        <v>156</v>
      </c>
      <c r="P1793">
        <v>4110027035</v>
      </c>
      <c r="Q1793" t="s">
        <v>225</v>
      </c>
      <c r="R1793">
        <v>5000</v>
      </c>
      <c r="S1793" t="s">
        <v>166</v>
      </c>
      <c r="V1793" t="s">
        <v>167</v>
      </c>
      <c r="W1793">
        <v>1502020105</v>
      </c>
      <c r="X1793" t="s">
        <v>226</v>
      </c>
      <c r="Y1793" t="str">
        <f>VLOOKUP(W1793,Sheet4!$A$5:$B$72,2,0)</f>
        <v>RE STYLING</v>
      </c>
      <c r="Z1793">
        <v>87082900</v>
      </c>
      <c r="AA1793">
        <v>6</v>
      </c>
      <c r="AB1793" t="s">
        <v>159</v>
      </c>
      <c r="AC1793" s="24">
        <v>6570.77</v>
      </c>
      <c r="AD1793" t="s">
        <v>160</v>
      </c>
      <c r="AE1793" s="24">
        <v>39424.620000000003</v>
      </c>
      <c r="AF1793">
        <v>0</v>
      </c>
      <c r="AG1793" s="24">
        <v>39424.620000000003</v>
      </c>
      <c r="AH1793">
        <v>0</v>
      </c>
      <c r="AI1793">
        <v>0</v>
      </c>
      <c r="AJ1793">
        <v>0</v>
      </c>
      <c r="AK1793">
        <v>0</v>
      </c>
      <c r="AL1793" s="24">
        <v>39424.620000000003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 s="24">
        <v>39424.620000000003</v>
      </c>
      <c r="AV1793">
        <v>0</v>
      </c>
      <c r="AW1793">
        <v>0</v>
      </c>
      <c r="AX1793">
        <v>311000</v>
      </c>
      <c r="AY1793" t="s">
        <v>161</v>
      </c>
      <c r="AZ1793">
        <v>49.75</v>
      </c>
      <c r="BA1793">
        <v>49.75</v>
      </c>
      <c r="BB1793">
        <v>0</v>
      </c>
      <c r="BC1793" t="s">
        <v>227</v>
      </c>
      <c r="BD1793">
        <v>1509</v>
      </c>
      <c r="BE1793" t="s">
        <v>169</v>
      </c>
      <c r="BF1793">
        <v>5094268099</v>
      </c>
      <c r="BG1793" t="s">
        <v>368</v>
      </c>
    </row>
    <row r="1794" spans="1:59">
      <c r="A1794">
        <v>1115</v>
      </c>
      <c r="B1794">
        <v>1115</v>
      </c>
      <c r="C1794">
        <v>10</v>
      </c>
      <c r="D1794">
        <v>2</v>
      </c>
      <c r="E1794" t="s">
        <v>152</v>
      </c>
      <c r="F1794" t="s">
        <v>153</v>
      </c>
      <c r="G1794" t="s">
        <v>154</v>
      </c>
      <c r="H1794">
        <v>1526007204</v>
      </c>
      <c r="I1794">
        <v>1000007493</v>
      </c>
      <c r="L1794" t="s">
        <v>368</v>
      </c>
      <c r="M1794">
        <v>5100001666</v>
      </c>
      <c r="N1794" t="s">
        <v>155</v>
      </c>
      <c r="O1794" t="s">
        <v>156</v>
      </c>
      <c r="P1794">
        <v>4110027035</v>
      </c>
      <c r="Q1794" t="s">
        <v>225</v>
      </c>
      <c r="R1794">
        <v>5000</v>
      </c>
      <c r="S1794" t="s">
        <v>166</v>
      </c>
      <c r="V1794" t="s">
        <v>167</v>
      </c>
      <c r="W1794">
        <v>1502020105</v>
      </c>
      <c r="X1794" t="s">
        <v>226</v>
      </c>
      <c r="Y1794" t="str">
        <f>VLOOKUP(W1794,Sheet4!$A$5:$B$72,2,0)</f>
        <v>RE STYLING</v>
      </c>
      <c r="Z1794">
        <v>87082900</v>
      </c>
      <c r="AA1794">
        <v>12</v>
      </c>
      <c r="AB1794" t="s">
        <v>159</v>
      </c>
      <c r="AC1794" s="24">
        <v>6570.77</v>
      </c>
      <c r="AD1794" t="s">
        <v>160</v>
      </c>
      <c r="AE1794" s="24">
        <v>78849.240000000005</v>
      </c>
      <c r="AF1794">
        <v>0</v>
      </c>
      <c r="AG1794" s="24">
        <v>78849.240000000005</v>
      </c>
      <c r="AH1794">
        <v>0</v>
      </c>
      <c r="AI1794">
        <v>0</v>
      </c>
      <c r="AJ1794">
        <v>0</v>
      </c>
      <c r="AK1794">
        <v>0</v>
      </c>
      <c r="AL1794" s="24">
        <v>78849.240000000005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 s="24">
        <v>78849.240000000005</v>
      </c>
      <c r="AV1794">
        <v>0</v>
      </c>
      <c r="AW1794">
        <v>0</v>
      </c>
      <c r="AX1794">
        <v>311000</v>
      </c>
      <c r="AY1794" t="s">
        <v>161</v>
      </c>
      <c r="AZ1794">
        <v>49.75</v>
      </c>
      <c r="BA1794">
        <v>49.75</v>
      </c>
      <c r="BB1794">
        <v>0</v>
      </c>
      <c r="BC1794" t="s">
        <v>227</v>
      </c>
      <c r="BD1794">
        <v>1509</v>
      </c>
      <c r="BE1794" t="s">
        <v>169</v>
      </c>
      <c r="BF1794">
        <v>5094256532</v>
      </c>
      <c r="BG1794" t="s">
        <v>368</v>
      </c>
    </row>
    <row r="1795" spans="1:59">
      <c r="A1795">
        <v>1115</v>
      </c>
      <c r="B1795">
        <v>1115</v>
      </c>
      <c r="C1795">
        <v>10</v>
      </c>
      <c r="D1795">
        <v>2</v>
      </c>
      <c r="E1795" t="s">
        <v>152</v>
      </c>
      <c r="F1795" t="s">
        <v>153</v>
      </c>
      <c r="G1795" t="s">
        <v>154</v>
      </c>
      <c r="H1795">
        <v>1526007203</v>
      </c>
      <c r="I1795">
        <v>1000007492</v>
      </c>
      <c r="L1795" t="s">
        <v>368</v>
      </c>
      <c r="M1795">
        <v>5100001949</v>
      </c>
      <c r="N1795" t="s">
        <v>155</v>
      </c>
      <c r="O1795" t="s">
        <v>156</v>
      </c>
      <c r="P1795">
        <v>4110063766</v>
      </c>
      <c r="Q1795" t="s">
        <v>252</v>
      </c>
      <c r="R1795">
        <v>5000</v>
      </c>
      <c r="S1795" t="s">
        <v>166</v>
      </c>
      <c r="V1795" t="s">
        <v>167</v>
      </c>
      <c r="W1795">
        <v>1502040322</v>
      </c>
      <c r="X1795" t="s">
        <v>250</v>
      </c>
      <c r="Y1795" t="str">
        <f>VLOOKUP(W1795,Sheet4!$A$5:$B$72,2,0)</f>
        <v>DASH BOARD</v>
      </c>
      <c r="Z1795">
        <v>87082900</v>
      </c>
      <c r="AA1795">
        <v>30</v>
      </c>
      <c r="AB1795" t="s">
        <v>159</v>
      </c>
      <c r="AC1795">
        <v>291.27999999999997</v>
      </c>
      <c r="AD1795" t="s">
        <v>160</v>
      </c>
      <c r="AE1795" s="24">
        <v>8738.4</v>
      </c>
      <c r="AF1795">
        <v>0</v>
      </c>
      <c r="AG1795" s="24">
        <v>8738.4</v>
      </c>
      <c r="AH1795">
        <v>0</v>
      </c>
      <c r="AI1795">
        <v>0</v>
      </c>
      <c r="AJ1795">
        <v>0</v>
      </c>
      <c r="AK1795">
        <v>0</v>
      </c>
      <c r="AL1795" s="24">
        <v>8738.4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 s="24">
        <v>8738.4</v>
      </c>
      <c r="AV1795">
        <v>0</v>
      </c>
      <c r="AW1795">
        <v>0</v>
      </c>
      <c r="AX1795">
        <v>311000</v>
      </c>
      <c r="AY1795" t="s">
        <v>161</v>
      </c>
      <c r="AZ1795">
        <v>2.37</v>
      </c>
      <c r="BA1795">
        <v>2.37</v>
      </c>
      <c r="BB1795">
        <v>0</v>
      </c>
      <c r="BC1795" t="s">
        <v>251</v>
      </c>
      <c r="BD1795">
        <v>1511</v>
      </c>
      <c r="BE1795" t="s">
        <v>174</v>
      </c>
      <c r="BF1795">
        <v>5094256503</v>
      </c>
      <c r="BG1795" t="s">
        <v>368</v>
      </c>
    </row>
    <row r="1796" spans="1:59">
      <c r="A1796">
        <v>1115</v>
      </c>
      <c r="B1796">
        <v>1115</v>
      </c>
      <c r="C1796">
        <v>10</v>
      </c>
      <c r="D1796">
        <v>2</v>
      </c>
      <c r="E1796" t="s">
        <v>152</v>
      </c>
      <c r="F1796" t="s">
        <v>153</v>
      </c>
      <c r="G1796" t="s">
        <v>154</v>
      </c>
      <c r="H1796">
        <v>1526007202</v>
      </c>
      <c r="I1796">
        <v>1000007491</v>
      </c>
      <c r="L1796" t="s">
        <v>368</v>
      </c>
      <c r="M1796">
        <v>5100001928</v>
      </c>
      <c r="N1796" t="s">
        <v>155</v>
      </c>
      <c r="O1796" t="s">
        <v>156</v>
      </c>
      <c r="P1796">
        <v>4110057393</v>
      </c>
      <c r="Q1796" t="s">
        <v>192</v>
      </c>
      <c r="R1796">
        <v>5000</v>
      </c>
      <c r="S1796" t="s">
        <v>166</v>
      </c>
      <c r="V1796" t="s">
        <v>167</v>
      </c>
      <c r="W1796">
        <v>1502020122</v>
      </c>
      <c r="X1796" t="s">
        <v>70</v>
      </c>
      <c r="Y1796" t="str">
        <f>VLOOKUP(W1796,Sheet4!$A$5:$B$72,2,0)</f>
        <v>MAX UG NEW EV</v>
      </c>
      <c r="Z1796">
        <v>87082900</v>
      </c>
      <c r="AA1796">
        <v>10</v>
      </c>
      <c r="AB1796" t="s">
        <v>159</v>
      </c>
      <c r="AC1796" s="24">
        <v>9566.51</v>
      </c>
      <c r="AD1796" t="s">
        <v>160</v>
      </c>
      <c r="AE1796" s="24">
        <v>95665.1</v>
      </c>
      <c r="AF1796">
        <v>0</v>
      </c>
      <c r="AG1796" s="24">
        <v>95665.1</v>
      </c>
      <c r="AH1796">
        <v>0</v>
      </c>
      <c r="AI1796">
        <v>0</v>
      </c>
      <c r="AJ1796">
        <v>0</v>
      </c>
      <c r="AK1796">
        <v>0</v>
      </c>
      <c r="AL1796" s="24">
        <v>95665.1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 s="24">
        <v>95665.1</v>
      </c>
      <c r="AV1796">
        <v>0</v>
      </c>
      <c r="AW1796">
        <v>0</v>
      </c>
      <c r="AX1796">
        <v>311000</v>
      </c>
      <c r="AY1796" t="s">
        <v>161</v>
      </c>
      <c r="AZ1796">
        <v>0</v>
      </c>
      <c r="BA1796">
        <v>61</v>
      </c>
      <c r="BB1796">
        <v>-61</v>
      </c>
      <c r="BC1796" t="s">
        <v>193</v>
      </c>
      <c r="BD1796">
        <v>1509</v>
      </c>
      <c r="BE1796" t="s">
        <v>169</v>
      </c>
      <c r="BF1796">
        <v>5094251822</v>
      </c>
      <c r="BG1796" t="s">
        <v>368</v>
      </c>
    </row>
    <row r="1797" spans="1:59">
      <c r="A1797">
        <v>1115</v>
      </c>
      <c r="B1797">
        <v>1115</v>
      </c>
      <c r="C1797">
        <v>10</v>
      </c>
      <c r="D1797">
        <v>2</v>
      </c>
      <c r="E1797" t="s">
        <v>152</v>
      </c>
      <c r="F1797" t="s">
        <v>153</v>
      </c>
      <c r="G1797" t="s">
        <v>154</v>
      </c>
      <c r="H1797">
        <v>1526007201</v>
      </c>
      <c r="I1797">
        <v>1000007490</v>
      </c>
      <c r="L1797" t="s">
        <v>368</v>
      </c>
      <c r="M1797">
        <v>5100001666</v>
      </c>
      <c r="N1797" t="s">
        <v>155</v>
      </c>
      <c r="O1797" t="s">
        <v>156</v>
      </c>
      <c r="P1797">
        <v>4110027035</v>
      </c>
      <c r="Q1797" t="s">
        <v>225</v>
      </c>
      <c r="R1797">
        <v>5000</v>
      </c>
      <c r="S1797" t="s">
        <v>166</v>
      </c>
      <c r="V1797" t="s">
        <v>167</v>
      </c>
      <c r="W1797">
        <v>1502020105</v>
      </c>
      <c r="X1797" t="s">
        <v>226</v>
      </c>
      <c r="Y1797" t="str">
        <f>VLOOKUP(W1797,Sheet4!$A$5:$B$72,2,0)</f>
        <v>RE STYLING</v>
      </c>
      <c r="Z1797">
        <v>87082900</v>
      </c>
      <c r="AA1797">
        <v>9</v>
      </c>
      <c r="AB1797" t="s">
        <v>159</v>
      </c>
      <c r="AC1797" s="24">
        <v>6570.77</v>
      </c>
      <c r="AD1797" t="s">
        <v>160</v>
      </c>
      <c r="AE1797" s="24">
        <v>59136.93</v>
      </c>
      <c r="AF1797">
        <v>0</v>
      </c>
      <c r="AG1797" s="24">
        <v>59136.93</v>
      </c>
      <c r="AH1797">
        <v>0</v>
      </c>
      <c r="AI1797">
        <v>0</v>
      </c>
      <c r="AJ1797">
        <v>0</v>
      </c>
      <c r="AK1797">
        <v>0</v>
      </c>
      <c r="AL1797" s="24">
        <v>59136.93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 s="24">
        <v>59136.93</v>
      </c>
      <c r="AV1797">
        <v>0</v>
      </c>
      <c r="AW1797">
        <v>0</v>
      </c>
      <c r="AX1797">
        <v>311000</v>
      </c>
      <c r="AY1797" t="s">
        <v>161</v>
      </c>
      <c r="AZ1797">
        <v>49.75</v>
      </c>
      <c r="BA1797">
        <v>49.75</v>
      </c>
      <c r="BB1797">
        <v>0</v>
      </c>
      <c r="BC1797" t="s">
        <v>227</v>
      </c>
      <c r="BD1797">
        <v>1509</v>
      </c>
      <c r="BE1797" t="s">
        <v>169</v>
      </c>
      <c r="BF1797">
        <v>5094268027</v>
      </c>
      <c r="BG1797" t="s">
        <v>368</v>
      </c>
    </row>
    <row r="1798" spans="1:59">
      <c r="A1798">
        <v>1115</v>
      </c>
      <c r="B1798">
        <v>1115</v>
      </c>
      <c r="C1798">
        <v>10</v>
      </c>
      <c r="D1798">
        <v>2</v>
      </c>
      <c r="E1798" t="s">
        <v>152</v>
      </c>
      <c r="F1798" t="s">
        <v>153</v>
      </c>
      <c r="G1798" t="s">
        <v>154</v>
      </c>
      <c r="H1798">
        <v>1526007200</v>
      </c>
      <c r="I1798">
        <v>1000007489</v>
      </c>
      <c r="L1798" t="s">
        <v>368</v>
      </c>
      <c r="M1798">
        <v>5100001949</v>
      </c>
      <c r="N1798" t="s">
        <v>155</v>
      </c>
      <c r="O1798" t="s">
        <v>156</v>
      </c>
      <c r="P1798">
        <v>4110063766</v>
      </c>
      <c r="Q1798" t="s">
        <v>252</v>
      </c>
      <c r="R1798">
        <v>5000</v>
      </c>
      <c r="S1798" t="s">
        <v>166</v>
      </c>
      <c r="V1798" t="s">
        <v>167</v>
      </c>
      <c r="W1798">
        <v>1502040322</v>
      </c>
      <c r="X1798" t="s">
        <v>250</v>
      </c>
      <c r="Y1798" t="str">
        <f>VLOOKUP(W1798,Sheet4!$A$5:$B$72,2,0)</f>
        <v>DASH BOARD</v>
      </c>
      <c r="Z1798">
        <v>87082900</v>
      </c>
      <c r="AA1798">
        <v>60</v>
      </c>
      <c r="AB1798" t="s">
        <v>159</v>
      </c>
      <c r="AC1798">
        <v>291.27999999999997</v>
      </c>
      <c r="AD1798" t="s">
        <v>160</v>
      </c>
      <c r="AE1798" s="24">
        <v>17476.8</v>
      </c>
      <c r="AF1798">
        <v>0</v>
      </c>
      <c r="AG1798" s="24">
        <v>17476.8</v>
      </c>
      <c r="AH1798">
        <v>0</v>
      </c>
      <c r="AI1798">
        <v>0</v>
      </c>
      <c r="AJ1798">
        <v>0</v>
      </c>
      <c r="AK1798">
        <v>0</v>
      </c>
      <c r="AL1798" s="24">
        <v>17476.8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 s="24">
        <v>17476.8</v>
      </c>
      <c r="AV1798">
        <v>0</v>
      </c>
      <c r="AW1798">
        <v>0</v>
      </c>
      <c r="AX1798">
        <v>311000</v>
      </c>
      <c r="AY1798" t="s">
        <v>161</v>
      </c>
      <c r="AZ1798">
        <v>2.37</v>
      </c>
      <c r="BA1798">
        <v>2.37</v>
      </c>
      <c r="BB1798">
        <v>0</v>
      </c>
      <c r="BC1798" t="s">
        <v>251</v>
      </c>
      <c r="BD1798">
        <v>1511</v>
      </c>
      <c r="BE1798" t="s">
        <v>174</v>
      </c>
      <c r="BF1798">
        <v>5094256711</v>
      </c>
      <c r="BG1798" t="s">
        <v>368</v>
      </c>
    </row>
    <row r="1799" spans="1:59">
      <c r="A1799">
        <v>1115</v>
      </c>
      <c r="B1799">
        <v>1115</v>
      </c>
      <c r="C1799">
        <v>10</v>
      </c>
      <c r="D1799">
        <v>2</v>
      </c>
      <c r="E1799" t="s">
        <v>152</v>
      </c>
      <c r="F1799" t="s">
        <v>153</v>
      </c>
      <c r="G1799" t="s">
        <v>154</v>
      </c>
      <c r="H1799">
        <v>1526007199</v>
      </c>
      <c r="I1799">
        <v>1000007488</v>
      </c>
      <c r="L1799" t="s">
        <v>368</v>
      </c>
      <c r="M1799">
        <v>5100001666</v>
      </c>
      <c r="N1799" t="s">
        <v>155</v>
      </c>
      <c r="O1799" t="s">
        <v>156</v>
      </c>
      <c r="P1799">
        <v>4110027035</v>
      </c>
      <c r="Q1799" t="s">
        <v>225</v>
      </c>
      <c r="R1799">
        <v>5000</v>
      </c>
      <c r="S1799" t="s">
        <v>166</v>
      </c>
      <c r="V1799" t="s">
        <v>167</v>
      </c>
      <c r="W1799">
        <v>1502020105</v>
      </c>
      <c r="X1799" t="s">
        <v>226</v>
      </c>
      <c r="Y1799" t="str">
        <f>VLOOKUP(W1799,Sheet4!$A$5:$B$72,2,0)</f>
        <v>RE STYLING</v>
      </c>
      <c r="Z1799">
        <v>87082900</v>
      </c>
      <c r="AA1799">
        <v>12</v>
      </c>
      <c r="AB1799" t="s">
        <v>159</v>
      </c>
      <c r="AC1799" s="24">
        <v>6570.77</v>
      </c>
      <c r="AD1799" t="s">
        <v>160</v>
      </c>
      <c r="AE1799" s="24">
        <v>78849.240000000005</v>
      </c>
      <c r="AF1799">
        <v>0</v>
      </c>
      <c r="AG1799" s="24">
        <v>78849.240000000005</v>
      </c>
      <c r="AH1799">
        <v>0</v>
      </c>
      <c r="AI1799">
        <v>0</v>
      </c>
      <c r="AJ1799">
        <v>0</v>
      </c>
      <c r="AK1799">
        <v>0</v>
      </c>
      <c r="AL1799" s="24">
        <v>78849.240000000005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 s="24">
        <v>78849.240000000005</v>
      </c>
      <c r="AV1799">
        <v>0</v>
      </c>
      <c r="AW1799">
        <v>0</v>
      </c>
      <c r="AX1799">
        <v>311000</v>
      </c>
      <c r="AY1799" t="s">
        <v>161</v>
      </c>
      <c r="AZ1799">
        <v>49.75</v>
      </c>
      <c r="BA1799">
        <v>49.75</v>
      </c>
      <c r="BB1799">
        <v>0</v>
      </c>
      <c r="BC1799" t="s">
        <v>227</v>
      </c>
      <c r="BD1799">
        <v>1509</v>
      </c>
      <c r="BE1799" t="s">
        <v>169</v>
      </c>
      <c r="BF1799">
        <v>5094256714</v>
      </c>
      <c r="BG1799" t="s">
        <v>368</v>
      </c>
    </row>
    <row r="1800" spans="1:59">
      <c r="A1800">
        <v>1115</v>
      </c>
      <c r="B1800">
        <v>1115</v>
      </c>
      <c r="C1800">
        <v>10</v>
      </c>
      <c r="D1800">
        <v>2</v>
      </c>
      <c r="E1800" t="s">
        <v>152</v>
      </c>
      <c r="F1800" t="s">
        <v>153</v>
      </c>
      <c r="G1800" t="s">
        <v>154</v>
      </c>
      <c r="H1800">
        <v>1526007198</v>
      </c>
      <c r="I1800">
        <v>1000007487</v>
      </c>
      <c r="L1800" t="s">
        <v>368</v>
      </c>
      <c r="M1800">
        <v>5100001666</v>
      </c>
      <c r="N1800" t="s">
        <v>155</v>
      </c>
      <c r="O1800" t="s">
        <v>156</v>
      </c>
      <c r="P1800">
        <v>4110027035</v>
      </c>
      <c r="Q1800" t="s">
        <v>225</v>
      </c>
      <c r="R1800">
        <v>5000</v>
      </c>
      <c r="S1800" t="s">
        <v>166</v>
      </c>
      <c r="V1800" t="s">
        <v>167</v>
      </c>
      <c r="W1800">
        <v>1502020105</v>
      </c>
      <c r="X1800" t="s">
        <v>226</v>
      </c>
      <c r="Y1800" t="str">
        <f>VLOOKUP(W1800,Sheet4!$A$5:$B$72,2,0)</f>
        <v>RE STYLING</v>
      </c>
      <c r="Z1800">
        <v>87082900</v>
      </c>
      <c r="AA1800">
        <v>15</v>
      </c>
      <c r="AB1800" t="s">
        <v>159</v>
      </c>
      <c r="AC1800" s="24">
        <v>6570.77</v>
      </c>
      <c r="AD1800" t="s">
        <v>160</v>
      </c>
      <c r="AE1800" s="24">
        <v>98561.55</v>
      </c>
      <c r="AF1800">
        <v>0</v>
      </c>
      <c r="AG1800" s="24">
        <v>98561.55</v>
      </c>
      <c r="AH1800">
        <v>0</v>
      </c>
      <c r="AI1800">
        <v>0</v>
      </c>
      <c r="AJ1800">
        <v>0</v>
      </c>
      <c r="AK1800">
        <v>0</v>
      </c>
      <c r="AL1800" s="24">
        <v>98561.55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 s="24">
        <v>98561.55</v>
      </c>
      <c r="AV1800">
        <v>0</v>
      </c>
      <c r="AW1800">
        <v>0</v>
      </c>
      <c r="AX1800">
        <v>311000</v>
      </c>
      <c r="AY1800" t="s">
        <v>161</v>
      </c>
      <c r="AZ1800">
        <v>49.75</v>
      </c>
      <c r="BA1800">
        <v>49.75</v>
      </c>
      <c r="BB1800">
        <v>0</v>
      </c>
      <c r="BC1800" t="s">
        <v>227</v>
      </c>
      <c r="BD1800">
        <v>1509</v>
      </c>
      <c r="BE1800" t="s">
        <v>169</v>
      </c>
      <c r="BF1800">
        <v>5094256535</v>
      </c>
      <c r="BG1800" t="s">
        <v>368</v>
      </c>
    </row>
    <row r="1801" spans="1:59">
      <c r="A1801">
        <v>1115</v>
      </c>
      <c r="B1801">
        <v>1115</v>
      </c>
      <c r="C1801">
        <v>10</v>
      </c>
      <c r="D1801">
        <v>2</v>
      </c>
      <c r="E1801" t="s">
        <v>152</v>
      </c>
      <c r="F1801" t="s">
        <v>153</v>
      </c>
      <c r="G1801" t="s">
        <v>154</v>
      </c>
      <c r="H1801">
        <v>1526007197</v>
      </c>
      <c r="I1801">
        <v>1000007486</v>
      </c>
      <c r="L1801" t="s">
        <v>368</v>
      </c>
      <c r="M1801">
        <v>5100001666</v>
      </c>
      <c r="N1801" t="s">
        <v>155</v>
      </c>
      <c r="O1801" t="s">
        <v>156</v>
      </c>
      <c r="P1801">
        <v>4110027035</v>
      </c>
      <c r="Q1801" t="s">
        <v>225</v>
      </c>
      <c r="R1801">
        <v>5000</v>
      </c>
      <c r="S1801" t="s">
        <v>166</v>
      </c>
      <c r="V1801" t="s">
        <v>167</v>
      </c>
      <c r="W1801">
        <v>1502020105</v>
      </c>
      <c r="X1801" t="s">
        <v>226</v>
      </c>
      <c r="Y1801" t="str">
        <f>VLOOKUP(W1801,Sheet4!$A$5:$B$72,2,0)</f>
        <v>RE STYLING</v>
      </c>
      <c r="Z1801">
        <v>87082900</v>
      </c>
      <c r="AA1801">
        <v>15</v>
      </c>
      <c r="AB1801" t="s">
        <v>159</v>
      </c>
      <c r="AC1801" s="24">
        <v>6570.77</v>
      </c>
      <c r="AD1801" t="s">
        <v>160</v>
      </c>
      <c r="AE1801" s="24">
        <v>98561.55</v>
      </c>
      <c r="AF1801">
        <v>0</v>
      </c>
      <c r="AG1801" s="24">
        <v>98561.55</v>
      </c>
      <c r="AH1801">
        <v>0</v>
      </c>
      <c r="AI1801">
        <v>0</v>
      </c>
      <c r="AJ1801">
        <v>0</v>
      </c>
      <c r="AK1801">
        <v>0</v>
      </c>
      <c r="AL1801" s="24">
        <v>98561.55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 s="24">
        <v>98561.55</v>
      </c>
      <c r="AV1801">
        <v>0</v>
      </c>
      <c r="AW1801">
        <v>0</v>
      </c>
      <c r="AX1801">
        <v>311000</v>
      </c>
      <c r="AY1801" t="s">
        <v>161</v>
      </c>
      <c r="AZ1801">
        <v>49.75</v>
      </c>
      <c r="BA1801">
        <v>49.75</v>
      </c>
      <c r="BB1801">
        <v>0</v>
      </c>
      <c r="BC1801" t="s">
        <v>227</v>
      </c>
      <c r="BD1801">
        <v>1509</v>
      </c>
      <c r="BE1801" t="s">
        <v>169</v>
      </c>
      <c r="BF1801">
        <v>5094256506</v>
      </c>
      <c r="BG1801" t="s">
        <v>368</v>
      </c>
    </row>
    <row r="1802" spans="1:59">
      <c r="A1802">
        <v>1115</v>
      </c>
      <c r="B1802">
        <v>1115</v>
      </c>
      <c r="C1802">
        <v>10</v>
      </c>
      <c r="D1802">
        <v>2</v>
      </c>
      <c r="E1802" t="s">
        <v>152</v>
      </c>
      <c r="F1802" t="s">
        <v>153</v>
      </c>
      <c r="G1802" t="s">
        <v>154</v>
      </c>
      <c r="H1802">
        <v>1526007196</v>
      </c>
      <c r="I1802">
        <v>1000007485</v>
      </c>
      <c r="L1802" t="s">
        <v>368</v>
      </c>
      <c r="M1802">
        <v>5100001666</v>
      </c>
      <c r="N1802" t="s">
        <v>155</v>
      </c>
      <c r="O1802" t="s">
        <v>156</v>
      </c>
      <c r="P1802">
        <v>4110027035</v>
      </c>
      <c r="Q1802" t="s">
        <v>225</v>
      </c>
      <c r="R1802">
        <v>5000</v>
      </c>
      <c r="S1802" t="s">
        <v>166</v>
      </c>
      <c r="V1802" t="s">
        <v>167</v>
      </c>
      <c r="W1802">
        <v>1502020105</v>
      </c>
      <c r="X1802" t="s">
        <v>226</v>
      </c>
      <c r="Y1802" t="str">
        <f>VLOOKUP(W1802,Sheet4!$A$5:$B$72,2,0)</f>
        <v>RE STYLING</v>
      </c>
      <c r="Z1802">
        <v>87082900</v>
      </c>
      <c r="AA1802">
        <v>15</v>
      </c>
      <c r="AB1802" t="s">
        <v>159</v>
      </c>
      <c r="AC1802" s="24">
        <v>6570.77</v>
      </c>
      <c r="AD1802" t="s">
        <v>160</v>
      </c>
      <c r="AE1802" s="24">
        <v>98561.55</v>
      </c>
      <c r="AF1802">
        <v>0</v>
      </c>
      <c r="AG1802" s="24">
        <v>98561.55</v>
      </c>
      <c r="AH1802">
        <v>0</v>
      </c>
      <c r="AI1802">
        <v>0</v>
      </c>
      <c r="AJ1802">
        <v>0</v>
      </c>
      <c r="AK1802">
        <v>0</v>
      </c>
      <c r="AL1802" s="24">
        <v>98561.55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 s="24">
        <v>98561.55</v>
      </c>
      <c r="AV1802">
        <v>0</v>
      </c>
      <c r="AW1802">
        <v>0</v>
      </c>
      <c r="AX1802">
        <v>311000</v>
      </c>
      <c r="AY1802" t="s">
        <v>161</v>
      </c>
      <c r="AZ1802">
        <v>49.75</v>
      </c>
      <c r="BA1802">
        <v>49.75</v>
      </c>
      <c r="BB1802">
        <v>0</v>
      </c>
      <c r="BC1802" t="s">
        <v>227</v>
      </c>
      <c r="BD1802">
        <v>1509</v>
      </c>
      <c r="BE1802" t="s">
        <v>169</v>
      </c>
      <c r="BF1802">
        <v>5094256665</v>
      </c>
      <c r="BG1802" t="s">
        <v>368</v>
      </c>
    </row>
    <row r="1803" spans="1:59">
      <c r="A1803">
        <v>1115</v>
      </c>
      <c r="B1803">
        <v>1115</v>
      </c>
      <c r="C1803">
        <v>10</v>
      </c>
      <c r="D1803">
        <v>2</v>
      </c>
      <c r="E1803" t="s">
        <v>152</v>
      </c>
      <c r="F1803" t="s">
        <v>153</v>
      </c>
      <c r="G1803" t="s">
        <v>154</v>
      </c>
      <c r="H1803">
        <v>1526007195</v>
      </c>
      <c r="I1803">
        <v>1000007484</v>
      </c>
      <c r="L1803" t="s">
        <v>368</v>
      </c>
      <c r="M1803">
        <v>5100001666</v>
      </c>
      <c r="N1803" t="s">
        <v>155</v>
      </c>
      <c r="O1803" t="s">
        <v>156</v>
      </c>
      <c r="P1803">
        <v>4110027035</v>
      </c>
      <c r="Q1803" t="s">
        <v>225</v>
      </c>
      <c r="R1803">
        <v>5000</v>
      </c>
      <c r="S1803" t="s">
        <v>166</v>
      </c>
      <c r="V1803" t="s">
        <v>167</v>
      </c>
      <c r="W1803">
        <v>1502020105</v>
      </c>
      <c r="X1803" t="s">
        <v>226</v>
      </c>
      <c r="Y1803" t="str">
        <f>VLOOKUP(W1803,Sheet4!$A$5:$B$72,2,0)</f>
        <v>RE STYLING</v>
      </c>
      <c r="Z1803">
        <v>87082900</v>
      </c>
      <c r="AA1803">
        <v>15</v>
      </c>
      <c r="AB1803" t="s">
        <v>159</v>
      </c>
      <c r="AC1803" s="24">
        <v>6570.77</v>
      </c>
      <c r="AD1803" t="s">
        <v>160</v>
      </c>
      <c r="AE1803" s="24">
        <v>98561.55</v>
      </c>
      <c r="AF1803">
        <v>0</v>
      </c>
      <c r="AG1803" s="24">
        <v>98561.55</v>
      </c>
      <c r="AH1803">
        <v>0</v>
      </c>
      <c r="AI1803">
        <v>0</v>
      </c>
      <c r="AJ1803">
        <v>0</v>
      </c>
      <c r="AK1803">
        <v>0</v>
      </c>
      <c r="AL1803" s="24">
        <v>98561.55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 s="24">
        <v>98561.55</v>
      </c>
      <c r="AV1803">
        <v>0</v>
      </c>
      <c r="AW1803">
        <v>0</v>
      </c>
      <c r="AX1803">
        <v>311000</v>
      </c>
      <c r="AY1803" t="s">
        <v>161</v>
      </c>
      <c r="AZ1803">
        <v>49.75</v>
      </c>
      <c r="BA1803">
        <v>49.75</v>
      </c>
      <c r="BB1803">
        <v>0</v>
      </c>
      <c r="BC1803" t="s">
        <v>227</v>
      </c>
      <c r="BD1803">
        <v>1509</v>
      </c>
      <c r="BE1803" t="s">
        <v>169</v>
      </c>
      <c r="BF1803">
        <v>5094256536</v>
      </c>
      <c r="BG1803" t="s">
        <v>368</v>
      </c>
    </row>
    <row r="1804" spans="1:59">
      <c r="A1804">
        <v>1115</v>
      </c>
      <c r="B1804">
        <v>1115</v>
      </c>
      <c r="C1804">
        <v>10</v>
      </c>
      <c r="D1804">
        <v>2</v>
      </c>
      <c r="E1804" t="s">
        <v>152</v>
      </c>
      <c r="F1804" t="s">
        <v>153</v>
      </c>
      <c r="G1804" t="s">
        <v>154</v>
      </c>
      <c r="H1804">
        <v>1526007194</v>
      </c>
      <c r="I1804">
        <v>1000007483</v>
      </c>
      <c r="L1804" t="s">
        <v>368</v>
      </c>
      <c r="M1804">
        <v>5100001666</v>
      </c>
      <c r="N1804" t="s">
        <v>155</v>
      </c>
      <c r="O1804" t="s">
        <v>156</v>
      </c>
      <c r="P1804">
        <v>4110027035</v>
      </c>
      <c r="Q1804" t="s">
        <v>225</v>
      </c>
      <c r="R1804">
        <v>5000</v>
      </c>
      <c r="S1804" t="s">
        <v>166</v>
      </c>
      <c r="V1804" t="s">
        <v>167</v>
      </c>
      <c r="W1804">
        <v>1502020105</v>
      </c>
      <c r="X1804" t="s">
        <v>226</v>
      </c>
      <c r="Y1804" t="str">
        <f>VLOOKUP(W1804,Sheet4!$A$5:$B$72,2,0)</f>
        <v>RE STYLING</v>
      </c>
      <c r="Z1804">
        <v>87082900</v>
      </c>
      <c r="AA1804">
        <v>15</v>
      </c>
      <c r="AB1804" t="s">
        <v>159</v>
      </c>
      <c r="AC1804" s="24">
        <v>6570.77</v>
      </c>
      <c r="AD1804" t="s">
        <v>160</v>
      </c>
      <c r="AE1804" s="24">
        <v>98561.55</v>
      </c>
      <c r="AF1804">
        <v>0</v>
      </c>
      <c r="AG1804" s="24">
        <v>98561.55</v>
      </c>
      <c r="AH1804">
        <v>0</v>
      </c>
      <c r="AI1804">
        <v>0</v>
      </c>
      <c r="AJ1804">
        <v>0</v>
      </c>
      <c r="AK1804">
        <v>0</v>
      </c>
      <c r="AL1804" s="24">
        <v>98561.55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 s="24">
        <v>98561.55</v>
      </c>
      <c r="AV1804">
        <v>0</v>
      </c>
      <c r="AW1804">
        <v>0</v>
      </c>
      <c r="AX1804">
        <v>311000</v>
      </c>
      <c r="AY1804" t="s">
        <v>161</v>
      </c>
      <c r="AZ1804">
        <v>49.75</v>
      </c>
      <c r="BA1804">
        <v>49.75</v>
      </c>
      <c r="BB1804">
        <v>0</v>
      </c>
      <c r="BC1804" t="s">
        <v>227</v>
      </c>
      <c r="BD1804">
        <v>1509</v>
      </c>
      <c r="BE1804" t="s">
        <v>169</v>
      </c>
      <c r="BF1804">
        <v>5094266803</v>
      </c>
      <c r="BG1804" t="s">
        <v>368</v>
      </c>
    </row>
    <row r="1805" spans="1:59">
      <c r="A1805">
        <v>1115</v>
      </c>
      <c r="B1805">
        <v>1115</v>
      </c>
      <c r="C1805">
        <v>10</v>
      </c>
      <c r="D1805">
        <v>2</v>
      </c>
      <c r="E1805" t="s">
        <v>152</v>
      </c>
      <c r="F1805" t="s">
        <v>153</v>
      </c>
      <c r="G1805" t="s">
        <v>154</v>
      </c>
      <c r="H1805">
        <v>1526007193</v>
      </c>
      <c r="I1805">
        <v>1000007482</v>
      </c>
      <c r="L1805" t="s">
        <v>368</v>
      </c>
      <c r="M1805">
        <v>5100001666</v>
      </c>
      <c r="N1805" t="s">
        <v>155</v>
      </c>
      <c r="O1805" t="s">
        <v>156</v>
      </c>
      <c r="P1805">
        <v>4110027035</v>
      </c>
      <c r="Q1805" t="s">
        <v>225</v>
      </c>
      <c r="R1805">
        <v>5000</v>
      </c>
      <c r="S1805" t="s">
        <v>166</v>
      </c>
      <c r="V1805" t="s">
        <v>167</v>
      </c>
      <c r="W1805">
        <v>1502020105</v>
      </c>
      <c r="X1805" t="s">
        <v>226</v>
      </c>
      <c r="Y1805" t="str">
        <f>VLOOKUP(W1805,Sheet4!$A$5:$B$72,2,0)</f>
        <v>RE STYLING</v>
      </c>
      <c r="Z1805">
        <v>87082900</v>
      </c>
      <c r="AA1805">
        <v>15</v>
      </c>
      <c r="AB1805" t="s">
        <v>159</v>
      </c>
      <c r="AC1805" s="24">
        <v>6570.77</v>
      </c>
      <c r="AD1805" t="s">
        <v>160</v>
      </c>
      <c r="AE1805" s="24">
        <v>98561.55</v>
      </c>
      <c r="AF1805">
        <v>0</v>
      </c>
      <c r="AG1805" s="24">
        <v>98561.55</v>
      </c>
      <c r="AH1805">
        <v>0</v>
      </c>
      <c r="AI1805">
        <v>0</v>
      </c>
      <c r="AJ1805">
        <v>0</v>
      </c>
      <c r="AK1805">
        <v>0</v>
      </c>
      <c r="AL1805" s="24">
        <v>98561.55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 s="24">
        <v>98561.55</v>
      </c>
      <c r="AV1805">
        <v>0</v>
      </c>
      <c r="AW1805">
        <v>0</v>
      </c>
      <c r="AX1805">
        <v>311000</v>
      </c>
      <c r="AY1805" t="s">
        <v>161</v>
      </c>
      <c r="AZ1805">
        <v>49.75</v>
      </c>
      <c r="BA1805">
        <v>49.75</v>
      </c>
      <c r="BB1805">
        <v>0</v>
      </c>
      <c r="BC1805" t="s">
        <v>227</v>
      </c>
      <c r="BD1805">
        <v>1509</v>
      </c>
      <c r="BE1805" t="s">
        <v>169</v>
      </c>
      <c r="BF1805">
        <v>5094264312</v>
      </c>
      <c r="BG1805" t="s">
        <v>368</v>
      </c>
    </row>
    <row r="1806" spans="1:59">
      <c r="A1806">
        <v>1115</v>
      </c>
      <c r="B1806">
        <v>1115</v>
      </c>
      <c r="C1806">
        <v>10</v>
      </c>
      <c r="D1806">
        <v>2</v>
      </c>
      <c r="E1806" t="s">
        <v>152</v>
      </c>
      <c r="F1806" t="s">
        <v>153</v>
      </c>
      <c r="G1806" t="s">
        <v>154</v>
      </c>
      <c r="H1806">
        <v>1526007192</v>
      </c>
      <c r="I1806">
        <v>1000007481</v>
      </c>
      <c r="L1806" t="s">
        <v>368</v>
      </c>
      <c r="M1806">
        <v>5100001666</v>
      </c>
      <c r="N1806" t="s">
        <v>155</v>
      </c>
      <c r="O1806" t="s">
        <v>156</v>
      </c>
      <c r="P1806">
        <v>4110027035</v>
      </c>
      <c r="Q1806" t="s">
        <v>225</v>
      </c>
      <c r="R1806">
        <v>5000</v>
      </c>
      <c r="S1806" t="s">
        <v>166</v>
      </c>
      <c r="V1806" t="s">
        <v>167</v>
      </c>
      <c r="W1806">
        <v>1502020105</v>
      </c>
      <c r="X1806" t="s">
        <v>226</v>
      </c>
      <c r="Y1806" t="str">
        <f>VLOOKUP(W1806,Sheet4!$A$5:$B$72,2,0)</f>
        <v>RE STYLING</v>
      </c>
      <c r="Z1806">
        <v>87082900</v>
      </c>
      <c r="AA1806">
        <v>15</v>
      </c>
      <c r="AB1806" t="s">
        <v>159</v>
      </c>
      <c r="AC1806" s="24">
        <v>6570.77</v>
      </c>
      <c r="AD1806" t="s">
        <v>160</v>
      </c>
      <c r="AE1806" s="24">
        <v>98561.55</v>
      </c>
      <c r="AF1806">
        <v>0</v>
      </c>
      <c r="AG1806" s="24">
        <v>98561.55</v>
      </c>
      <c r="AH1806">
        <v>0</v>
      </c>
      <c r="AI1806">
        <v>0</v>
      </c>
      <c r="AJ1806">
        <v>0</v>
      </c>
      <c r="AK1806">
        <v>0</v>
      </c>
      <c r="AL1806" s="24">
        <v>98561.55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 s="24">
        <v>98561.55</v>
      </c>
      <c r="AV1806">
        <v>0</v>
      </c>
      <c r="AW1806">
        <v>0</v>
      </c>
      <c r="AX1806">
        <v>311000</v>
      </c>
      <c r="AY1806" t="s">
        <v>161</v>
      </c>
      <c r="AZ1806">
        <v>49.75</v>
      </c>
      <c r="BA1806">
        <v>49.75</v>
      </c>
      <c r="BB1806">
        <v>0</v>
      </c>
      <c r="BC1806" t="s">
        <v>227</v>
      </c>
      <c r="BD1806">
        <v>1509</v>
      </c>
      <c r="BE1806" t="s">
        <v>169</v>
      </c>
      <c r="BF1806">
        <v>5094256534</v>
      </c>
      <c r="BG1806" t="s">
        <v>368</v>
      </c>
    </row>
    <row r="1807" spans="1:59">
      <c r="A1807">
        <v>1115</v>
      </c>
      <c r="B1807">
        <v>1115</v>
      </c>
      <c r="C1807">
        <v>10</v>
      </c>
      <c r="D1807">
        <v>2</v>
      </c>
      <c r="E1807" t="s">
        <v>152</v>
      </c>
      <c r="F1807" t="s">
        <v>153</v>
      </c>
      <c r="G1807" t="s">
        <v>154</v>
      </c>
      <c r="H1807">
        <v>1526007191</v>
      </c>
      <c r="I1807">
        <v>1000007480</v>
      </c>
      <c r="L1807" t="s">
        <v>368</v>
      </c>
      <c r="M1807">
        <v>5100001928</v>
      </c>
      <c r="N1807" t="s">
        <v>155</v>
      </c>
      <c r="O1807" t="s">
        <v>156</v>
      </c>
      <c r="P1807">
        <v>4110057393</v>
      </c>
      <c r="Q1807" t="s">
        <v>192</v>
      </c>
      <c r="R1807">
        <v>5000</v>
      </c>
      <c r="S1807" t="s">
        <v>166</v>
      </c>
      <c r="V1807" t="s">
        <v>167</v>
      </c>
      <c r="W1807">
        <v>1502020122</v>
      </c>
      <c r="X1807" t="s">
        <v>70</v>
      </c>
      <c r="Y1807" t="str">
        <f>VLOOKUP(W1807,Sheet4!$A$5:$B$72,2,0)</f>
        <v>MAX UG NEW EV</v>
      </c>
      <c r="Z1807">
        <v>87082900</v>
      </c>
      <c r="AA1807">
        <v>10</v>
      </c>
      <c r="AB1807" t="s">
        <v>159</v>
      </c>
      <c r="AC1807" s="24">
        <v>9566.51</v>
      </c>
      <c r="AD1807" t="s">
        <v>160</v>
      </c>
      <c r="AE1807" s="24">
        <v>95665.1</v>
      </c>
      <c r="AF1807">
        <v>0</v>
      </c>
      <c r="AG1807" s="24">
        <v>95665.1</v>
      </c>
      <c r="AH1807">
        <v>0</v>
      </c>
      <c r="AI1807">
        <v>0</v>
      </c>
      <c r="AJ1807">
        <v>0</v>
      </c>
      <c r="AK1807">
        <v>0</v>
      </c>
      <c r="AL1807" s="24">
        <v>95665.1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 s="24">
        <v>95665.1</v>
      </c>
      <c r="AV1807">
        <v>0</v>
      </c>
      <c r="AW1807">
        <v>0</v>
      </c>
      <c r="AX1807">
        <v>311000</v>
      </c>
      <c r="AY1807" t="s">
        <v>161</v>
      </c>
      <c r="AZ1807">
        <v>0</v>
      </c>
      <c r="BA1807">
        <v>61</v>
      </c>
      <c r="BB1807">
        <v>-61</v>
      </c>
      <c r="BC1807" t="s">
        <v>193</v>
      </c>
      <c r="BD1807">
        <v>1509</v>
      </c>
      <c r="BE1807" t="s">
        <v>169</v>
      </c>
      <c r="BF1807">
        <v>5094249700</v>
      </c>
      <c r="BG1807" t="s">
        <v>368</v>
      </c>
    </row>
    <row r="1808" spans="1:59">
      <c r="A1808">
        <v>1115</v>
      </c>
      <c r="B1808">
        <v>1115</v>
      </c>
      <c r="C1808">
        <v>10</v>
      </c>
      <c r="D1808">
        <v>2</v>
      </c>
      <c r="E1808" t="s">
        <v>152</v>
      </c>
      <c r="F1808" t="s">
        <v>153</v>
      </c>
      <c r="G1808" t="s">
        <v>154</v>
      </c>
      <c r="H1808">
        <v>1526007190</v>
      </c>
      <c r="I1808">
        <v>1000007479</v>
      </c>
      <c r="L1808" t="s">
        <v>368</v>
      </c>
      <c r="M1808">
        <v>5100001928</v>
      </c>
      <c r="N1808" t="s">
        <v>155</v>
      </c>
      <c r="O1808" t="s">
        <v>156</v>
      </c>
      <c r="P1808">
        <v>4110057393</v>
      </c>
      <c r="Q1808" t="s">
        <v>192</v>
      </c>
      <c r="R1808">
        <v>5000</v>
      </c>
      <c r="S1808" t="s">
        <v>166</v>
      </c>
      <c r="V1808" t="s">
        <v>167</v>
      </c>
      <c r="W1808">
        <v>1502020122</v>
      </c>
      <c r="X1808" t="s">
        <v>70</v>
      </c>
      <c r="Y1808" t="str">
        <f>VLOOKUP(W1808,Sheet4!$A$5:$B$72,2,0)</f>
        <v>MAX UG NEW EV</v>
      </c>
      <c r="Z1808">
        <v>87082900</v>
      </c>
      <c r="AA1808">
        <v>10</v>
      </c>
      <c r="AB1808" t="s">
        <v>159</v>
      </c>
      <c r="AC1808" s="24">
        <v>9566.51</v>
      </c>
      <c r="AD1808" t="s">
        <v>160</v>
      </c>
      <c r="AE1808" s="24">
        <v>95665.1</v>
      </c>
      <c r="AF1808">
        <v>0</v>
      </c>
      <c r="AG1808" s="24">
        <v>95665.1</v>
      </c>
      <c r="AH1808">
        <v>0</v>
      </c>
      <c r="AI1808">
        <v>0</v>
      </c>
      <c r="AJ1808">
        <v>0</v>
      </c>
      <c r="AK1808">
        <v>0</v>
      </c>
      <c r="AL1808" s="24">
        <v>95665.1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 s="24">
        <v>95665.1</v>
      </c>
      <c r="AV1808">
        <v>0</v>
      </c>
      <c r="AW1808">
        <v>0</v>
      </c>
      <c r="AX1808">
        <v>311000</v>
      </c>
      <c r="AY1808" t="s">
        <v>161</v>
      </c>
      <c r="AZ1808">
        <v>0</v>
      </c>
      <c r="BA1808">
        <v>61</v>
      </c>
      <c r="BB1808">
        <v>-61</v>
      </c>
      <c r="BC1808" t="s">
        <v>193</v>
      </c>
      <c r="BD1808">
        <v>1509</v>
      </c>
      <c r="BE1808" t="s">
        <v>169</v>
      </c>
      <c r="BF1808">
        <v>5094249800</v>
      </c>
      <c r="BG1808" t="s">
        <v>368</v>
      </c>
    </row>
    <row r="1809" spans="1:59">
      <c r="A1809">
        <v>1115</v>
      </c>
      <c r="B1809">
        <v>1115</v>
      </c>
      <c r="C1809">
        <v>10</v>
      </c>
      <c r="D1809">
        <v>2</v>
      </c>
      <c r="E1809" t="s">
        <v>152</v>
      </c>
      <c r="F1809" t="s">
        <v>153</v>
      </c>
      <c r="G1809" t="s">
        <v>154</v>
      </c>
      <c r="H1809">
        <v>1526007189</v>
      </c>
      <c r="I1809">
        <v>1000007478</v>
      </c>
      <c r="L1809" t="s">
        <v>368</v>
      </c>
      <c r="M1809">
        <v>5100001928</v>
      </c>
      <c r="N1809" t="s">
        <v>155</v>
      </c>
      <c r="O1809" t="s">
        <v>156</v>
      </c>
      <c r="P1809">
        <v>4110057393</v>
      </c>
      <c r="Q1809" t="s">
        <v>192</v>
      </c>
      <c r="R1809">
        <v>5000</v>
      </c>
      <c r="S1809" t="s">
        <v>166</v>
      </c>
      <c r="V1809" t="s">
        <v>167</v>
      </c>
      <c r="W1809">
        <v>1502020122</v>
      </c>
      <c r="X1809" t="s">
        <v>70</v>
      </c>
      <c r="Y1809" t="str">
        <f>VLOOKUP(W1809,Sheet4!$A$5:$B$72,2,0)</f>
        <v>MAX UG NEW EV</v>
      </c>
      <c r="Z1809">
        <v>87082900</v>
      </c>
      <c r="AA1809">
        <v>10</v>
      </c>
      <c r="AB1809" t="s">
        <v>159</v>
      </c>
      <c r="AC1809" s="24">
        <v>9566.51</v>
      </c>
      <c r="AD1809" t="s">
        <v>160</v>
      </c>
      <c r="AE1809" s="24">
        <v>95665.1</v>
      </c>
      <c r="AF1809">
        <v>0</v>
      </c>
      <c r="AG1809" s="24">
        <v>95665.1</v>
      </c>
      <c r="AH1809">
        <v>0</v>
      </c>
      <c r="AI1809">
        <v>0</v>
      </c>
      <c r="AJ1809">
        <v>0</v>
      </c>
      <c r="AK1809">
        <v>0</v>
      </c>
      <c r="AL1809" s="24">
        <v>95665.1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 s="24">
        <v>95665.1</v>
      </c>
      <c r="AV1809">
        <v>0</v>
      </c>
      <c r="AW1809">
        <v>0</v>
      </c>
      <c r="AX1809">
        <v>311000</v>
      </c>
      <c r="AY1809" t="s">
        <v>161</v>
      </c>
      <c r="AZ1809">
        <v>0</v>
      </c>
      <c r="BA1809">
        <v>61</v>
      </c>
      <c r="BB1809">
        <v>-61</v>
      </c>
      <c r="BC1809" t="s">
        <v>193</v>
      </c>
      <c r="BD1809">
        <v>1509</v>
      </c>
      <c r="BE1809" t="s">
        <v>169</v>
      </c>
      <c r="BF1809">
        <v>5094249614</v>
      </c>
      <c r="BG1809" t="s">
        <v>368</v>
      </c>
    </row>
    <row r="1810" spans="1:59">
      <c r="A1810">
        <v>1115</v>
      </c>
      <c r="B1810">
        <v>1115</v>
      </c>
      <c r="C1810">
        <v>10</v>
      </c>
      <c r="D1810">
        <v>2</v>
      </c>
      <c r="E1810" t="s">
        <v>152</v>
      </c>
      <c r="F1810" t="s">
        <v>153</v>
      </c>
      <c r="G1810" t="s">
        <v>154</v>
      </c>
      <c r="H1810">
        <v>1526007188</v>
      </c>
      <c r="I1810">
        <v>1000007477</v>
      </c>
      <c r="L1810" t="s">
        <v>381</v>
      </c>
      <c r="M1810">
        <v>5100001666</v>
      </c>
      <c r="N1810" t="s">
        <v>155</v>
      </c>
      <c r="O1810" t="s">
        <v>156</v>
      </c>
      <c r="P1810">
        <v>4110027035</v>
      </c>
      <c r="Q1810" t="s">
        <v>225</v>
      </c>
      <c r="R1810">
        <v>5000</v>
      </c>
      <c r="S1810" t="s">
        <v>166</v>
      </c>
      <c r="V1810" t="s">
        <v>167</v>
      </c>
      <c r="W1810">
        <v>1502020105</v>
      </c>
      <c r="X1810" t="s">
        <v>226</v>
      </c>
      <c r="Y1810" t="str">
        <f>VLOOKUP(W1810,Sheet4!$A$5:$B$72,2,0)</f>
        <v>RE STYLING</v>
      </c>
      <c r="Z1810">
        <v>87082900</v>
      </c>
      <c r="AA1810">
        <v>15</v>
      </c>
      <c r="AB1810" t="s">
        <v>159</v>
      </c>
      <c r="AC1810" s="24">
        <v>6570.77</v>
      </c>
      <c r="AD1810" t="s">
        <v>160</v>
      </c>
      <c r="AE1810" s="24">
        <v>98561.55</v>
      </c>
      <c r="AF1810">
        <v>0</v>
      </c>
      <c r="AG1810" s="24">
        <v>98561.55</v>
      </c>
      <c r="AH1810">
        <v>0</v>
      </c>
      <c r="AI1810">
        <v>0</v>
      </c>
      <c r="AJ1810">
        <v>0</v>
      </c>
      <c r="AK1810">
        <v>0</v>
      </c>
      <c r="AL1810" s="24">
        <v>98561.55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 s="24">
        <v>98561.55</v>
      </c>
      <c r="AV1810">
        <v>0</v>
      </c>
      <c r="AW1810">
        <v>0</v>
      </c>
      <c r="AX1810">
        <v>311000</v>
      </c>
      <c r="AY1810" t="s">
        <v>161</v>
      </c>
      <c r="AZ1810">
        <v>49.75</v>
      </c>
      <c r="BA1810">
        <v>49.75</v>
      </c>
      <c r="BB1810">
        <v>0</v>
      </c>
      <c r="BC1810" t="s">
        <v>227</v>
      </c>
      <c r="BD1810">
        <v>1509</v>
      </c>
      <c r="BE1810" t="s">
        <v>169</v>
      </c>
      <c r="BF1810">
        <v>5094257090</v>
      </c>
      <c r="BG1810" t="s">
        <v>381</v>
      </c>
    </row>
    <row r="1811" spans="1:59">
      <c r="A1811">
        <v>1115</v>
      </c>
      <c r="B1811">
        <v>1115</v>
      </c>
      <c r="C1811">
        <v>10</v>
      </c>
      <c r="D1811">
        <v>2</v>
      </c>
      <c r="E1811" t="s">
        <v>152</v>
      </c>
      <c r="F1811" t="s">
        <v>153</v>
      </c>
      <c r="G1811" t="s">
        <v>154</v>
      </c>
      <c r="H1811">
        <v>1526007187</v>
      </c>
      <c r="I1811">
        <v>1000007476</v>
      </c>
      <c r="L1811" t="s">
        <v>381</v>
      </c>
      <c r="M1811">
        <v>5100001666</v>
      </c>
      <c r="N1811" t="s">
        <v>155</v>
      </c>
      <c r="O1811" t="s">
        <v>156</v>
      </c>
      <c r="P1811">
        <v>4110027035</v>
      </c>
      <c r="Q1811" t="s">
        <v>225</v>
      </c>
      <c r="R1811">
        <v>5000</v>
      </c>
      <c r="S1811" t="s">
        <v>166</v>
      </c>
      <c r="V1811" t="s">
        <v>167</v>
      </c>
      <c r="W1811">
        <v>1502020105</v>
      </c>
      <c r="X1811" t="s">
        <v>226</v>
      </c>
      <c r="Y1811" t="str">
        <f>VLOOKUP(W1811,Sheet4!$A$5:$B$72,2,0)</f>
        <v>RE STYLING</v>
      </c>
      <c r="Z1811">
        <v>87082900</v>
      </c>
      <c r="AA1811">
        <v>15</v>
      </c>
      <c r="AB1811" t="s">
        <v>159</v>
      </c>
      <c r="AC1811" s="24">
        <v>6570.77</v>
      </c>
      <c r="AD1811" t="s">
        <v>160</v>
      </c>
      <c r="AE1811" s="24">
        <v>98561.55</v>
      </c>
      <c r="AF1811">
        <v>0</v>
      </c>
      <c r="AG1811" s="24">
        <v>98561.55</v>
      </c>
      <c r="AH1811">
        <v>0</v>
      </c>
      <c r="AI1811">
        <v>0</v>
      </c>
      <c r="AJ1811">
        <v>0</v>
      </c>
      <c r="AK1811">
        <v>0</v>
      </c>
      <c r="AL1811" s="24">
        <v>98561.55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 s="24">
        <v>98561.55</v>
      </c>
      <c r="AV1811">
        <v>0</v>
      </c>
      <c r="AW1811">
        <v>0</v>
      </c>
      <c r="AX1811">
        <v>311000</v>
      </c>
      <c r="AY1811" t="s">
        <v>161</v>
      </c>
      <c r="AZ1811">
        <v>49.75</v>
      </c>
      <c r="BA1811">
        <v>49.75</v>
      </c>
      <c r="BB1811">
        <v>0</v>
      </c>
      <c r="BC1811" t="s">
        <v>227</v>
      </c>
      <c r="BD1811">
        <v>1509</v>
      </c>
      <c r="BE1811" t="s">
        <v>169</v>
      </c>
      <c r="BF1811">
        <v>5094249959</v>
      </c>
      <c r="BG1811" t="s">
        <v>381</v>
      </c>
    </row>
    <row r="1812" spans="1:59">
      <c r="A1812">
        <v>1115</v>
      </c>
      <c r="B1812">
        <v>1115</v>
      </c>
      <c r="C1812">
        <v>10</v>
      </c>
      <c r="D1812">
        <v>2</v>
      </c>
      <c r="E1812" t="s">
        <v>152</v>
      </c>
      <c r="F1812" t="s">
        <v>153</v>
      </c>
      <c r="G1812" t="s">
        <v>154</v>
      </c>
      <c r="H1812">
        <v>1526007186</v>
      </c>
      <c r="I1812">
        <v>1000007475</v>
      </c>
      <c r="L1812" t="s">
        <v>381</v>
      </c>
      <c r="M1812">
        <v>5100001666</v>
      </c>
      <c r="N1812" t="s">
        <v>155</v>
      </c>
      <c r="O1812" t="s">
        <v>156</v>
      </c>
      <c r="P1812">
        <v>4110027035</v>
      </c>
      <c r="Q1812" t="s">
        <v>225</v>
      </c>
      <c r="R1812">
        <v>5000</v>
      </c>
      <c r="S1812" t="s">
        <v>166</v>
      </c>
      <c r="V1812" t="s">
        <v>167</v>
      </c>
      <c r="W1812">
        <v>1502020105</v>
      </c>
      <c r="X1812" t="s">
        <v>226</v>
      </c>
      <c r="Y1812" t="str">
        <f>VLOOKUP(W1812,Sheet4!$A$5:$B$72,2,0)</f>
        <v>RE STYLING</v>
      </c>
      <c r="Z1812">
        <v>87082900</v>
      </c>
      <c r="AA1812">
        <v>15</v>
      </c>
      <c r="AB1812" t="s">
        <v>159</v>
      </c>
      <c r="AC1812" s="24">
        <v>6570.77</v>
      </c>
      <c r="AD1812" t="s">
        <v>160</v>
      </c>
      <c r="AE1812" s="24">
        <v>98561.55</v>
      </c>
      <c r="AF1812">
        <v>0</v>
      </c>
      <c r="AG1812" s="24">
        <v>98561.55</v>
      </c>
      <c r="AH1812">
        <v>0</v>
      </c>
      <c r="AI1812">
        <v>0</v>
      </c>
      <c r="AJ1812">
        <v>0</v>
      </c>
      <c r="AK1812">
        <v>0</v>
      </c>
      <c r="AL1812" s="24">
        <v>98561.55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 s="24">
        <v>98561.55</v>
      </c>
      <c r="AV1812">
        <v>0</v>
      </c>
      <c r="AW1812">
        <v>0</v>
      </c>
      <c r="AX1812">
        <v>311000</v>
      </c>
      <c r="AY1812" t="s">
        <v>161</v>
      </c>
      <c r="AZ1812">
        <v>49.75</v>
      </c>
      <c r="BA1812">
        <v>49.75</v>
      </c>
      <c r="BB1812">
        <v>0</v>
      </c>
      <c r="BC1812" t="s">
        <v>227</v>
      </c>
      <c r="BD1812">
        <v>1509</v>
      </c>
      <c r="BE1812" t="s">
        <v>169</v>
      </c>
      <c r="BF1812">
        <v>5094256715</v>
      </c>
      <c r="BG1812" t="s">
        <v>381</v>
      </c>
    </row>
  </sheetData>
  <autoFilter ref="A1:BG181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3wh sale </vt:lpstr>
      <vt:lpstr>Monthly</vt:lpstr>
      <vt:lpstr>Sheet3</vt:lpstr>
      <vt:lpstr>Sheet4</vt:lpstr>
      <vt:lpstr>Sheet8</vt:lpstr>
      <vt:lpstr>Sheet2</vt:lpstr>
      <vt:lpstr>Monthly!Print_Area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kulkarniss</dc:creator>
  <cp:lastModifiedBy>computer baazaar</cp:lastModifiedBy>
  <cp:lastPrinted>2026-03-12T08:40:13Z</cp:lastPrinted>
  <dcterms:created xsi:type="dcterms:W3CDTF">2011-01-24T11:01:31Z</dcterms:created>
  <dcterms:modified xsi:type="dcterms:W3CDTF">2026-05-16T09:02:21Z</dcterms:modified>
</cp:coreProperties>
</file>